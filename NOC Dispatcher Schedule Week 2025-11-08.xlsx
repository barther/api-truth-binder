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sconline.sharepoint.com/sites/NOCDISPATCHERSCHEDULE/Shared Documents/General/"/>
    </mc:Choice>
  </mc:AlternateContent>
  <xr:revisionPtr revIDLastSave="11902" documentId="8_{EE0A39CD-6747-438B-8EB5-017212418942}" xr6:coauthVersionLast="47" xr6:coauthVersionMax="47" xr10:uidLastSave="{616FB620-0C34-4B4B-BCBB-2BD05AC6D007}"/>
  <bookViews>
    <workbookView xWindow="38290" yWindow="-110" windowWidth="38620" windowHeight="21100" activeTab="2" xr2:uid="{68E8367A-B70A-44DB-B19D-DD4AA6D1E62A}"/>
  </bookViews>
  <sheets>
    <sheet name="GAD DISPATCHER SCHEDULE" sheetId="1" r:id="rId1"/>
    <sheet name="NORTHERN REGION SCHEDULE" sheetId="2" r:id="rId2"/>
    <sheet name="NORTHERN REGION ROSTER" sheetId="3" r:id="rId3"/>
    <sheet name="Sheet1" sheetId="6" state="veryHidden" r:id="rId4"/>
    <sheet name="SOUTHERN REGION SCHEDULE" sheetId="4" r:id="rId5"/>
    <sheet name="Sheet2" sheetId="7" state="veryHidden" r:id="rId6"/>
    <sheet name="SOUTHERN REGION ROSTER" sheetId="5" r:id="rId7"/>
  </sheets>
  <definedNames>
    <definedName name="_xlnm.Print_Area" localSheetId="0">'GAD DISPATCHER SCHEDULE'!$A$1:$M$137</definedName>
    <definedName name="_xlnm.Print_Area" localSheetId="1">'NORTHERN REGION SCHEDULE'!$C$1:$M$269</definedName>
    <definedName name="_xlnm.Print_Area" localSheetId="4">'SOUTHERN REGION SCHEDULE'!$C$1:$M$243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I188" i="4" l="1" a="1"/>
  <c r="I188" i="4" s="1"/>
  <c r="H188" i="4" a="1"/>
  <c r="H188" i="4" s="1"/>
  <c r="M137" i="1"/>
  <c r="L137" i="1"/>
  <c r="K137" i="1"/>
  <c r="J137" i="1"/>
  <c r="I137" i="1"/>
  <c r="H137" i="1"/>
  <c r="G137" i="1"/>
  <c r="F137" i="1"/>
  <c r="M136" i="1"/>
  <c r="L136" i="1"/>
  <c r="K136" i="1"/>
  <c r="J136" i="1"/>
  <c r="I136" i="1"/>
  <c r="H136" i="1"/>
  <c r="G136" i="1"/>
  <c r="F136" i="1"/>
  <c r="M135" i="1"/>
  <c r="L135" i="1"/>
  <c r="K135" i="1"/>
  <c r="J135" i="1"/>
  <c r="I135" i="1"/>
  <c r="H135" i="1"/>
  <c r="G135" i="1"/>
  <c r="F135" i="1"/>
  <c r="M134" i="1"/>
  <c r="L134" i="1"/>
  <c r="K134" i="1"/>
  <c r="J134" i="1"/>
  <c r="I134" i="1"/>
  <c r="H134" i="1"/>
  <c r="G134" i="1"/>
  <c r="F134" i="1"/>
  <c r="M133" i="1"/>
  <c r="L133" i="1"/>
  <c r="K133" i="1"/>
  <c r="J133" i="1"/>
  <c r="I133" i="1"/>
  <c r="H133" i="1"/>
  <c r="G133" i="1"/>
  <c r="F133" i="1"/>
  <c r="M132" i="1"/>
  <c r="L132" i="1"/>
  <c r="K132" i="1"/>
  <c r="J132" i="1"/>
  <c r="I132" i="1"/>
  <c r="H132" i="1"/>
  <c r="G132" i="1"/>
  <c r="F132" i="1"/>
  <c r="M131" i="1"/>
  <c r="L131" i="1"/>
  <c r="K131" i="1"/>
  <c r="J131" i="1"/>
  <c r="I131" i="1"/>
  <c r="H131" i="1"/>
  <c r="G131" i="1"/>
  <c r="F131" i="1"/>
  <c r="M130" i="1"/>
  <c r="L130" i="1"/>
  <c r="K130" i="1"/>
  <c r="J130" i="1"/>
  <c r="I130" i="1"/>
  <c r="H130" i="1"/>
  <c r="G130" i="1"/>
  <c r="F130" i="1"/>
  <c r="M129" i="1"/>
  <c r="L129" i="1"/>
  <c r="K129" i="1"/>
  <c r="J129" i="1"/>
  <c r="I129" i="1"/>
  <c r="H129" i="1"/>
  <c r="G129" i="1"/>
  <c r="F129" i="1"/>
  <c r="M115" i="1"/>
  <c r="L115" i="1"/>
  <c r="K115" i="1"/>
  <c r="J115" i="1"/>
  <c r="I115" i="1"/>
  <c r="H115" i="1"/>
  <c r="G115" i="1"/>
  <c r="F115" i="1"/>
  <c r="M114" i="1"/>
  <c r="L114" i="1"/>
  <c r="K114" i="1"/>
  <c r="J114" i="1"/>
  <c r="I114" i="1"/>
  <c r="H114" i="1"/>
  <c r="G114" i="1"/>
  <c r="F114" i="1"/>
  <c r="M113" i="1"/>
  <c r="L113" i="1"/>
  <c r="K113" i="1"/>
  <c r="J113" i="1"/>
  <c r="I113" i="1"/>
  <c r="H113" i="1"/>
  <c r="G113" i="1"/>
  <c r="F113" i="1"/>
  <c r="M112" i="1"/>
  <c r="L112" i="1"/>
  <c r="K112" i="1"/>
  <c r="J112" i="1"/>
  <c r="I112" i="1"/>
  <c r="H112" i="1"/>
  <c r="G112" i="1"/>
  <c r="F112" i="1"/>
  <c r="M111" i="1"/>
  <c r="L111" i="1"/>
  <c r="K111" i="1"/>
  <c r="J111" i="1"/>
  <c r="I111" i="1"/>
  <c r="H111" i="1"/>
  <c r="G111" i="1"/>
  <c r="F111" i="1"/>
  <c r="M110" i="1"/>
  <c r="L110" i="1"/>
  <c r="K110" i="1"/>
  <c r="J110" i="1"/>
  <c r="I110" i="1"/>
  <c r="H110" i="1"/>
  <c r="G110" i="1"/>
  <c r="F110" i="1"/>
  <c r="M109" i="1"/>
  <c r="L109" i="1"/>
  <c r="K109" i="1"/>
  <c r="J109" i="1"/>
  <c r="I109" i="1"/>
  <c r="H109" i="1"/>
  <c r="G109" i="1"/>
  <c r="F109" i="1"/>
  <c r="M108" i="1"/>
  <c r="L108" i="1"/>
  <c r="K108" i="1"/>
  <c r="J108" i="1"/>
  <c r="I108" i="1"/>
  <c r="H108" i="1"/>
  <c r="G108" i="1"/>
  <c r="F108" i="1"/>
  <c r="M107" i="1"/>
  <c r="L107" i="1"/>
  <c r="K107" i="1"/>
  <c r="J107" i="1"/>
  <c r="I107" i="1"/>
  <c r="H107" i="1"/>
  <c r="G107" i="1"/>
  <c r="F107" i="1"/>
  <c r="M106" i="1"/>
  <c r="L106" i="1"/>
  <c r="K106" i="1"/>
  <c r="J106" i="1"/>
  <c r="I106" i="1"/>
  <c r="H106" i="1"/>
  <c r="G106" i="1"/>
  <c r="F106" i="1"/>
  <c r="M105" i="1"/>
  <c r="L105" i="1"/>
  <c r="K105" i="1"/>
  <c r="J105" i="1"/>
  <c r="I105" i="1"/>
  <c r="H105" i="1"/>
  <c r="G105" i="1"/>
  <c r="F105" i="1"/>
  <c r="M104" i="1"/>
  <c r="L104" i="1"/>
  <c r="K104" i="1"/>
  <c r="J104" i="1"/>
  <c r="I104" i="1"/>
  <c r="H104" i="1"/>
  <c r="G104" i="1"/>
  <c r="F104" i="1"/>
  <c r="M93" i="1"/>
  <c r="L93" i="1"/>
  <c r="K93" i="1"/>
  <c r="J93" i="1"/>
  <c r="I93" i="1"/>
  <c r="H93" i="1"/>
  <c r="G93" i="1"/>
  <c r="F93" i="1"/>
  <c r="M92" i="1"/>
  <c r="L92" i="1"/>
  <c r="K92" i="1"/>
  <c r="J92" i="1"/>
  <c r="I92" i="1"/>
  <c r="H92" i="1"/>
  <c r="G92" i="1"/>
  <c r="F92" i="1"/>
  <c r="M91" i="1"/>
  <c r="L91" i="1"/>
  <c r="K91" i="1"/>
  <c r="J91" i="1"/>
  <c r="I91" i="1"/>
  <c r="H91" i="1"/>
  <c r="G91" i="1"/>
  <c r="F91" i="1"/>
  <c r="M90" i="1"/>
  <c r="L90" i="1"/>
  <c r="K90" i="1"/>
  <c r="J90" i="1"/>
  <c r="I90" i="1"/>
  <c r="H90" i="1"/>
  <c r="G90" i="1"/>
  <c r="F90" i="1"/>
  <c r="M89" i="1"/>
  <c r="L89" i="1"/>
  <c r="K89" i="1"/>
  <c r="J89" i="1"/>
  <c r="I89" i="1"/>
  <c r="H89" i="1"/>
  <c r="G89" i="1"/>
  <c r="F89" i="1"/>
  <c r="M88" i="1"/>
  <c r="L88" i="1"/>
  <c r="K88" i="1"/>
  <c r="J88" i="1"/>
  <c r="I88" i="1"/>
  <c r="H88" i="1"/>
  <c r="G88" i="1"/>
  <c r="F88" i="1"/>
  <c r="M87" i="1"/>
  <c r="L87" i="1"/>
  <c r="K87" i="1"/>
  <c r="J87" i="1"/>
  <c r="I87" i="1"/>
  <c r="H87" i="1"/>
  <c r="G87" i="1"/>
  <c r="F87" i="1"/>
  <c r="M86" i="1"/>
  <c r="L86" i="1"/>
  <c r="K86" i="1"/>
  <c r="J86" i="1"/>
  <c r="I86" i="1"/>
  <c r="H86" i="1"/>
  <c r="G86" i="1"/>
  <c r="F86" i="1"/>
  <c r="M71" i="1"/>
  <c r="L71" i="1"/>
  <c r="K71" i="1"/>
  <c r="J71" i="1"/>
  <c r="I71" i="1"/>
  <c r="H71" i="1"/>
  <c r="G71" i="1"/>
  <c r="F71" i="1"/>
  <c r="M70" i="1"/>
  <c r="L70" i="1"/>
  <c r="K70" i="1"/>
  <c r="J70" i="1"/>
  <c r="I70" i="1"/>
  <c r="H70" i="1"/>
  <c r="G70" i="1"/>
  <c r="F70" i="1"/>
  <c r="M69" i="1"/>
  <c r="L69" i="1"/>
  <c r="K69" i="1"/>
  <c r="J69" i="1"/>
  <c r="I69" i="1"/>
  <c r="H69" i="1"/>
  <c r="G69" i="1"/>
  <c r="F69" i="1"/>
  <c r="M68" i="1"/>
  <c r="L68" i="1"/>
  <c r="K68" i="1"/>
  <c r="J68" i="1"/>
  <c r="I68" i="1"/>
  <c r="H68" i="1"/>
  <c r="G68" i="1"/>
  <c r="F68" i="1"/>
  <c r="M67" i="1"/>
  <c r="L67" i="1"/>
  <c r="K67" i="1"/>
  <c r="J67" i="1"/>
  <c r="I67" i="1"/>
  <c r="H67" i="1"/>
  <c r="G67" i="1"/>
  <c r="F67" i="1"/>
  <c r="M66" i="1"/>
  <c r="L66" i="1"/>
  <c r="K66" i="1"/>
  <c r="J66" i="1"/>
  <c r="I66" i="1"/>
  <c r="H66" i="1"/>
  <c r="G66" i="1"/>
  <c r="F66" i="1"/>
  <c r="M65" i="1"/>
  <c r="L65" i="1"/>
  <c r="K65" i="1"/>
  <c r="J65" i="1"/>
  <c r="I65" i="1"/>
  <c r="H65" i="1"/>
  <c r="G65" i="1"/>
  <c r="F65" i="1"/>
  <c r="M64" i="1"/>
  <c r="L64" i="1"/>
  <c r="K64" i="1"/>
  <c r="J64" i="1"/>
  <c r="I64" i="1"/>
  <c r="H64" i="1"/>
  <c r="G64" i="1"/>
  <c r="F64" i="1"/>
  <c r="M63" i="1"/>
  <c r="L63" i="1"/>
  <c r="K63" i="1"/>
  <c r="J63" i="1"/>
  <c r="I63" i="1"/>
  <c r="H63" i="1"/>
  <c r="G63" i="1"/>
  <c r="F63" i="1"/>
  <c r="M49" i="1"/>
  <c r="L49" i="1"/>
  <c r="K49" i="1"/>
  <c r="J49" i="1"/>
  <c r="I49" i="1"/>
  <c r="H49" i="1"/>
  <c r="G49" i="1"/>
  <c r="F49" i="1"/>
  <c r="M48" i="1"/>
  <c r="L48" i="1"/>
  <c r="K48" i="1"/>
  <c r="J48" i="1"/>
  <c r="I48" i="1"/>
  <c r="H48" i="1"/>
  <c r="G48" i="1"/>
  <c r="F48" i="1"/>
  <c r="M47" i="1"/>
  <c r="L47" i="1"/>
  <c r="K47" i="1"/>
  <c r="J47" i="1"/>
  <c r="I47" i="1"/>
  <c r="H47" i="1"/>
  <c r="G47" i="1"/>
  <c r="F47" i="1"/>
  <c r="M46" i="1"/>
  <c r="L46" i="1"/>
  <c r="K46" i="1"/>
  <c r="J46" i="1"/>
  <c r="I46" i="1"/>
  <c r="H46" i="1"/>
  <c r="G46" i="1"/>
  <c r="F46" i="1"/>
  <c r="M45" i="1"/>
  <c r="L45" i="1"/>
  <c r="K45" i="1"/>
  <c r="J45" i="1"/>
  <c r="I45" i="1"/>
  <c r="H45" i="1"/>
  <c r="G45" i="1"/>
  <c r="F45" i="1"/>
  <c r="M27" i="1"/>
  <c r="L27" i="1"/>
  <c r="K27" i="1"/>
  <c r="J27" i="1"/>
  <c r="I27" i="1"/>
  <c r="H27" i="1"/>
  <c r="G27" i="1"/>
  <c r="F27" i="1"/>
  <c r="M26" i="1"/>
  <c r="L26" i="1"/>
  <c r="K26" i="1"/>
  <c r="J26" i="1"/>
  <c r="I26" i="1"/>
  <c r="H26" i="1"/>
  <c r="G26" i="1"/>
  <c r="F26" i="1"/>
  <c r="M25" i="1"/>
  <c r="L25" i="1"/>
  <c r="K25" i="1"/>
  <c r="J25" i="1"/>
  <c r="I25" i="1"/>
  <c r="H25" i="1"/>
  <c r="G25" i="1"/>
  <c r="F25" i="1"/>
  <c r="M24" i="1"/>
  <c r="L24" i="1"/>
  <c r="K24" i="1"/>
  <c r="J24" i="1"/>
  <c r="I24" i="1"/>
  <c r="H24" i="1"/>
  <c r="G24" i="1"/>
  <c r="F24" i="1"/>
  <c r="M23" i="1"/>
  <c r="L23" i="1"/>
  <c r="K23" i="1"/>
  <c r="J23" i="1"/>
  <c r="I23" i="1"/>
  <c r="H23" i="1"/>
  <c r="G23" i="1"/>
  <c r="F23" i="1"/>
  <c r="M22" i="1"/>
  <c r="L22" i="1"/>
  <c r="K22" i="1"/>
  <c r="J22" i="1"/>
  <c r="I22" i="1"/>
  <c r="H22" i="1"/>
  <c r="G22" i="1"/>
  <c r="F22" i="1"/>
  <c r="M21" i="1"/>
  <c r="L21" i="1"/>
  <c r="K21" i="1"/>
  <c r="J21" i="1"/>
  <c r="I21" i="1"/>
  <c r="H21" i="1"/>
  <c r="G21" i="1"/>
  <c r="F21" i="1"/>
  <c r="M20" i="1"/>
  <c r="L20" i="1"/>
  <c r="K20" i="1"/>
  <c r="J20" i="1"/>
  <c r="I20" i="1"/>
  <c r="H20" i="1"/>
  <c r="G20" i="1"/>
  <c r="F20" i="1"/>
  <c r="M19" i="1"/>
  <c r="L19" i="1"/>
  <c r="K19" i="1"/>
  <c r="J19" i="1"/>
  <c r="I19" i="1"/>
  <c r="H19" i="1"/>
  <c r="G19" i="1"/>
  <c r="F19" i="1"/>
  <c r="M18" i="1"/>
  <c r="L18" i="1"/>
  <c r="K18" i="1"/>
  <c r="J18" i="1"/>
  <c r="I18" i="1"/>
  <c r="H18" i="1"/>
  <c r="G18" i="1"/>
  <c r="F18" i="1"/>
  <c r="M17" i="1"/>
  <c r="L17" i="1"/>
  <c r="K17" i="1"/>
  <c r="J17" i="1"/>
  <c r="I17" i="1"/>
  <c r="H17" i="1"/>
  <c r="G17" i="1"/>
  <c r="F17" i="1"/>
  <c r="M7" i="2" a="1"/>
  <c r="M7" i="2" s="1"/>
  <c r="L7" i="2" a="1"/>
  <c r="L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M10" i="2" a="1"/>
  <c r="M10" i="2" s="1"/>
  <c r="L10" i="2" a="1"/>
  <c r="L10" i="2" s="1"/>
  <c r="K10" i="2" a="1"/>
  <c r="K10" i="2" s="1"/>
  <c r="J10" i="2" a="1"/>
  <c r="J10" i="2" s="1"/>
  <c r="I10" i="2" a="1"/>
  <c r="I10" i="2" s="1"/>
  <c r="H10" i="2" a="1"/>
  <c r="H10" i="2" s="1"/>
  <c r="G10" i="2" a="1"/>
  <c r="G10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M19" i="2" a="1"/>
  <c r="M19" i="2" s="1"/>
  <c r="L19" i="2" a="1"/>
  <c r="L19" i="2" s="1"/>
  <c r="K19" i="2" a="1"/>
  <c r="K19" i="2" s="1"/>
  <c r="J19" i="2" a="1"/>
  <c r="J19" i="2" s="1"/>
  <c r="I19" i="2" a="1"/>
  <c r="I19" i="2" s="1"/>
  <c r="H19" i="2" a="1"/>
  <c r="H19" i="2" s="1"/>
  <c r="G19" i="2" a="1"/>
  <c r="G19" i="2" s="1"/>
  <c r="M22" i="2" a="1"/>
  <c r="M22" i="2" s="1"/>
  <c r="L22" i="2" a="1"/>
  <c r="L22" i="2" s="1"/>
  <c r="K22" i="2" a="1"/>
  <c r="K22" i="2" s="1"/>
  <c r="J22" i="2" a="1"/>
  <c r="J22" i="2" s="1"/>
  <c r="I22" i="2" a="1"/>
  <c r="I22" i="2" s="1"/>
  <c r="H22" i="2" a="1"/>
  <c r="H22" i="2" s="1"/>
  <c r="G22" i="2" a="1"/>
  <c r="G22" i="2" s="1"/>
  <c r="M25" i="2" a="1"/>
  <c r="M25" i="2" s="1"/>
  <c r="L25" i="2" a="1"/>
  <c r="L25" i="2" s="1"/>
  <c r="K25" i="2" a="1"/>
  <c r="K25" i="2" s="1"/>
  <c r="J25" i="2" a="1"/>
  <c r="J25" i="2" s="1"/>
  <c r="I25" i="2" a="1"/>
  <c r="I25" i="2" s="1"/>
  <c r="H25" i="2" a="1"/>
  <c r="H25" i="2" s="1"/>
  <c r="G25" i="2" a="1"/>
  <c r="G25" i="2" s="1"/>
  <c r="M28" i="2" a="1"/>
  <c r="M28" i="2" s="1"/>
  <c r="L28" i="2" a="1"/>
  <c r="L28" i="2" s="1"/>
  <c r="K28" i="2" a="1"/>
  <c r="K28" i="2" s="1"/>
  <c r="J28" i="2" a="1"/>
  <c r="J28" i="2" s="1"/>
  <c r="I28" i="2" a="1"/>
  <c r="I28" i="2" s="1"/>
  <c r="H28" i="2" a="1"/>
  <c r="H28" i="2" s="1"/>
  <c r="G28" i="2" a="1"/>
  <c r="G28" i="2" s="1"/>
  <c r="M31" i="2" a="1"/>
  <c r="M31" i="2" s="1"/>
  <c r="L31" i="2" a="1"/>
  <c r="L31" i="2" s="1"/>
  <c r="K31" i="2" a="1"/>
  <c r="K31" i="2" s="1"/>
  <c r="J31" i="2" a="1"/>
  <c r="J31" i="2" s="1"/>
  <c r="I31" i="2" a="1"/>
  <c r="I31" i="2" s="1"/>
  <c r="H31" i="2" a="1"/>
  <c r="H31" i="2" s="1"/>
  <c r="G31" i="2" a="1"/>
  <c r="G31" i="2" s="1"/>
  <c r="M35" i="2" a="1"/>
  <c r="M35" i="2" s="1"/>
  <c r="L35" i="2" a="1"/>
  <c r="L35" i="2" s="1"/>
  <c r="K35" i="2" a="1"/>
  <c r="K35" i="2" s="1"/>
  <c r="J35" i="2" a="1"/>
  <c r="J35" i="2" s="1"/>
  <c r="I35" i="2" a="1"/>
  <c r="I35" i="2" s="1"/>
  <c r="H35" i="2" a="1"/>
  <c r="H35" i="2" s="1"/>
  <c r="G35" i="2" a="1"/>
  <c r="G35" i="2" s="1"/>
  <c r="M38" i="2" a="1"/>
  <c r="M38" i="2" s="1"/>
  <c r="L38" i="2" a="1"/>
  <c r="L38" i="2" s="1"/>
  <c r="K38" i="2" a="1"/>
  <c r="K38" i="2" s="1"/>
  <c r="J38" i="2" a="1"/>
  <c r="J38" i="2" s="1"/>
  <c r="I38" i="2" a="1"/>
  <c r="I38" i="2" s="1"/>
  <c r="H38" i="2" a="1"/>
  <c r="H38" i="2" s="1"/>
  <c r="G38" i="2" a="1"/>
  <c r="G38" i="2" s="1"/>
  <c r="M41" i="2" a="1"/>
  <c r="M41" i="2" s="1"/>
  <c r="L41" i="2" a="1"/>
  <c r="L41" i="2" s="1"/>
  <c r="K41" i="2" a="1"/>
  <c r="K41" i="2" s="1"/>
  <c r="J41" i="2" a="1"/>
  <c r="J41" i="2" s="1"/>
  <c r="I41" i="2" a="1"/>
  <c r="I41" i="2" s="1"/>
  <c r="H41" i="2" a="1"/>
  <c r="H41" i="2" s="1"/>
  <c r="G41" i="2" a="1"/>
  <c r="G41" i="2" s="1"/>
  <c r="M44" i="2" a="1"/>
  <c r="M44" i="2" s="1"/>
  <c r="L44" i="2" a="1"/>
  <c r="L44" i="2" s="1"/>
  <c r="K44" i="2" a="1"/>
  <c r="K44" i="2" s="1"/>
  <c r="J44" i="2" a="1"/>
  <c r="J44" i="2" s="1"/>
  <c r="I44" i="2" a="1"/>
  <c r="I44" i="2" s="1"/>
  <c r="H44" i="2" a="1"/>
  <c r="H44" i="2" s="1"/>
  <c r="G44" i="2" a="1"/>
  <c r="G44" i="2" s="1"/>
  <c r="M47" i="2" a="1"/>
  <c r="M47" i="2" s="1"/>
  <c r="L47" i="2" a="1"/>
  <c r="L47" i="2" s="1"/>
  <c r="K47" i="2" a="1"/>
  <c r="K47" i="2" s="1"/>
  <c r="J47" i="2" a="1"/>
  <c r="J47" i="2" s="1"/>
  <c r="I47" i="2" a="1"/>
  <c r="I47" i="2" s="1"/>
  <c r="H47" i="2" a="1"/>
  <c r="H47" i="2" s="1"/>
  <c r="G47" i="2" a="1"/>
  <c r="G47" i="2" s="1"/>
  <c r="M50" i="2" a="1"/>
  <c r="M50" i="2" s="1"/>
  <c r="L50" i="2" a="1"/>
  <c r="L50" i="2" s="1"/>
  <c r="K50" i="2" a="1"/>
  <c r="K50" i="2" s="1"/>
  <c r="J50" i="2" a="1"/>
  <c r="J50" i="2" s="1"/>
  <c r="I50" i="2" a="1"/>
  <c r="I50" i="2" s="1"/>
  <c r="H50" i="2" a="1"/>
  <c r="H50" i="2" s="1"/>
  <c r="G50" i="2" a="1"/>
  <c r="G50" i="2" s="1"/>
  <c r="M53" i="2" a="1"/>
  <c r="M53" i="2" s="1"/>
  <c r="L53" i="2" a="1"/>
  <c r="L53" i="2" s="1"/>
  <c r="K53" i="2" a="1"/>
  <c r="K53" i="2" s="1"/>
  <c r="J53" i="2" a="1"/>
  <c r="J53" i="2" s="1"/>
  <c r="I53" i="2" a="1"/>
  <c r="I53" i="2" s="1"/>
  <c r="H53" i="2" a="1"/>
  <c r="H53" i="2" s="1"/>
  <c r="G53" i="2" a="1"/>
  <c r="G53" i="2" s="1"/>
  <c r="M56" i="2" a="1"/>
  <c r="M56" i="2" s="1"/>
  <c r="L56" i="2" a="1"/>
  <c r="L56" i="2" s="1"/>
  <c r="K56" i="2" a="1"/>
  <c r="K56" i="2" s="1"/>
  <c r="J56" i="2" a="1"/>
  <c r="J56" i="2" s="1"/>
  <c r="I56" i="2" a="1"/>
  <c r="I56" i="2" s="1"/>
  <c r="H56" i="2" a="1"/>
  <c r="H56" i="2" s="1"/>
  <c r="G56" i="2" a="1"/>
  <c r="G56" i="2" s="1"/>
  <c r="M60" i="2" a="1"/>
  <c r="M60" i="2" s="1"/>
  <c r="L60" i="2" a="1"/>
  <c r="L60" i="2" s="1"/>
  <c r="K60" i="2" a="1"/>
  <c r="K60" i="2" s="1"/>
  <c r="J60" i="2" a="1"/>
  <c r="J60" i="2" s="1"/>
  <c r="I60" i="2" a="1"/>
  <c r="I60" i="2" s="1"/>
  <c r="H60" i="2" a="1"/>
  <c r="H60" i="2" s="1"/>
  <c r="G60" i="2" a="1"/>
  <c r="G60" i="2" s="1"/>
  <c r="M63" i="2" a="1"/>
  <c r="M63" i="2" s="1"/>
  <c r="L63" i="2" a="1"/>
  <c r="L63" i="2" s="1"/>
  <c r="K63" i="2" a="1"/>
  <c r="K63" i="2" s="1"/>
  <c r="J63" i="2" a="1"/>
  <c r="J63" i="2" s="1"/>
  <c r="I63" i="2" a="1"/>
  <c r="I63" i="2" s="1"/>
  <c r="H63" i="2" a="1"/>
  <c r="H63" i="2" s="1"/>
  <c r="G63" i="2" a="1"/>
  <c r="G63" i="2" s="1"/>
  <c r="M66" i="2" a="1"/>
  <c r="M66" i="2" s="1"/>
  <c r="L66" i="2" a="1"/>
  <c r="L66" i="2" s="1"/>
  <c r="K66" i="2" a="1"/>
  <c r="K66" i="2" s="1"/>
  <c r="J66" i="2" a="1"/>
  <c r="J66" i="2" s="1"/>
  <c r="I66" i="2" a="1"/>
  <c r="I66" i="2" s="1"/>
  <c r="H66" i="2" a="1"/>
  <c r="H66" i="2" s="1"/>
  <c r="G66" i="2" a="1"/>
  <c r="G66" i="2" s="1"/>
  <c r="M69" i="2" a="1"/>
  <c r="M69" i="2" s="1"/>
  <c r="L69" i="2" a="1"/>
  <c r="L69" i="2" s="1"/>
  <c r="K69" i="2" a="1"/>
  <c r="K69" i="2" s="1"/>
  <c r="J69" i="2" a="1"/>
  <c r="J69" i="2" s="1"/>
  <c r="I69" i="2" a="1"/>
  <c r="I69" i="2" s="1"/>
  <c r="H69" i="2" a="1"/>
  <c r="H69" i="2" s="1"/>
  <c r="G69" i="2" a="1"/>
  <c r="G69" i="2" s="1"/>
  <c r="M72" i="2" a="1"/>
  <c r="M72" i="2" s="1"/>
  <c r="L72" i="2" a="1"/>
  <c r="L72" i="2" s="1"/>
  <c r="K72" i="2" a="1"/>
  <c r="K72" i="2" s="1"/>
  <c r="J72" i="2" a="1"/>
  <c r="J72" i="2" s="1"/>
  <c r="I72" i="2" a="1"/>
  <c r="I72" i="2" s="1"/>
  <c r="H72" i="2" a="1"/>
  <c r="H72" i="2" s="1"/>
  <c r="G72" i="2" a="1"/>
  <c r="G72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M78" i="2" a="1"/>
  <c r="M78" i="2" s="1"/>
  <c r="L78" i="2" a="1"/>
  <c r="L78" i="2" s="1"/>
  <c r="K78" i="2" a="1"/>
  <c r="K78" i="2" s="1"/>
  <c r="J78" i="2" a="1"/>
  <c r="J78" i="2" s="1"/>
  <c r="I78" i="2" a="1"/>
  <c r="I78" i="2" s="1"/>
  <c r="H78" i="2" a="1"/>
  <c r="H78" i="2" s="1"/>
  <c r="G78" i="2" a="1"/>
  <c r="G78" i="2" s="1"/>
  <c r="M88" i="2" a="1"/>
  <c r="M88" i="2" s="1"/>
  <c r="L88" i="2" a="1"/>
  <c r="L88" i="2" s="1"/>
  <c r="K88" i="2" a="1"/>
  <c r="K88" i="2" s="1"/>
  <c r="J88" i="2" a="1"/>
  <c r="J88" i="2" s="1"/>
  <c r="I88" i="2" a="1"/>
  <c r="I88" i="2" s="1"/>
  <c r="H88" i="2" a="1"/>
  <c r="H88" i="2" s="1"/>
  <c r="G88" i="2" a="1"/>
  <c r="G88" i="2" s="1"/>
  <c r="M91" i="2" a="1"/>
  <c r="M91" i="2" s="1"/>
  <c r="L91" i="2" a="1"/>
  <c r="L91" i="2" s="1"/>
  <c r="K91" i="2" a="1"/>
  <c r="K91" i="2" s="1"/>
  <c r="J91" i="2" a="1"/>
  <c r="J91" i="2" s="1"/>
  <c r="I91" i="2" a="1"/>
  <c r="I91" i="2" s="1"/>
  <c r="H91" i="2" a="1"/>
  <c r="H91" i="2" s="1"/>
  <c r="G91" i="2" a="1"/>
  <c r="G91" i="2" s="1"/>
  <c r="M94" i="2" a="1"/>
  <c r="M94" i="2" s="1"/>
  <c r="L94" i="2" a="1"/>
  <c r="L94" i="2" s="1"/>
  <c r="K94" i="2" a="1"/>
  <c r="K94" i="2" s="1"/>
  <c r="J94" i="2" a="1"/>
  <c r="J94" i="2" s="1"/>
  <c r="I94" i="2" a="1"/>
  <c r="I94" i="2" s="1"/>
  <c r="H94" i="2" a="1"/>
  <c r="H94" i="2" s="1"/>
  <c r="G94" i="2" a="1"/>
  <c r="G94" i="2" s="1"/>
  <c r="M97" i="2" a="1"/>
  <c r="M97" i="2" s="1"/>
  <c r="L97" i="2" a="1"/>
  <c r="L97" i="2" s="1"/>
  <c r="K97" i="2" a="1"/>
  <c r="K97" i="2" s="1"/>
  <c r="J97" i="2" a="1"/>
  <c r="J97" i="2" s="1"/>
  <c r="I97" i="2" a="1"/>
  <c r="I97" i="2" s="1"/>
  <c r="H97" i="2" a="1"/>
  <c r="H97" i="2" s="1"/>
  <c r="G97" i="2" a="1"/>
  <c r="G97" i="2" s="1"/>
  <c r="M100" i="2" a="1"/>
  <c r="M100" i="2" s="1"/>
  <c r="L100" i="2" a="1"/>
  <c r="L100" i="2" s="1"/>
  <c r="K100" i="2" a="1"/>
  <c r="K100" i="2" s="1"/>
  <c r="J100" i="2" a="1"/>
  <c r="J100" i="2" s="1"/>
  <c r="I100" i="2" a="1"/>
  <c r="I100" i="2" s="1"/>
  <c r="H100" i="2" a="1"/>
  <c r="H100" i="2" s="1"/>
  <c r="G100" i="2" a="1"/>
  <c r="G100" i="2" s="1"/>
  <c r="M103" i="2" a="1"/>
  <c r="M103" i="2" s="1"/>
  <c r="L103" i="2" a="1"/>
  <c r="L103" i="2" s="1"/>
  <c r="K103" i="2" a="1"/>
  <c r="K103" i="2" s="1"/>
  <c r="J103" i="2" a="1"/>
  <c r="J103" i="2" s="1"/>
  <c r="I103" i="2" a="1"/>
  <c r="I103" i="2" s="1"/>
  <c r="H103" i="2" a="1"/>
  <c r="H103" i="2" s="1"/>
  <c r="G103" i="2" a="1"/>
  <c r="G103" i="2" s="1"/>
  <c r="M106" i="2" a="1"/>
  <c r="M106" i="2" s="1"/>
  <c r="L106" i="2" a="1"/>
  <c r="L106" i="2" s="1"/>
  <c r="K106" i="2" a="1"/>
  <c r="K106" i="2" s="1"/>
  <c r="J106" i="2" a="1"/>
  <c r="J106" i="2" s="1"/>
  <c r="I106" i="2" a="1"/>
  <c r="I106" i="2" s="1"/>
  <c r="H106" i="2" a="1"/>
  <c r="H106" i="2" s="1"/>
  <c r="G106" i="2" a="1"/>
  <c r="G106" i="2" s="1"/>
  <c r="M109" i="2" a="1"/>
  <c r="M109" i="2" s="1"/>
  <c r="L109" i="2" a="1"/>
  <c r="L109" i="2" s="1"/>
  <c r="K109" i="2" a="1"/>
  <c r="K109" i="2" s="1"/>
  <c r="J109" i="2" a="1"/>
  <c r="J109" i="2" s="1"/>
  <c r="I109" i="2" a="1"/>
  <c r="I109" i="2" s="1"/>
  <c r="H109" i="2" a="1"/>
  <c r="H109" i="2" s="1"/>
  <c r="G109" i="2" a="1"/>
  <c r="G109" i="2" s="1"/>
  <c r="M112" i="2" a="1"/>
  <c r="M112" i="2" s="1"/>
  <c r="L112" i="2" a="1"/>
  <c r="L112" i="2" s="1"/>
  <c r="K112" i="2" a="1"/>
  <c r="K112" i="2" s="1"/>
  <c r="J112" i="2" a="1"/>
  <c r="J112" i="2" s="1"/>
  <c r="I112" i="2" a="1"/>
  <c r="I112" i="2" s="1"/>
  <c r="H112" i="2" a="1"/>
  <c r="H112" i="2" s="1"/>
  <c r="G112" i="2" a="1"/>
  <c r="G112" i="2" s="1"/>
  <c r="M116" i="2" a="1"/>
  <c r="M116" i="2" s="1"/>
  <c r="L116" i="2" a="1"/>
  <c r="L116" i="2" s="1"/>
  <c r="K116" i="2" a="1"/>
  <c r="K116" i="2" s="1"/>
  <c r="J116" i="2" a="1"/>
  <c r="J116" i="2" s="1"/>
  <c r="I116" i="2" a="1"/>
  <c r="I116" i="2" s="1"/>
  <c r="H116" i="2" a="1"/>
  <c r="H116" i="2" s="1"/>
  <c r="G116" i="2" a="1"/>
  <c r="G116" i="2" s="1"/>
  <c r="M119" i="2" a="1"/>
  <c r="M119" i="2" s="1"/>
  <c r="L119" i="2" a="1"/>
  <c r="L119" i="2" s="1"/>
  <c r="K119" i="2" a="1"/>
  <c r="K119" i="2" s="1"/>
  <c r="J119" i="2" a="1"/>
  <c r="J119" i="2" s="1"/>
  <c r="I119" i="2" a="1"/>
  <c r="I119" i="2" s="1"/>
  <c r="H119" i="2" a="1"/>
  <c r="H119" i="2" s="1"/>
  <c r="G119" i="2" a="1"/>
  <c r="G119" i="2" s="1"/>
  <c r="M122" i="2" a="1"/>
  <c r="M122" i="2" s="1"/>
  <c r="L122" i="2" a="1"/>
  <c r="L122" i="2" s="1"/>
  <c r="K122" i="2" a="1"/>
  <c r="K122" i="2" s="1"/>
  <c r="J122" i="2" a="1"/>
  <c r="J122" i="2" s="1"/>
  <c r="I122" i="2" a="1"/>
  <c r="I122" i="2" s="1"/>
  <c r="H122" i="2" a="1"/>
  <c r="H122" i="2" s="1"/>
  <c r="G122" i="2" a="1"/>
  <c r="G122" i="2" s="1"/>
  <c r="M125" i="2" a="1"/>
  <c r="M125" i="2" s="1"/>
  <c r="L125" i="2" a="1"/>
  <c r="L125" i="2" s="1"/>
  <c r="K125" i="2" a="1"/>
  <c r="K125" i="2" s="1"/>
  <c r="J125" i="2" a="1"/>
  <c r="J125" i="2" s="1"/>
  <c r="I125" i="2" a="1"/>
  <c r="I125" i="2" s="1"/>
  <c r="H125" i="2" a="1"/>
  <c r="H125" i="2" s="1"/>
  <c r="G125" i="2" a="1"/>
  <c r="G125" i="2" s="1"/>
  <c r="M128" i="2" a="1"/>
  <c r="M128" i="2" s="1"/>
  <c r="L128" i="2" a="1"/>
  <c r="L128" i="2" s="1"/>
  <c r="K128" i="2" a="1"/>
  <c r="K128" i="2" s="1"/>
  <c r="J128" i="2" a="1"/>
  <c r="J128" i="2" s="1"/>
  <c r="I128" i="2" a="1"/>
  <c r="I128" i="2" s="1"/>
  <c r="H128" i="2" a="1"/>
  <c r="H128" i="2" s="1"/>
  <c r="G128" i="2" a="1"/>
  <c r="G128" i="2" s="1"/>
  <c r="M131" i="2" a="1"/>
  <c r="M131" i="2" s="1"/>
  <c r="L131" i="2" a="1"/>
  <c r="L131" i="2" s="1"/>
  <c r="K131" i="2" a="1"/>
  <c r="K131" i="2" s="1"/>
  <c r="J131" i="2" a="1"/>
  <c r="J131" i="2" s="1"/>
  <c r="I131" i="2" a="1"/>
  <c r="I131" i="2" s="1"/>
  <c r="H131" i="2" a="1"/>
  <c r="H131" i="2" s="1"/>
  <c r="G131" i="2" a="1"/>
  <c r="G131" i="2" s="1"/>
  <c r="M134" i="2" a="1"/>
  <c r="M134" i="2" s="1"/>
  <c r="L134" i="2" a="1"/>
  <c r="L134" i="2" s="1"/>
  <c r="K134" i="2" a="1"/>
  <c r="K134" i="2" s="1"/>
  <c r="J134" i="2" a="1"/>
  <c r="J134" i="2" s="1"/>
  <c r="I134" i="2" a="1"/>
  <c r="I134" i="2" s="1"/>
  <c r="H134" i="2" a="1"/>
  <c r="H134" i="2" s="1"/>
  <c r="G134" i="2" a="1"/>
  <c r="G134" i="2" s="1"/>
  <c r="M137" i="2" a="1"/>
  <c r="M137" i="2" s="1"/>
  <c r="L137" i="2" a="1"/>
  <c r="L137" i="2" s="1"/>
  <c r="K137" i="2" a="1"/>
  <c r="K137" i="2" s="1"/>
  <c r="J137" i="2" a="1"/>
  <c r="J137" i="2" s="1"/>
  <c r="I137" i="2" a="1"/>
  <c r="I137" i="2" s="1"/>
  <c r="H137" i="2" a="1"/>
  <c r="H137" i="2" s="1"/>
  <c r="G137" i="2" a="1"/>
  <c r="G137" i="2" s="1"/>
  <c r="M141" i="2" a="1"/>
  <c r="M141" i="2" s="1"/>
  <c r="L141" i="2" a="1"/>
  <c r="L141" i="2" s="1"/>
  <c r="K141" i="2" a="1"/>
  <c r="K141" i="2" s="1"/>
  <c r="J141" i="2" a="1"/>
  <c r="J141" i="2" s="1"/>
  <c r="I141" i="2" a="1"/>
  <c r="I141" i="2" s="1"/>
  <c r="H141" i="2" a="1"/>
  <c r="H141" i="2" s="1"/>
  <c r="G141" i="2" a="1"/>
  <c r="G141" i="2" s="1"/>
  <c r="M144" i="2" a="1"/>
  <c r="M144" i="2" s="1"/>
  <c r="L144" i="2" a="1"/>
  <c r="L144" i="2" s="1"/>
  <c r="K144" i="2" a="1"/>
  <c r="K144" i="2" s="1"/>
  <c r="J144" i="2" a="1"/>
  <c r="J144" i="2" s="1"/>
  <c r="I144" i="2" a="1"/>
  <c r="I144" i="2" s="1"/>
  <c r="H144" i="2" a="1"/>
  <c r="H144" i="2" s="1"/>
  <c r="G144" i="2" a="1"/>
  <c r="G144" i="2" s="1"/>
  <c r="M147" i="2" a="1"/>
  <c r="M147" i="2" s="1"/>
  <c r="L147" i="2" a="1"/>
  <c r="L147" i="2" s="1"/>
  <c r="K147" i="2" a="1"/>
  <c r="K147" i="2" s="1"/>
  <c r="J147" i="2" a="1"/>
  <c r="J147" i="2" s="1"/>
  <c r="I147" i="2" a="1"/>
  <c r="I147" i="2" s="1"/>
  <c r="H147" i="2" a="1"/>
  <c r="H147" i="2" s="1"/>
  <c r="G147" i="2" a="1"/>
  <c r="G147" i="2" s="1"/>
  <c r="M150" i="2" a="1"/>
  <c r="M150" i="2" s="1"/>
  <c r="L150" i="2" a="1"/>
  <c r="L150" i="2" s="1"/>
  <c r="K150" i="2" a="1"/>
  <c r="K150" i="2" s="1"/>
  <c r="J150" i="2" a="1"/>
  <c r="J150" i="2" s="1"/>
  <c r="I150" i="2" a="1"/>
  <c r="I150" i="2" s="1"/>
  <c r="H150" i="2" a="1"/>
  <c r="H150" i="2" s="1"/>
  <c r="G150" i="2" a="1"/>
  <c r="G150" i="2" s="1"/>
  <c r="M153" i="2" a="1"/>
  <c r="M153" i="2" s="1"/>
  <c r="L153" i="2" a="1"/>
  <c r="L153" i="2" s="1"/>
  <c r="K153" i="2" a="1"/>
  <c r="K153" i="2" s="1"/>
  <c r="J153" i="2" a="1"/>
  <c r="J153" i="2" s="1"/>
  <c r="I153" i="2" a="1"/>
  <c r="I153" i="2" s="1"/>
  <c r="H153" i="2" a="1"/>
  <c r="H153" i="2" s="1"/>
  <c r="G153" i="2" a="1"/>
  <c r="G153" i="2" s="1"/>
  <c r="M156" i="2" a="1"/>
  <c r="M156" i="2" s="1"/>
  <c r="L156" i="2" a="1"/>
  <c r="L156" i="2" s="1"/>
  <c r="K156" i="2" a="1"/>
  <c r="K156" i="2" s="1"/>
  <c r="J156" i="2" a="1"/>
  <c r="J156" i="2" s="1"/>
  <c r="I156" i="2" a="1"/>
  <c r="I156" i="2" s="1"/>
  <c r="H156" i="2" a="1"/>
  <c r="H156" i="2" s="1"/>
  <c r="G156" i="2" a="1"/>
  <c r="G156" i="2" s="1"/>
  <c r="M159" i="2" a="1"/>
  <c r="M159" i="2" s="1"/>
  <c r="L159" i="2" a="1"/>
  <c r="L159" i="2" s="1"/>
  <c r="K159" i="2" a="1"/>
  <c r="K159" i="2" s="1"/>
  <c r="J159" i="2" a="1"/>
  <c r="J159" i="2" s="1"/>
  <c r="I159" i="2" a="1"/>
  <c r="I159" i="2" s="1"/>
  <c r="H159" i="2" a="1"/>
  <c r="H159" i="2" s="1"/>
  <c r="G159" i="2" a="1"/>
  <c r="G159" i="2" s="1"/>
  <c r="M169" i="2" a="1"/>
  <c r="M169" i="2" s="1"/>
  <c r="L169" i="2" a="1"/>
  <c r="L169" i="2" s="1"/>
  <c r="K169" i="2" a="1"/>
  <c r="K169" i="2" s="1"/>
  <c r="J169" i="2" a="1"/>
  <c r="J169" i="2" s="1"/>
  <c r="I169" i="2" a="1"/>
  <c r="I169" i="2" s="1"/>
  <c r="H169" i="2" a="1"/>
  <c r="H169" i="2" s="1"/>
  <c r="G169" i="2" a="1"/>
  <c r="G169" i="2" s="1"/>
  <c r="M172" i="2" a="1"/>
  <c r="M172" i="2" s="1"/>
  <c r="L172" i="2" a="1"/>
  <c r="L172" i="2" s="1"/>
  <c r="K172" i="2" a="1"/>
  <c r="K172" i="2" s="1"/>
  <c r="J172" i="2" a="1"/>
  <c r="J172" i="2" s="1"/>
  <c r="I172" i="2" a="1"/>
  <c r="I172" i="2" s="1"/>
  <c r="H172" i="2" a="1"/>
  <c r="H172" i="2" s="1"/>
  <c r="G172" i="2" a="1"/>
  <c r="G172" i="2" s="1"/>
  <c r="M175" i="2" a="1"/>
  <c r="M175" i="2" s="1"/>
  <c r="L175" i="2" a="1"/>
  <c r="L175" i="2" s="1"/>
  <c r="K175" i="2" a="1"/>
  <c r="K175" i="2" s="1"/>
  <c r="J175" i="2" a="1"/>
  <c r="J175" i="2" s="1"/>
  <c r="I175" i="2" a="1"/>
  <c r="I175" i="2" s="1"/>
  <c r="H175" i="2" a="1"/>
  <c r="H175" i="2" s="1"/>
  <c r="G175" i="2" a="1"/>
  <c r="G175" i="2" s="1"/>
  <c r="M178" i="2" a="1"/>
  <c r="M178" i="2" s="1"/>
  <c r="L178" i="2" a="1"/>
  <c r="L178" i="2" s="1"/>
  <c r="K178" i="2" a="1"/>
  <c r="K178" i="2" s="1"/>
  <c r="J178" i="2" a="1"/>
  <c r="J178" i="2" s="1"/>
  <c r="I178" i="2" a="1"/>
  <c r="I178" i="2" s="1"/>
  <c r="H178" i="2" a="1"/>
  <c r="H178" i="2" s="1"/>
  <c r="G178" i="2" a="1"/>
  <c r="G178" i="2" s="1"/>
  <c r="M181" i="2" a="1"/>
  <c r="M181" i="2" s="1"/>
  <c r="L181" i="2" a="1"/>
  <c r="L181" i="2" s="1"/>
  <c r="K181" i="2" a="1"/>
  <c r="K181" i="2" s="1"/>
  <c r="J181" i="2" a="1"/>
  <c r="J181" i="2" s="1"/>
  <c r="I181" i="2" a="1"/>
  <c r="I181" i="2" s="1"/>
  <c r="H181" i="2" a="1"/>
  <c r="H181" i="2" s="1"/>
  <c r="G181" i="2" a="1"/>
  <c r="G181" i="2" s="1"/>
  <c r="M184" i="2" a="1"/>
  <c r="M184" i="2" s="1"/>
  <c r="L184" i="2" a="1"/>
  <c r="L184" i="2" s="1"/>
  <c r="K184" i="2" a="1"/>
  <c r="K184" i="2" s="1"/>
  <c r="J184" i="2" a="1"/>
  <c r="J184" i="2" s="1"/>
  <c r="I184" i="2" a="1"/>
  <c r="I184" i="2" s="1"/>
  <c r="H184" i="2" a="1"/>
  <c r="H184" i="2" s="1"/>
  <c r="G184" i="2" a="1"/>
  <c r="G184" i="2" s="1"/>
  <c r="M187" i="2" a="1"/>
  <c r="M187" i="2" s="1"/>
  <c r="L187" i="2" a="1"/>
  <c r="L187" i="2" s="1"/>
  <c r="K187" i="2" a="1"/>
  <c r="K187" i="2" s="1"/>
  <c r="J187" i="2" a="1"/>
  <c r="J187" i="2" s="1"/>
  <c r="I187" i="2" a="1"/>
  <c r="I187" i="2" s="1"/>
  <c r="H187" i="2" a="1"/>
  <c r="H187" i="2" s="1"/>
  <c r="G187" i="2" a="1"/>
  <c r="G187" i="2" s="1"/>
  <c r="M190" i="2" a="1"/>
  <c r="M190" i="2" s="1"/>
  <c r="L190" i="2" a="1"/>
  <c r="L190" i="2" s="1"/>
  <c r="K190" i="2" a="1"/>
  <c r="K190" i="2" s="1"/>
  <c r="J190" i="2" a="1"/>
  <c r="J190" i="2" s="1"/>
  <c r="I190" i="2" a="1"/>
  <c r="I190" i="2" s="1"/>
  <c r="H190" i="2" a="1"/>
  <c r="H190" i="2" s="1"/>
  <c r="G190" i="2" a="1"/>
  <c r="G190" i="2" s="1"/>
  <c r="M193" i="2" a="1"/>
  <c r="M193" i="2" s="1"/>
  <c r="L193" i="2" a="1"/>
  <c r="L193" i="2" s="1"/>
  <c r="K193" i="2" a="1"/>
  <c r="K193" i="2" s="1"/>
  <c r="J193" i="2" a="1"/>
  <c r="J193" i="2" s="1"/>
  <c r="I193" i="2" a="1"/>
  <c r="I193" i="2" s="1"/>
  <c r="H193" i="2" a="1"/>
  <c r="H193" i="2" s="1"/>
  <c r="G193" i="2" a="1"/>
  <c r="G193" i="2" s="1"/>
  <c r="M197" i="2" a="1"/>
  <c r="M197" i="2" s="1"/>
  <c r="L197" i="2" a="1"/>
  <c r="L197" i="2" s="1"/>
  <c r="K197" i="2" a="1"/>
  <c r="K197" i="2" s="1"/>
  <c r="J197" i="2" a="1"/>
  <c r="J197" i="2" s="1"/>
  <c r="I197" i="2" a="1"/>
  <c r="I197" i="2" s="1"/>
  <c r="H197" i="2" a="1"/>
  <c r="H197" i="2" s="1"/>
  <c r="G197" i="2" a="1"/>
  <c r="G197" i="2" s="1"/>
  <c r="M200" i="2" a="1"/>
  <c r="M200" i="2" s="1"/>
  <c r="L200" i="2" a="1"/>
  <c r="L200" i="2" s="1"/>
  <c r="K200" i="2" a="1"/>
  <c r="K200" i="2" s="1"/>
  <c r="J200" i="2" a="1"/>
  <c r="J200" i="2" s="1"/>
  <c r="I200" i="2" a="1"/>
  <c r="I200" i="2" s="1"/>
  <c r="H200" i="2" a="1"/>
  <c r="H200" i="2" s="1"/>
  <c r="G200" i="2" a="1"/>
  <c r="G200" i="2" s="1"/>
  <c r="M203" i="2" a="1"/>
  <c r="M203" i="2" s="1"/>
  <c r="L203" i="2" a="1"/>
  <c r="L203" i="2" s="1"/>
  <c r="K203" i="2" a="1"/>
  <c r="K203" i="2" s="1"/>
  <c r="J203" i="2" a="1"/>
  <c r="J203" i="2" s="1"/>
  <c r="I203" i="2" a="1"/>
  <c r="I203" i="2" s="1"/>
  <c r="H203" i="2" a="1"/>
  <c r="H203" i="2" s="1"/>
  <c r="G203" i="2" a="1"/>
  <c r="G203" i="2" s="1"/>
  <c r="M206" i="2" a="1"/>
  <c r="M206" i="2" s="1"/>
  <c r="L206" i="2" a="1"/>
  <c r="L206" i="2" s="1"/>
  <c r="K206" i="2" a="1"/>
  <c r="K206" i="2" s="1"/>
  <c r="J206" i="2" a="1"/>
  <c r="J206" i="2" s="1"/>
  <c r="I206" i="2" a="1"/>
  <c r="I206" i="2" s="1"/>
  <c r="H206" i="2" a="1"/>
  <c r="H206" i="2" s="1"/>
  <c r="G206" i="2" a="1"/>
  <c r="G206" i="2" s="1"/>
  <c r="M209" i="2" a="1"/>
  <c r="M209" i="2" s="1"/>
  <c r="L209" i="2" a="1"/>
  <c r="L209" i="2" s="1"/>
  <c r="K209" i="2" a="1"/>
  <c r="K209" i="2" s="1"/>
  <c r="J209" i="2" a="1"/>
  <c r="J209" i="2" s="1"/>
  <c r="I209" i="2" a="1"/>
  <c r="I209" i="2" s="1"/>
  <c r="H209" i="2" a="1"/>
  <c r="H209" i="2" s="1"/>
  <c r="G209" i="2" a="1"/>
  <c r="G209" i="2" s="1"/>
  <c r="M212" i="2" a="1"/>
  <c r="M212" i="2" s="1"/>
  <c r="L212" i="2" a="1"/>
  <c r="L212" i="2" s="1"/>
  <c r="K212" i="2" a="1"/>
  <c r="K212" i="2" s="1"/>
  <c r="J212" i="2" a="1"/>
  <c r="J212" i="2" s="1"/>
  <c r="I212" i="2" a="1"/>
  <c r="I212" i="2" s="1"/>
  <c r="H212" i="2" a="1"/>
  <c r="H212" i="2" s="1"/>
  <c r="G212" i="2" a="1"/>
  <c r="G212" i="2" s="1"/>
  <c r="M215" i="2" a="1"/>
  <c r="M215" i="2" s="1"/>
  <c r="L215" i="2" a="1"/>
  <c r="L215" i="2" s="1"/>
  <c r="K215" i="2" a="1"/>
  <c r="K215" i="2" s="1"/>
  <c r="J215" i="2" a="1"/>
  <c r="J215" i="2" s="1"/>
  <c r="I215" i="2" a="1"/>
  <c r="I215" i="2" s="1"/>
  <c r="H215" i="2" a="1"/>
  <c r="H215" i="2" s="1"/>
  <c r="G215" i="2" a="1"/>
  <c r="G215" i="2" s="1"/>
  <c r="M218" i="2" a="1"/>
  <c r="M218" i="2" s="1"/>
  <c r="L218" i="2" a="1"/>
  <c r="L218" i="2" s="1"/>
  <c r="K218" i="2" a="1"/>
  <c r="K218" i="2" s="1"/>
  <c r="J218" i="2" a="1"/>
  <c r="J218" i="2" s="1"/>
  <c r="I218" i="2" a="1"/>
  <c r="I218" i="2" s="1"/>
  <c r="H218" i="2" a="1"/>
  <c r="H218" i="2" s="1"/>
  <c r="G218" i="2" a="1"/>
  <c r="G218" i="2" s="1"/>
  <c r="M222" i="2" a="1"/>
  <c r="M222" i="2" s="1"/>
  <c r="L222" i="2" a="1"/>
  <c r="L222" i="2" s="1"/>
  <c r="K222" i="2" a="1"/>
  <c r="K222" i="2" s="1"/>
  <c r="J222" i="2" a="1"/>
  <c r="J222" i="2" s="1"/>
  <c r="I222" i="2" a="1"/>
  <c r="I222" i="2" s="1"/>
  <c r="H222" i="2" a="1"/>
  <c r="H222" i="2" s="1"/>
  <c r="G222" i="2" a="1"/>
  <c r="G222" i="2" s="1"/>
  <c r="M225" i="2" a="1"/>
  <c r="M225" i="2" s="1"/>
  <c r="L225" i="2" a="1"/>
  <c r="L225" i="2" s="1"/>
  <c r="K225" i="2" a="1"/>
  <c r="K225" i="2" s="1"/>
  <c r="J225" i="2" a="1"/>
  <c r="J225" i="2" s="1"/>
  <c r="I225" i="2" a="1"/>
  <c r="I225" i="2" s="1"/>
  <c r="H225" i="2" a="1"/>
  <c r="H225" i="2" s="1"/>
  <c r="G225" i="2" a="1"/>
  <c r="G225" i="2" s="1"/>
  <c r="M228" i="2" a="1"/>
  <c r="M228" i="2" s="1"/>
  <c r="L228" i="2" a="1"/>
  <c r="L228" i="2" s="1"/>
  <c r="K228" i="2" a="1"/>
  <c r="K228" i="2" s="1"/>
  <c r="J228" i="2" a="1"/>
  <c r="J228" i="2" s="1"/>
  <c r="I228" i="2" a="1"/>
  <c r="I228" i="2" s="1"/>
  <c r="H228" i="2" a="1"/>
  <c r="H228" i="2" s="1"/>
  <c r="G228" i="2" a="1"/>
  <c r="G228" i="2" s="1"/>
  <c r="M231" i="2" a="1"/>
  <c r="M231" i="2" s="1"/>
  <c r="L231" i="2" a="1"/>
  <c r="L231" i="2" s="1"/>
  <c r="K231" i="2" a="1"/>
  <c r="K231" i="2" s="1"/>
  <c r="J231" i="2" a="1"/>
  <c r="J231" i="2" s="1"/>
  <c r="I231" i="2" a="1"/>
  <c r="I231" i="2" s="1"/>
  <c r="H231" i="2" a="1"/>
  <c r="H231" i="2" s="1"/>
  <c r="G231" i="2" a="1"/>
  <c r="G231" i="2" s="1"/>
  <c r="M234" i="2" a="1"/>
  <c r="M234" i="2" s="1"/>
  <c r="L234" i="2" a="1"/>
  <c r="L234" i="2" s="1"/>
  <c r="K234" i="2" a="1"/>
  <c r="K234" i="2" s="1"/>
  <c r="J234" i="2" a="1"/>
  <c r="J234" i="2" s="1"/>
  <c r="I234" i="2" a="1"/>
  <c r="I234" i="2" s="1"/>
  <c r="H234" i="2" a="1"/>
  <c r="H234" i="2" s="1"/>
  <c r="G234" i="2" a="1"/>
  <c r="G234" i="2" s="1"/>
  <c r="M237" i="2" a="1"/>
  <c r="M237" i="2" s="1"/>
  <c r="L237" i="2" a="1"/>
  <c r="L237" i="2" s="1"/>
  <c r="K237" i="2" a="1"/>
  <c r="K237" i="2" s="1"/>
  <c r="J237" i="2" a="1"/>
  <c r="J237" i="2" s="1"/>
  <c r="I237" i="2" a="1"/>
  <c r="I237" i="2" s="1"/>
  <c r="H237" i="2" a="1"/>
  <c r="H237" i="2" s="1"/>
  <c r="G237" i="2" a="1"/>
  <c r="G237" i="2" s="1"/>
  <c r="M240" i="2" a="1"/>
  <c r="M240" i="2" s="1"/>
  <c r="L240" i="2" a="1"/>
  <c r="L240" i="2" s="1"/>
  <c r="K240" i="2" a="1"/>
  <c r="K240" i="2" s="1"/>
  <c r="J240" i="2" a="1"/>
  <c r="J240" i="2" s="1"/>
  <c r="I240" i="2" a="1"/>
  <c r="I240" i="2" s="1"/>
  <c r="H240" i="2" a="1"/>
  <c r="H240" i="2" s="1"/>
  <c r="G240" i="2" a="1"/>
  <c r="G240" i="2" s="1"/>
  <c r="M267" i="2" a="1"/>
  <c r="M267" i="2" s="1"/>
  <c r="L267" i="2" a="1"/>
  <c r="L267" i="2" s="1"/>
  <c r="K267" i="2" a="1"/>
  <c r="K267" i="2" s="1"/>
  <c r="J267" i="2" a="1"/>
  <c r="J267" i="2" s="1"/>
  <c r="I267" i="2" a="1"/>
  <c r="I267" i="2" s="1"/>
  <c r="H267" i="2" a="1"/>
  <c r="H267" i="2" s="1"/>
  <c r="G267" i="2" a="1"/>
  <c r="G267" i="2" s="1"/>
  <c r="M265" i="2" a="1"/>
  <c r="M265" i="2" s="1"/>
  <c r="L265" i="2" a="1"/>
  <c r="L265" i="2" s="1"/>
  <c r="K265" i="2" a="1"/>
  <c r="K265" i="2" s="1"/>
  <c r="J265" i="2" a="1"/>
  <c r="J265" i="2" s="1"/>
  <c r="I265" i="2" a="1"/>
  <c r="I265" i="2" s="1"/>
  <c r="H265" i="2" a="1"/>
  <c r="H265" i="2" s="1"/>
  <c r="G265" i="2" a="1"/>
  <c r="G265" i="2" s="1"/>
  <c r="M263" i="2" a="1"/>
  <c r="M263" i="2" s="1"/>
  <c r="L263" i="2" a="1"/>
  <c r="L263" i="2" s="1"/>
  <c r="K263" i="2" a="1"/>
  <c r="K263" i="2" s="1"/>
  <c r="J263" i="2" a="1"/>
  <c r="J263" i="2" s="1"/>
  <c r="I263" i="2" a="1"/>
  <c r="I263" i="2" s="1"/>
  <c r="H263" i="2" a="1"/>
  <c r="H263" i="2" s="1"/>
  <c r="G263" i="2" a="1"/>
  <c r="G263" i="2" s="1"/>
  <c r="M261" i="2" a="1"/>
  <c r="M261" i="2" s="1"/>
  <c r="L261" i="2" a="1"/>
  <c r="L261" i="2" s="1"/>
  <c r="K261" i="2" a="1"/>
  <c r="K261" i="2" s="1"/>
  <c r="J261" i="2" a="1"/>
  <c r="J261" i="2" s="1"/>
  <c r="I261" i="2" a="1"/>
  <c r="I261" i="2" s="1"/>
  <c r="H261" i="2" a="1"/>
  <c r="H261" i="2" s="1"/>
  <c r="G261" i="2" a="1"/>
  <c r="G261" i="2" s="1"/>
  <c r="M259" i="2" a="1"/>
  <c r="M259" i="2" s="1"/>
  <c r="L259" i="2" a="1"/>
  <c r="L259" i="2" s="1"/>
  <c r="K259" i="2" a="1"/>
  <c r="K259" i="2" s="1"/>
  <c r="J259" i="2" a="1"/>
  <c r="J259" i="2" s="1"/>
  <c r="I259" i="2" a="1"/>
  <c r="I259" i="2" s="1"/>
  <c r="H259" i="2" a="1"/>
  <c r="H259" i="2" s="1"/>
  <c r="G259" i="2" a="1"/>
  <c r="G259" i="2" s="1"/>
  <c r="M257" i="2" a="1"/>
  <c r="M257" i="2" s="1"/>
  <c r="L257" i="2" a="1"/>
  <c r="L257" i="2" s="1"/>
  <c r="K257" i="2" a="1"/>
  <c r="K257" i="2" s="1"/>
  <c r="J257" i="2" a="1"/>
  <c r="J257" i="2" s="1"/>
  <c r="I257" i="2" a="1"/>
  <c r="I257" i="2" s="1"/>
  <c r="H257" i="2" a="1"/>
  <c r="H257" i="2" s="1"/>
  <c r="G257" i="2" a="1"/>
  <c r="G257" i="2" s="1"/>
  <c r="M255" i="2" a="1"/>
  <c r="M255" i="2" s="1"/>
  <c r="L255" i="2" a="1"/>
  <c r="L255" i="2" s="1"/>
  <c r="K255" i="2" a="1"/>
  <c r="K255" i="2" s="1"/>
  <c r="J255" i="2" a="1"/>
  <c r="J255" i="2" s="1"/>
  <c r="I255" i="2" a="1"/>
  <c r="I255" i="2" s="1"/>
  <c r="H255" i="2" a="1"/>
  <c r="H255" i="2" s="1"/>
  <c r="G255" i="2" a="1"/>
  <c r="G255" i="2" s="1"/>
  <c r="M253" i="2" a="1"/>
  <c r="M253" i="2" s="1"/>
  <c r="L253" i="2" a="1"/>
  <c r="L253" i="2" s="1"/>
  <c r="K253" i="2" a="1"/>
  <c r="K253" i="2" s="1"/>
  <c r="J253" i="2" a="1"/>
  <c r="J253" i="2" s="1"/>
  <c r="I253" i="2" a="1"/>
  <c r="I253" i="2" s="1"/>
  <c r="H253" i="2" a="1"/>
  <c r="H253" i="2" s="1"/>
  <c r="G253" i="2" a="1"/>
  <c r="G253" i="2" s="1"/>
  <c r="M251" i="2" a="1"/>
  <c r="M251" i="2" s="1"/>
  <c r="L251" i="2" a="1"/>
  <c r="L251" i="2" s="1"/>
  <c r="K251" i="2" a="1"/>
  <c r="K251" i="2" s="1"/>
  <c r="J251" i="2" a="1"/>
  <c r="J251" i="2" s="1"/>
  <c r="I251" i="2" a="1"/>
  <c r="I251" i="2" s="1"/>
  <c r="H251" i="2" a="1"/>
  <c r="H251" i="2" s="1"/>
  <c r="G251" i="2" a="1"/>
  <c r="G251" i="2" s="1"/>
  <c r="M249" i="2" a="1"/>
  <c r="M249" i="2" s="1"/>
  <c r="L249" i="2" a="1"/>
  <c r="L249" i="2" s="1"/>
  <c r="K249" i="2" a="1"/>
  <c r="K249" i="2" s="1"/>
  <c r="J249" i="2" a="1"/>
  <c r="J249" i="2" s="1"/>
  <c r="I249" i="2" a="1"/>
  <c r="I249" i="2" s="1"/>
  <c r="H249" i="2" a="1"/>
  <c r="H249" i="2" s="1"/>
  <c r="G249" i="2" a="1"/>
  <c r="G249" i="2" s="1"/>
  <c r="M241" i="4" a="1"/>
  <c r="M241" i="4" s="1"/>
  <c r="L241" i="4" a="1"/>
  <c r="L241" i="4" s="1"/>
  <c r="K241" i="4" a="1"/>
  <c r="K241" i="4" s="1"/>
  <c r="J241" i="4" a="1"/>
  <c r="J241" i="4" s="1"/>
  <c r="I241" i="4" a="1"/>
  <c r="I241" i="4" s="1"/>
  <c r="H241" i="4" a="1"/>
  <c r="H241" i="4" s="1"/>
  <c r="G241" i="4" a="1"/>
  <c r="G241" i="4" s="1"/>
  <c r="M239" i="4" a="1"/>
  <c r="M239" i="4" s="1"/>
  <c r="L239" i="4" a="1"/>
  <c r="L239" i="4" s="1"/>
  <c r="K239" i="4" a="1"/>
  <c r="K239" i="4" s="1"/>
  <c r="J239" i="4" a="1"/>
  <c r="J239" i="4" s="1"/>
  <c r="I239" i="4" a="1"/>
  <c r="I239" i="4" s="1"/>
  <c r="H239" i="4" a="1"/>
  <c r="H239" i="4" s="1"/>
  <c r="G239" i="4" a="1"/>
  <c r="G239" i="4" s="1"/>
  <c r="M237" i="4" a="1"/>
  <c r="M237" i="4" s="1"/>
  <c r="L237" i="4" a="1"/>
  <c r="L237" i="4" s="1"/>
  <c r="K237" i="4" a="1"/>
  <c r="K237" i="4" s="1"/>
  <c r="J237" i="4" a="1"/>
  <c r="J237" i="4" s="1"/>
  <c r="I237" i="4" a="1"/>
  <c r="I237" i="4" s="1"/>
  <c r="H237" i="4" a="1"/>
  <c r="H237" i="4" s="1"/>
  <c r="G237" i="4" a="1"/>
  <c r="G237" i="4" s="1"/>
  <c r="M235" i="4" a="1"/>
  <c r="M235" i="4" s="1"/>
  <c r="L235" i="4" a="1"/>
  <c r="L235" i="4" s="1"/>
  <c r="K235" i="4" a="1"/>
  <c r="K235" i="4" s="1"/>
  <c r="J235" i="4" a="1"/>
  <c r="J235" i="4" s="1"/>
  <c r="I235" i="4" a="1"/>
  <c r="I235" i="4" s="1"/>
  <c r="H235" i="4" a="1"/>
  <c r="H235" i="4" s="1"/>
  <c r="G235" i="4" a="1"/>
  <c r="G235" i="4" s="1"/>
  <c r="M233" i="4" a="1"/>
  <c r="M233" i="4" s="1"/>
  <c r="L233" i="4" a="1"/>
  <c r="L233" i="4" s="1"/>
  <c r="K233" i="4" a="1"/>
  <c r="K233" i="4" s="1"/>
  <c r="J233" i="4" a="1"/>
  <c r="J233" i="4" s="1"/>
  <c r="I233" i="4" a="1"/>
  <c r="I233" i="4" s="1"/>
  <c r="H233" i="4" a="1"/>
  <c r="H233" i="4" s="1"/>
  <c r="G233" i="4" a="1"/>
  <c r="G233" i="4" s="1"/>
  <c r="M231" i="4" a="1"/>
  <c r="M231" i="4" s="1"/>
  <c r="L231" i="4" a="1"/>
  <c r="L231" i="4" s="1"/>
  <c r="K231" i="4" a="1"/>
  <c r="K231" i="4" s="1"/>
  <c r="J231" i="4" a="1"/>
  <c r="J231" i="4" s="1"/>
  <c r="I231" i="4" a="1"/>
  <c r="I231" i="4" s="1"/>
  <c r="H231" i="4" a="1"/>
  <c r="H231" i="4" s="1"/>
  <c r="G231" i="4" a="1"/>
  <c r="G231" i="4" s="1"/>
  <c r="M222" i="4" a="1"/>
  <c r="M222" i="4" s="1"/>
  <c r="L222" i="4" a="1"/>
  <c r="L222" i="4" s="1"/>
  <c r="K222" i="4" a="1"/>
  <c r="K222" i="4" s="1"/>
  <c r="J222" i="4" a="1"/>
  <c r="J222" i="4" s="1"/>
  <c r="I222" i="4" a="1"/>
  <c r="I222" i="4" s="1"/>
  <c r="H222" i="4" a="1"/>
  <c r="H222" i="4" s="1"/>
  <c r="G222" i="4" a="1"/>
  <c r="G222" i="4" s="1"/>
  <c r="M219" i="4" a="1"/>
  <c r="M219" i="4" s="1"/>
  <c r="L219" i="4" a="1"/>
  <c r="L219" i="4" s="1"/>
  <c r="K219" i="4" a="1"/>
  <c r="K219" i="4" s="1"/>
  <c r="J219" i="4" a="1"/>
  <c r="J219" i="4" s="1"/>
  <c r="I219" i="4" a="1"/>
  <c r="I219" i="4" s="1"/>
  <c r="H219" i="4" a="1"/>
  <c r="H219" i="4" s="1"/>
  <c r="G219" i="4" a="1"/>
  <c r="G219" i="4" s="1"/>
  <c r="M216" i="4" a="1"/>
  <c r="M216" i="4" s="1"/>
  <c r="L216" i="4" a="1"/>
  <c r="L216" i="4" s="1"/>
  <c r="K216" i="4" a="1"/>
  <c r="K216" i="4" s="1"/>
  <c r="J216" i="4" a="1"/>
  <c r="J216" i="4" s="1"/>
  <c r="I216" i="4" a="1"/>
  <c r="I216" i="4" s="1"/>
  <c r="H216" i="4" a="1"/>
  <c r="H216" i="4" s="1"/>
  <c r="G216" i="4" a="1"/>
  <c r="G216" i="4" s="1"/>
  <c r="M213" i="4" a="1"/>
  <c r="M213" i="4" s="1"/>
  <c r="L213" i="4" a="1"/>
  <c r="L213" i="4" s="1"/>
  <c r="K213" i="4" a="1"/>
  <c r="K213" i="4" s="1"/>
  <c r="J213" i="4" a="1"/>
  <c r="J213" i="4" s="1"/>
  <c r="I213" i="4" a="1"/>
  <c r="I213" i="4" s="1"/>
  <c r="H213" i="4" a="1"/>
  <c r="H213" i="4" s="1"/>
  <c r="G213" i="4" a="1"/>
  <c r="G213" i="4" s="1"/>
  <c r="M210" i="4" a="1"/>
  <c r="M210" i="4" s="1"/>
  <c r="L210" i="4" a="1"/>
  <c r="L210" i="4" s="1"/>
  <c r="K210" i="4" a="1"/>
  <c r="K210" i="4" s="1"/>
  <c r="J210" i="4" a="1"/>
  <c r="J210" i="4" s="1"/>
  <c r="I210" i="4" a="1"/>
  <c r="I210" i="4" s="1"/>
  <c r="H210" i="4" a="1"/>
  <c r="H210" i="4" s="1"/>
  <c r="G210" i="4" a="1"/>
  <c r="G210" i="4" s="1"/>
  <c r="M207" i="4" a="1"/>
  <c r="M207" i="4" s="1"/>
  <c r="L207" i="4" a="1"/>
  <c r="L207" i="4" s="1"/>
  <c r="K207" i="4" a="1"/>
  <c r="K207" i="4" s="1"/>
  <c r="J207" i="4" a="1"/>
  <c r="J207" i="4" s="1"/>
  <c r="I207" i="4" a="1"/>
  <c r="I207" i="4" s="1"/>
  <c r="H207" i="4" a="1"/>
  <c r="H207" i="4" s="1"/>
  <c r="G207" i="4" a="1"/>
  <c r="G207" i="4" s="1"/>
  <c r="M204" i="4" a="1"/>
  <c r="M204" i="4" s="1"/>
  <c r="L204" i="4" a="1"/>
  <c r="L204" i="4" s="1"/>
  <c r="K204" i="4" a="1"/>
  <c r="K204" i="4" s="1"/>
  <c r="J204" i="4" a="1"/>
  <c r="J204" i="4" s="1"/>
  <c r="I204" i="4" a="1"/>
  <c r="I204" i="4" s="1"/>
  <c r="H204" i="4" a="1"/>
  <c r="H204" i="4" s="1"/>
  <c r="G204" i="4" a="1"/>
  <c r="G204" i="4" s="1"/>
  <c r="M201" i="4" a="1"/>
  <c r="M201" i="4" s="1"/>
  <c r="L201" i="4" a="1"/>
  <c r="L201" i="4" s="1"/>
  <c r="K201" i="4" a="1"/>
  <c r="K201" i="4" s="1"/>
  <c r="J201" i="4" a="1"/>
  <c r="J201" i="4" s="1"/>
  <c r="I201" i="4" a="1"/>
  <c r="I201" i="4" s="1"/>
  <c r="H201" i="4" a="1"/>
  <c r="H201" i="4" s="1"/>
  <c r="G201" i="4" a="1"/>
  <c r="G201" i="4" s="1"/>
  <c r="M198" i="4" a="1"/>
  <c r="M198" i="4" s="1"/>
  <c r="L198" i="4" a="1"/>
  <c r="L198" i="4" s="1"/>
  <c r="K198" i="4" a="1"/>
  <c r="K198" i="4" s="1"/>
  <c r="J198" i="4" a="1"/>
  <c r="J198" i="4" s="1"/>
  <c r="I198" i="4" a="1"/>
  <c r="I198" i="4" s="1"/>
  <c r="H198" i="4" a="1"/>
  <c r="H198" i="4" s="1"/>
  <c r="G198" i="4" a="1"/>
  <c r="G198" i="4" s="1"/>
  <c r="M194" i="4" a="1"/>
  <c r="M194" i="4" s="1"/>
  <c r="L194" i="4" a="1"/>
  <c r="L194" i="4" s="1"/>
  <c r="K194" i="4" a="1"/>
  <c r="K194" i="4" s="1"/>
  <c r="J194" i="4" a="1"/>
  <c r="J194" i="4" s="1"/>
  <c r="I194" i="4" a="1"/>
  <c r="I194" i="4" s="1"/>
  <c r="H194" i="4" a="1"/>
  <c r="H194" i="4" s="1"/>
  <c r="G194" i="4" a="1"/>
  <c r="G194" i="4" s="1"/>
  <c r="M191" i="4" a="1"/>
  <c r="M191" i="4" s="1"/>
  <c r="L191" i="4" a="1"/>
  <c r="L191" i="4" s="1"/>
  <c r="K191" i="4" a="1"/>
  <c r="K191" i="4" s="1"/>
  <c r="J191" i="4" a="1"/>
  <c r="J191" i="4" s="1"/>
  <c r="I191" i="4" a="1"/>
  <c r="I191" i="4" s="1"/>
  <c r="H191" i="4" a="1"/>
  <c r="H191" i="4" s="1"/>
  <c r="G191" i="4" a="1"/>
  <c r="G191" i="4" s="1"/>
  <c r="M188" i="4" a="1"/>
  <c r="M188" i="4" s="1"/>
  <c r="L188" i="4" a="1"/>
  <c r="L188" i="4" s="1"/>
  <c r="K188" i="4" a="1"/>
  <c r="K188" i="4" s="1"/>
  <c r="J188" i="4" a="1"/>
  <c r="J188" i="4" s="1"/>
  <c r="G188" i="4" a="1"/>
  <c r="G188" i="4" s="1"/>
  <c r="M185" i="4" a="1"/>
  <c r="M185" i="4" s="1"/>
  <c r="L185" i="4" a="1"/>
  <c r="L185" i="4" s="1"/>
  <c r="K185" i="4" a="1"/>
  <c r="K185" i="4" s="1"/>
  <c r="J185" i="4" a="1"/>
  <c r="J185" i="4" s="1"/>
  <c r="I185" i="4" a="1"/>
  <c r="I185" i="4" s="1"/>
  <c r="H185" i="4" a="1"/>
  <c r="H185" i="4" s="1"/>
  <c r="G185" i="4" a="1"/>
  <c r="G185" i="4" s="1"/>
  <c r="M182" i="4" a="1"/>
  <c r="M182" i="4" s="1"/>
  <c r="L182" i="4" a="1"/>
  <c r="L182" i="4" s="1"/>
  <c r="K182" i="4" a="1"/>
  <c r="K182" i="4" s="1"/>
  <c r="J182" i="4" a="1"/>
  <c r="J182" i="4" s="1"/>
  <c r="I182" i="4" a="1"/>
  <c r="I182" i="4" s="1"/>
  <c r="H182" i="4" a="1"/>
  <c r="H182" i="4" s="1"/>
  <c r="G182" i="4" a="1"/>
  <c r="G182" i="4" s="1"/>
  <c r="M179" i="4" a="1"/>
  <c r="M179" i="4" s="1"/>
  <c r="L179" i="4" a="1"/>
  <c r="L179" i="4" s="1"/>
  <c r="K179" i="4" a="1"/>
  <c r="K179" i="4" s="1"/>
  <c r="J179" i="4" a="1"/>
  <c r="J179" i="4" s="1"/>
  <c r="I179" i="4" a="1"/>
  <c r="I179" i="4" s="1"/>
  <c r="H179" i="4" a="1"/>
  <c r="H179" i="4" s="1"/>
  <c r="G179" i="4" a="1"/>
  <c r="G179" i="4" s="1"/>
  <c r="M176" i="4" a="1"/>
  <c r="M176" i="4" s="1"/>
  <c r="L176" i="4" a="1"/>
  <c r="L176" i="4" s="1"/>
  <c r="K176" i="4" a="1"/>
  <c r="K176" i="4" s="1"/>
  <c r="J176" i="4" a="1"/>
  <c r="J176" i="4" s="1"/>
  <c r="I176" i="4" a="1"/>
  <c r="I176" i="4" s="1"/>
  <c r="H176" i="4" a="1"/>
  <c r="H176" i="4" s="1"/>
  <c r="G176" i="4" a="1"/>
  <c r="G176" i="4" s="1"/>
  <c r="M172" i="4" a="1"/>
  <c r="M172" i="4" s="1"/>
  <c r="L172" i="4" a="1"/>
  <c r="L172" i="4" s="1"/>
  <c r="K172" i="4" a="1"/>
  <c r="K172" i="4" s="1"/>
  <c r="J172" i="4" a="1"/>
  <c r="J172" i="4" s="1"/>
  <c r="I172" i="4" a="1"/>
  <c r="I172" i="4" s="1"/>
  <c r="H172" i="4" a="1"/>
  <c r="H172" i="4" s="1"/>
  <c r="G172" i="4" a="1"/>
  <c r="G172" i="4" s="1"/>
  <c r="M169" i="4" a="1"/>
  <c r="M169" i="4" s="1"/>
  <c r="L169" i="4" a="1"/>
  <c r="L169" i="4" s="1"/>
  <c r="K169" i="4" a="1"/>
  <c r="K169" i="4" s="1"/>
  <c r="J169" i="4" a="1"/>
  <c r="J169" i="4" s="1"/>
  <c r="I169" i="4" a="1"/>
  <c r="I169" i="4" s="1"/>
  <c r="H169" i="4" a="1"/>
  <c r="H169" i="4" s="1"/>
  <c r="G169" i="4" a="1"/>
  <c r="G169" i="4" s="1"/>
  <c r="M166" i="4" a="1"/>
  <c r="M166" i="4" s="1"/>
  <c r="L166" i="4" a="1"/>
  <c r="L166" i="4" s="1"/>
  <c r="K166" i="4" a="1"/>
  <c r="K166" i="4" s="1"/>
  <c r="J166" i="4" a="1"/>
  <c r="J166" i="4" s="1"/>
  <c r="I166" i="4" a="1"/>
  <c r="I166" i="4" s="1"/>
  <c r="H166" i="4" a="1"/>
  <c r="H166" i="4" s="1"/>
  <c r="G166" i="4" a="1"/>
  <c r="G166" i="4" s="1"/>
  <c r="M163" i="4" a="1"/>
  <c r="M163" i="4" s="1"/>
  <c r="L163" i="4" a="1"/>
  <c r="L163" i="4" s="1"/>
  <c r="K163" i="4" a="1"/>
  <c r="K163" i="4" s="1"/>
  <c r="J163" i="4" a="1"/>
  <c r="J163" i="4" s="1"/>
  <c r="I163" i="4" a="1"/>
  <c r="I163" i="4" s="1"/>
  <c r="H163" i="4" a="1"/>
  <c r="H163" i="4" s="1"/>
  <c r="G163" i="4" a="1"/>
  <c r="G163" i="4" s="1"/>
  <c r="M160" i="4" a="1"/>
  <c r="M160" i="4" s="1"/>
  <c r="L160" i="4" a="1"/>
  <c r="L160" i="4" s="1"/>
  <c r="K160" i="4" a="1"/>
  <c r="K160" i="4" s="1"/>
  <c r="J160" i="4" a="1"/>
  <c r="J160" i="4" s="1"/>
  <c r="I160" i="4" a="1"/>
  <c r="I160" i="4" s="1"/>
  <c r="H160" i="4" a="1"/>
  <c r="H160" i="4" s="1"/>
  <c r="G160" i="4" a="1"/>
  <c r="G160" i="4" s="1"/>
  <c r="M157" i="4" a="1"/>
  <c r="M157" i="4" s="1"/>
  <c r="L157" i="4" a="1"/>
  <c r="L157" i="4" s="1"/>
  <c r="K157" i="4" a="1"/>
  <c r="K157" i="4" s="1"/>
  <c r="J157" i="4" a="1"/>
  <c r="J157" i="4" s="1"/>
  <c r="I157" i="4" a="1"/>
  <c r="I157" i="4" s="1"/>
  <c r="H157" i="4" a="1"/>
  <c r="H157" i="4" s="1"/>
  <c r="G157" i="4" a="1"/>
  <c r="G157" i="4" s="1"/>
  <c r="M147" i="4" a="1"/>
  <c r="M147" i="4" s="1"/>
  <c r="L147" i="4" a="1"/>
  <c r="L147" i="4" s="1"/>
  <c r="K147" i="4" a="1"/>
  <c r="K147" i="4" s="1"/>
  <c r="J147" i="4" a="1"/>
  <c r="J147" i="4" s="1"/>
  <c r="I147" i="4" a="1"/>
  <c r="I147" i="4" s="1"/>
  <c r="H147" i="4" a="1"/>
  <c r="H147" i="4" s="1"/>
  <c r="G147" i="4" a="1"/>
  <c r="G147" i="4" s="1"/>
  <c r="M144" i="4" a="1"/>
  <c r="M144" i="4" s="1"/>
  <c r="L144" i="4" a="1"/>
  <c r="L144" i="4" s="1"/>
  <c r="K144" i="4" a="1"/>
  <c r="K144" i="4" s="1"/>
  <c r="J144" i="4" a="1"/>
  <c r="J144" i="4" s="1"/>
  <c r="I144" i="4" a="1"/>
  <c r="I144" i="4" s="1"/>
  <c r="H144" i="4" a="1"/>
  <c r="H144" i="4" s="1"/>
  <c r="G144" i="4" a="1"/>
  <c r="G144" i="4" s="1"/>
  <c r="M141" i="4" a="1"/>
  <c r="M141" i="4" s="1"/>
  <c r="L141" i="4" a="1"/>
  <c r="L141" i="4" s="1"/>
  <c r="K141" i="4" a="1"/>
  <c r="K141" i="4" s="1"/>
  <c r="J141" i="4" a="1"/>
  <c r="J141" i="4" s="1"/>
  <c r="I141" i="4" a="1"/>
  <c r="I141" i="4" s="1"/>
  <c r="H141" i="4" a="1"/>
  <c r="H141" i="4" s="1"/>
  <c r="G141" i="4" a="1"/>
  <c r="G141" i="4" s="1"/>
  <c r="M138" i="4" a="1"/>
  <c r="M138" i="4" s="1"/>
  <c r="L138" i="4" a="1"/>
  <c r="L138" i="4" s="1"/>
  <c r="K138" i="4" a="1"/>
  <c r="K138" i="4" s="1"/>
  <c r="J138" i="4" a="1"/>
  <c r="J138" i="4" s="1"/>
  <c r="I138" i="4" a="1"/>
  <c r="I138" i="4" s="1"/>
  <c r="H138" i="4" a="1"/>
  <c r="H138" i="4" s="1"/>
  <c r="G138" i="4" a="1"/>
  <c r="G138" i="4" s="1"/>
  <c r="M135" i="4" a="1"/>
  <c r="M135" i="4" s="1"/>
  <c r="L135" i="4" a="1"/>
  <c r="L135" i="4" s="1"/>
  <c r="K135" i="4" a="1"/>
  <c r="K135" i="4" s="1"/>
  <c r="J135" i="4" a="1"/>
  <c r="J135" i="4" s="1"/>
  <c r="I135" i="4" a="1"/>
  <c r="I135" i="4" s="1"/>
  <c r="H135" i="4" a="1"/>
  <c r="H135" i="4" s="1"/>
  <c r="G135" i="4" a="1"/>
  <c r="G135" i="4" s="1"/>
  <c r="M132" i="4" a="1"/>
  <c r="M132" i="4" s="1"/>
  <c r="L132" i="4" a="1"/>
  <c r="L132" i="4" s="1"/>
  <c r="K132" i="4" a="1"/>
  <c r="K132" i="4" s="1"/>
  <c r="J132" i="4" a="1"/>
  <c r="J132" i="4" s="1"/>
  <c r="I132" i="4" a="1"/>
  <c r="I132" i="4" s="1"/>
  <c r="H132" i="4" a="1"/>
  <c r="H132" i="4" s="1"/>
  <c r="G132" i="4" a="1"/>
  <c r="G132" i="4" s="1"/>
  <c r="M129" i="4" a="1"/>
  <c r="M129" i="4" s="1"/>
  <c r="L129" i="4" a="1"/>
  <c r="L129" i="4" s="1"/>
  <c r="K129" i="4" a="1"/>
  <c r="K129" i="4" s="1"/>
  <c r="J129" i="4" a="1"/>
  <c r="J129" i="4" s="1"/>
  <c r="I129" i="4" a="1"/>
  <c r="I129" i="4" s="1"/>
  <c r="H129" i="4" a="1"/>
  <c r="H129" i="4" s="1"/>
  <c r="G129" i="4" a="1"/>
  <c r="G129" i="4" s="1"/>
  <c r="M126" i="4" a="1"/>
  <c r="M126" i="4" s="1"/>
  <c r="L126" i="4" a="1"/>
  <c r="L126" i="4" s="1"/>
  <c r="K126" i="4" a="1"/>
  <c r="K126" i="4" s="1"/>
  <c r="J126" i="4" a="1"/>
  <c r="J126" i="4" s="1"/>
  <c r="I126" i="4" a="1"/>
  <c r="I126" i="4" s="1"/>
  <c r="H126" i="4" a="1"/>
  <c r="H126" i="4" s="1"/>
  <c r="G126" i="4" a="1"/>
  <c r="G126" i="4" s="1"/>
  <c r="M123" i="4" a="1"/>
  <c r="M123" i="4" s="1"/>
  <c r="L123" i="4" a="1"/>
  <c r="L123" i="4" s="1"/>
  <c r="K123" i="4" a="1"/>
  <c r="K123" i="4" s="1"/>
  <c r="J123" i="4" a="1"/>
  <c r="J123" i="4" s="1"/>
  <c r="I123" i="4" a="1"/>
  <c r="I123" i="4" s="1"/>
  <c r="H123" i="4" a="1"/>
  <c r="H123" i="4" s="1"/>
  <c r="G123" i="4" a="1"/>
  <c r="G123" i="4" s="1"/>
  <c r="M119" i="4" a="1"/>
  <c r="M119" i="4" s="1"/>
  <c r="L119" i="4" a="1"/>
  <c r="L119" i="4" s="1"/>
  <c r="K119" i="4" a="1"/>
  <c r="K119" i="4" s="1"/>
  <c r="J119" i="4" a="1"/>
  <c r="J119" i="4" s="1"/>
  <c r="I119" i="4" a="1"/>
  <c r="I119" i="4" s="1"/>
  <c r="H119" i="4" a="1"/>
  <c r="H119" i="4" s="1"/>
  <c r="G119" i="4" a="1"/>
  <c r="G119" i="4" s="1"/>
  <c r="M116" i="4" a="1"/>
  <c r="M116" i="4" s="1"/>
  <c r="L116" i="4" a="1"/>
  <c r="L116" i="4" s="1"/>
  <c r="K116" i="4" a="1"/>
  <c r="K116" i="4" s="1"/>
  <c r="J116" i="4" a="1"/>
  <c r="J116" i="4" s="1"/>
  <c r="I116" i="4" a="1"/>
  <c r="I116" i="4" s="1"/>
  <c r="H116" i="4" a="1"/>
  <c r="H116" i="4" s="1"/>
  <c r="G116" i="4" a="1"/>
  <c r="G116" i="4" s="1"/>
  <c r="M113" i="4" a="1"/>
  <c r="M113" i="4" s="1"/>
  <c r="L113" i="4" a="1"/>
  <c r="L113" i="4" s="1"/>
  <c r="K113" i="4" a="1"/>
  <c r="K113" i="4" s="1"/>
  <c r="J113" i="4" a="1"/>
  <c r="J113" i="4" s="1"/>
  <c r="I113" i="4" a="1"/>
  <c r="I113" i="4" s="1"/>
  <c r="H113" i="4" a="1"/>
  <c r="H113" i="4" s="1"/>
  <c r="G113" i="4" a="1"/>
  <c r="G113" i="4" s="1"/>
  <c r="M110" i="4" a="1"/>
  <c r="M110" i="4" s="1"/>
  <c r="L110" i="4" a="1"/>
  <c r="L110" i="4" s="1"/>
  <c r="K110" i="4" a="1"/>
  <c r="K110" i="4" s="1"/>
  <c r="J110" i="4" a="1"/>
  <c r="J110" i="4" s="1"/>
  <c r="I110" i="4" a="1"/>
  <c r="I110" i="4" s="1"/>
  <c r="H110" i="4" a="1"/>
  <c r="H110" i="4" s="1"/>
  <c r="G110" i="4" a="1"/>
  <c r="G110" i="4" s="1"/>
  <c r="M107" i="4" a="1"/>
  <c r="M107" i="4" s="1"/>
  <c r="L107" i="4" a="1"/>
  <c r="L107" i="4" s="1"/>
  <c r="K107" i="4" a="1"/>
  <c r="K107" i="4" s="1"/>
  <c r="J107" i="4" a="1"/>
  <c r="J107" i="4" s="1"/>
  <c r="I107" i="4" a="1"/>
  <c r="I107" i="4" s="1"/>
  <c r="H107" i="4" a="1"/>
  <c r="H107" i="4" s="1"/>
  <c r="G107" i="4" a="1"/>
  <c r="G107" i="4" s="1"/>
  <c r="M104" i="4" a="1"/>
  <c r="M104" i="4" s="1"/>
  <c r="L104" i="4" a="1"/>
  <c r="L104" i="4" s="1"/>
  <c r="K104" i="4" a="1"/>
  <c r="K104" i="4" s="1"/>
  <c r="J104" i="4" a="1"/>
  <c r="J104" i="4" s="1"/>
  <c r="I104" i="4" a="1"/>
  <c r="I104" i="4" s="1"/>
  <c r="H104" i="4" a="1"/>
  <c r="H104" i="4" s="1"/>
  <c r="G104" i="4" a="1"/>
  <c r="G104" i="4" s="1"/>
  <c r="M101" i="4" a="1"/>
  <c r="M101" i="4" s="1"/>
  <c r="L101" i="4" a="1"/>
  <c r="L101" i="4" s="1"/>
  <c r="K101" i="4" a="1"/>
  <c r="K101" i="4" s="1"/>
  <c r="J101" i="4" a="1"/>
  <c r="J101" i="4" s="1"/>
  <c r="I101" i="4" a="1"/>
  <c r="I101" i="4" s="1"/>
  <c r="H101" i="4" a="1"/>
  <c r="H101" i="4" s="1"/>
  <c r="G101" i="4" a="1"/>
  <c r="G101" i="4" s="1"/>
  <c r="M97" i="4" a="1"/>
  <c r="M97" i="4" s="1"/>
  <c r="L97" i="4" a="1"/>
  <c r="L97" i="4" s="1"/>
  <c r="K97" i="4" a="1"/>
  <c r="K97" i="4" s="1"/>
  <c r="J97" i="4" a="1"/>
  <c r="J97" i="4" s="1"/>
  <c r="I97" i="4" a="1"/>
  <c r="I97" i="4" s="1"/>
  <c r="H97" i="4" a="1"/>
  <c r="H97" i="4" s="1"/>
  <c r="G97" i="4" a="1"/>
  <c r="G97" i="4" s="1"/>
  <c r="M94" i="4" a="1"/>
  <c r="M94" i="4" s="1"/>
  <c r="L94" i="4" a="1"/>
  <c r="L94" i="4" s="1"/>
  <c r="K94" i="4" a="1"/>
  <c r="K94" i="4" s="1"/>
  <c r="J94" i="4" a="1"/>
  <c r="J94" i="4" s="1"/>
  <c r="I94" i="4" a="1"/>
  <c r="I94" i="4" s="1"/>
  <c r="H94" i="4" a="1"/>
  <c r="H94" i="4" s="1"/>
  <c r="G94" i="4" a="1"/>
  <c r="G94" i="4" s="1"/>
  <c r="M91" i="4" a="1"/>
  <c r="M91" i="4" s="1"/>
  <c r="L91" i="4" a="1"/>
  <c r="L91" i="4" s="1"/>
  <c r="K91" i="4" a="1"/>
  <c r="K91" i="4" s="1"/>
  <c r="J91" i="4" a="1"/>
  <c r="J91" i="4" s="1"/>
  <c r="I91" i="4" a="1"/>
  <c r="I91" i="4" s="1"/>
  <c r="H91" i="4" a="1"/>
  <c r="H91" i="4" s="1"/>
  <c r="G91" i="4" a="1"/>
  <c r="G91" i="4" s="1"/>
  <c r="M88" i="4" a="1"/>
  <c r="M88" i="4" s="1"/>
  <c r="L88" i="4" a="1"/>
  <c r="L88" i="4" s="1"/>
  <c r="K88" i="4" a="1"/>
  <c r="K88" i="4" s="1"/>
  <c r="J88" i="4" a="1"/>
  <c r="J88" i="4" s="1"/>
  <c r="I88" i="4" a="1"/>
  <c r="I88" i="4" s="1"/>
  <c r="H88" i="4" a="1"/>
  <c r="H88" i="4" s="1"/>
  <c r="G88" i="4" a="1"/>
  <c r="G88" i="4" s="1"/>
  <c r="M85" i="4" a="1"/>
  <c r="M85" i="4" s="1"/>
  <c r="L85" i="4" a="1"/>
  <c r="L85" i="4" s="1"/>
  <c r="K85" i="4" a="1"/>
  <c r="K85" i="4" s="1"/>
  <c r="J85" i="4" a="1"/>
  <c r="J85" i="4" s="1"/>
  <c r="I85" i="4" a="1"/>
  <c r="I85" i="4" s="1"/>
  <c r="H85" i="4" a="1"/>
  <c r="H85" i="4" s="1"/>
  <c r="G85" i="4" a="1"/>
  <c r="G85" i="4" s="1"/>
  <c r="M82" i="4" a="1"/>
  <c r="M82" i="4" s="1"/>
  <c r="L82" i="4" a="1"/>
  <c r="L82" i="4" s="1"/>
  <c r="K82" i="4" a="1"/>
  <c r="K82" i="4" s="1"/>
  <c r="J82" i="4" a="1"/>
  <c r="J82" i="4" s="1"/>
  <c r="I82" i="4" a="1"/>
  <c r="I82" i="4" s="1"/>
  <c r="H82" i="4" a="1"/>
  <c r="H82" i="4" s="1"/>
  <c r="G82" i="4" a="1"/>
  <c r="G82" i="4" s="1"/>
  <c r="M72" i="4" a="1"/>
  <c r="M72" i="4" s="1"/>
  <c r="L72" i="4" a="1"/>
  <c r="L72" i="4" s="1"/>
  <c r="K72" i="4" a="1"/>
  <c r="K72" i="4" s="1"/>
  <c r="J72" i="4" a="1"/>
  <c r="J72" i="4" s="1"/>
  <c r="I72" i="4" a="1"/>
  <c r="I72" i="4" s="1"/>
  <c r="H72" i="4" a="1"/>
  <c r="H72" i="4" s="1"/>
  <c r="G72" i="4" a="1"/>
  <c r="G72" i="4" s="1"/>
  <c r="M69" i="4" a="1"/>
  <c r="M69" i="4" s="1"/>
  <c r="L69" i="4" a="1"/>
  <c r="L69" i="4" s="1"/>
  <c r="K69" i="4" a="1"/>
  <c r="K69" i="4" s="1"/>
  <c r="J69" i="4" a="1"/>
  <c r="J69" i="4" s="1"/>
  <c r="I69" i="4" a="1"/>
  <c r="I69" i="4" s="1"/>
  <c r="H69" i="4" a="1"/>
  <c r="H69" i="4" s="1"/>
  <c r="G69" i="4" a="1"/>
  <c r="G69" i="4" s="1"/>
  <c r="M66" i="4" a="1"/>
  <c r="M66" i="4" s="1"/>
  <c r="L66" i="4" a="1"/>
  <c r="L66" i="4" s="1"/>
  <c r="K66" i="4" a="1"/>
  <c r="K66" i="4" s="1"/>
  <c r="J66" i="4" a="1"/>
  <c r="J66" i="4" s="1"/>
  <c r="I66" i="4" a="1"/>
  <c r="I66" i="4" s="1"/>
  <c r="H66" i="4" a="1"/>
  <c r="H66" i="4" s="1"/>
  <c r="G66" i="4" a="1"/>
  <c r="G66" i="4" s="1"/>
  <c r="M63" i="4" a="1"/>
  <c r="M63" i="4" s="1"/>
  <c r="L63" i="4" a="1"/>
  <c r="L63" i="4" s="1"/>
  <c r="K63" i="4" a="1"/>
  <c r="K63" i="4" s="1"/>
  <c r="J63" i="4" a="1"/>
  <c r="J63" i="4" s="1"/>
  <c r="I63" i="4" a="1"/>
  <c r="I63" i="4" s="1"/>
  <c r="H63" i="4" a="1"/>
  <c r="H63" i="4" s="1"/>
  <c r="G63" i="4" a="1"/>
  <c r="G63" i="4" s="1"/>
  <c r="M60" i="4" a="1"/>
  <c r="M60" i="4" s="1"/>
  <c r="L60" i="4" a="1"/>
  <c r="L60" i="4" s="1"/>
  <c r="K60" i="4" a="1"/>
  <c r="K60" i="4" s="1"/>
  <c r="J60" i="4" a="1"/>
  <c r="J60" i="4" s="1"/>
  <c r="I60" i="4" a="1"/>
  <c r="I60" i="4" s="1"/>
  <c r="H60" i="4" a="1"/>
  <c r="H60" i="4" s="1"/>
  <c r="G60" i="4" a="1"/>
  <c r="G60" i="4" s="1"/>
  <c r="M57" i="4" a="1"/>
  <c r="M57" i="4" s="1"/>
  <c r="L57" i="4" a="1"/>
  <c r="L57" i="4" s="1"/>
  <c r="K57" i="4" a="1"/>
  <c r="K57" i="4" s="1"/>
  <c r="J57" i="4" a="1"/>
  <c r="J57" i="4" s="1"/>
  <c r="I57" i="4" a="1"/>
  <c r="I57" i="4" s="1"/>
  <c r="H57" i="4" a="1"/>
  <c r="H57" i="4" s="1"/>
  <c r="G57" i="4" a="1"/>
  <c r="G57" i="4" s="1"/>
  <c r="M54" i="4" a="1"/>
  <c r="M54" i="4" s="1"/>
  <c r="L54" i="4" a="1"/>
  <c r="L54" i="4" s="1"/>
  <c r="K54" i="4" a="1"/>
  <c r="K54" i="4" s="1"/>
  <c r="J54" i="4" a="1"/>
  <c r="J54" i="4" s="1"/>
  <c r="I54" i="4" a="1"/>
  <c r="I54" i="4" s="1"/>
  <c r="H54" i="4" a="1"/>
  <c r="H54" i="4" s="1"/>
  <c r="G54" i="4" a="1"/>
  <c r="G54" i="4" s="1"/>
  <c r="M51" i="4" a="1"/>
  <c r="M51" i="4" s="1"/>
  <c r="L51" i="4" a="1"/>
  <c r="L51" i="4" s="1"/>
  <c r="K51" i="4" a="1"/>
  <c r="K51" i="4" s="1"/>
  <c r="J51" i="4" a="1"/>
  <c r="J51" i="4" s="1"/>
  <c r="I51" i="4" a="1"/>
  <c r="I51" i="4" s="1"/>
  <c r="H51" i="4" a="1"/>
  <c r="H51" i="4" s="1"/>
  <c r="G51" i="4" a="1"/>
  <c r="G51" i="4" s="1"/>
  <c r="M48" i="4" a="1"/>
  <c r="M48" i="4" s="1"/>
  <c r="L48" i="4" a="1"/>
  <c r="L48" i="4" s="1"/>
  <c r="K48" i="4" a="1"/>
  <c r="K48" i="4" s="1"/>
  <c r="J48" i="4" a="1"/>
  <c r="J48" i="4" s="1"/>
  <c r="I48" i="4" a="1"/>
  <c r="I48" i="4" s="1"/>
  <c r="H48" i="4" a="1"/>
  <c r="H48" i="4" s="1"/>
  <c r="G48" i="4" a="1"/>
  <c r="G48" i="4" s="1"/>
  <c r="M44" i="4" a="1"/>
  <c r="M44" i="4" s="1"/>
  <c r="L44" i="4" a="1"/>
  <c r="L44" i="4" s="1"/>
  <c r="K44" i="4" a="1"/>
  <c r="K44" i="4" s="1"/>
  <c r="J44" i="4" a="1"/>
  <c r="J44" i="4" s="1"/>
  <c r="I44" i="4" a="1"/>
  <c r="I44" i="4" s="1"/>
  <c r="H44" i="4" a="1"/>
  <c r="H44" i="4" s="1"/>
  <c r="G44" i="4" a="1"/>
  <c r="G44" i="4" s="1"/>
  <c r="M41" i="4" a="1"/>
  <c r="M41" i="4" s="1"/>
  <c r="L41" i="4" a="1"/>
  <c r="L41" i="4" s="1"/>
  <c r="K41" i="4" a="1"/>
  <c r="K41" i="4" s="1"/>
  <c r="J41" i="4" a="1"/>
  <c r="J41" i="4" s="1"/>
  <c r="I41" i="4" a="1"/>
  <c r="I41" i="4" s="1"/>
  <c r="H41" i="4" a="1"/>
  <c r="H41" i="4" s="1"/>
  <c r="G41" i="4" a="1"/>
  <c r="G41" i="4" s="1"/>
  <c r="M38" i="4" a="1"/>
  <c r="M38" i="4" s="1"/>
  <c r="L38" i="4" a="1"/>
  <c r="L38" i="4" s="1"/>
  <c r="K38" i="4" a="1"/>
  <c r="K38" i="4" s="1"/>
  <c r="J38" i="4" a="1"/>
  <c r="J38" i="4" s="1"/>
  <c r="I38" i="4" a="1"/>
  <c r="I38" i="4" s="1"/>
  <c r="H38" i="4" a="1"/>
  <c r="H38" i="4" s="1"/>
  <c r="G38" i="4" a="1"/>
  <c r="G38" i="4" s="1"/>
  <c r="M35" i="4" a="1"/>
  <c r="M35" i="4" s="1"/>
  <c r="L35" i="4" a="1"/>
  <c r="L35" i="4" s="1"/>
  <c r="K35" i="4" a="1"/>
  <c r="K35" i="4" s="1"/>
  <c r="J35" i="4" a="1"/>
  <c r="J35" i="4" s="1"/>
  <c r="I35" i="4" a="1"/>
  <c r="I35" i="4" s="1"/>
  <c r="H35" i="4" a="1"/>
  <c r="H35" i="4" s="1"/>
  <c r="G35" i="4" a="1"/>
  <c r="G35" i="4" s="1"/>
  <c r="M32" i="4" a="1"/>
  <c r="M32" i="4" s="1"/>
  <c r="L32" i="4" a="1"/>
  <c r="L32" i="4" s="1"/>
  <c r="K32" i="4" a="1"/>
  <c r="K32" i="4" s="1"/>
  <c r="J32" i="4" a="1"/>
  <c r="J32" i="4" s="1"/>
  <c r="I32" i="4" a="1"/>
  <c r="I32" i="4" s="1"/>
  <c r="H32" i="4" a="1"/>
  <c r="H32" i="4" s="1"/>
  <c r="G32" i="4" a="1"/>
  <c r="G32" i="4" s="1"/>
  <c r="M29" i="4" a="1"/>
  <c r="M29" i="4" s="1"/>
  <c r="L29" i="4" a="1"/>
  <c r="L29" i="4" s="1"/>
  <c r="K29" i="4" a="1"/>
  <c r="K29" i="4" s="1"/>
  <c r="J29" i="4" a="1"/>
  <c r="J29" i="4" s="1"/>
  <c r="I29" i="4" a="1"/>
  <c r="I29" i="4" s="1"/>
  <c r="H29" i="4" a="1"/>
  <c r="H29" i="4" s="1"/>
  <c r="G29" i="4" a="1"/>
  <c r="G29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M22" i="4" a="1"/>
  <c r="M22" i="4" s="1"/>
  <c r="L22" i="4" a="1"/>
  <c r="L22" i="4" s="1"/>
  <c r="K22" i="4" a="1"/>
  <c r="K22" i="4" s="1"/>
  <c r="J22" i="4" a="1"/>
  <c r="J22" i="4" s="1"/>
  <c r="I22" i="4" a="1"/>
  <c r="I22" i="4" s="1"/>
  <c r="H22" i="4" a="1"/>
  <c r="H22" i="4" s="1"/>
  <c r="G22" i="4" a="1"/>
  <c r="G22" i="4" s="1"/>
  <c r="M19" i="4" a="1"/>
  <c r="M19" i="4" s="1"/>
  <c r="L19" i="4" a="1"/>
  <c r="L19" i="4" s="1"/>
  <c r="K19" i="4" a="1"/>
  <c r="K19" i="4" s="1"/>
  <c r="J19" i="4" a="1"/>
  <c r="J19" i="4" s="1"/>
  <c r="I19" i="4" a="1"/>
  <c r="I19" i="4" s="1"/>
  <c r="H19" i="4" a="1"/>
  <c r="H19" i="4" s="1"/>
  <c r="G19" i="4" a="1"/>
  <c r="G19" i="4" s="1"/>
  <c r="M16" i="4" a="1"/>
  <c r="M16" i="4" s="1"/>
  <c r="L16" i="4" a="1"/>
  <c r="L16" i="4" s="1"/>
  <c r="K16" i="4" a="1"/>
  <c r="K16" i="4" s="1"/>
  <c r="J16" i="4" a="1"/>
  <c r="J16" i="4" s="1"/>
  <c r="I16" i="4" a="1"/>
  <c r="I16" i="4" s="1"/>
  <c r="H16" i="4" a="1"/>
  <c r="H16" i="4" s="1"/>
  <c r="G16" i="4" a="1"/>
  <c r="G16" i="4" s="1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 a="1"/>
  <c r="H13" i="4" s="1"/>
  <c r="G13" i="4" a="1"/>
  <c r="G13" i="4" s="1"/>
  <c r="M10" i="4" a="1"/>
  <c r="M10" i="4" s="1"/>
  <c r="L10" i="4" a="1"/>
  <c r="L10" i="4" s="1"/>
  <c r="K10" i="4" a="1"/>
  <c r="K10" i="4" s="1"/>
  <c r="J10" i="4" a="1"/>
  <c r="J10" i="4" s="1"/>
  <c r="I10" i="4" a="1"/>
  <c r="I10" i="4" s="1"/>
  <c r="H10" i="4" a="1"/>
  <c r="H10" i="4" s="1"/>
  <c r="G10" i="4" a="1"/>
  <c r="G10" i="4" s="1"/>
  <c r="M7" i="4" a="1"/>
  <c r="M7" i="4" s="1"/>
  <c r="L7" i="4" a="1"/>
  <c r="L7" i="4" s="1"/>
  <c r="K7" i="4" a="1"/>
  <c r="K7" i="4" s="1"/>
  <c r="J7" i="4" a="1"/>
  <c r="J7" i="4" s="1"/>
  <c r="I7" i="4" a="1"/>
  <c r="I7" i="4" s="1"/>
  <c r="H7" i="4" a="1"/>
  <c r="H7" i="4" s="1"/>
  <c r="G7" i="4" a="1"/>
  <c r="G7" i="4" s="1"/>
  <c r="F280" i="4" a="1"/>
  <c r="F280" i="4" s="1"/>
  <c r="F248" i="4" a="1"/>
  <c r="F248" i="4" s="1"/>
  <c r="F307" i="2" a="1"/>
  <c r="F307" i="2" s="1"/>
  <c r="F275" i="2" a="1"/>
  <c r="F275" i="2" s="1"/>
  <c r="I1" i="5"/>
  <c r="K1" i="5" s="1"/>
  <c r="M1" i="5" s="1"/>
  <c r="O1" i="5" s="1"/>
  <c r="Q1" i="5" s="1"/>
  <c r="S1" i="5" s="1"/>
  <c r="U1" i="5" s="1"/>
  <c r="U2" i="5" s="1"/>
  <c r="D197" i="5" a="1"/>
  <c r="D197" i="5" s="1"/>
  <c r="D146" i="5" a="1"/>
  <c r="D146" i="5" s="1"/>
  <c r="D139" i="5" a="1"/>
  <c r="D139" i="5" s="1"/>
  <c r="D122" i="5" a="1"/>
  <c r="D122" i="5" s="1"/>
  <c r="D105" i="5" a="1"/>
  <c r="D105" i="5" s="1"/>
  <c r="D5" i="5" a="1"/>
  <c r="D5" i="5" s="1"/>
  <c r="D5" i="3" a="1"/>
  <c r="D5" i="3" s="1"/>
  <c r="I1" i="3"/>
  <c r="K1" i="3" s="1"/>
  <c r="M1" i="3" s="1"/>
  <c r="O1" i="3" s="1"/>
  <c r="Q1" i="3" s="1"/>
  <c r="S1" i="3" s="1"/>
  <c r="U1" i="3" s="1"/>
  <c r="U2" i="3" s="1"/>
  <c r="D214" i="3" a="1"/>
  <c r="D214" i="3" s="1"/>
  <c r="D159" i="3" a="1"/>
  <c r="D159" i="3" s="1"/>
  <c r="D152" i="3" a="1"/>
  <c r="D152" i="3" s="1"/>
  <c r="D127" i="3" a="1"/>
  <c r="D127" i="3" s="1"/>
  <c r="D110" i="3" a="1"/>
  <c r="D110" i="3" s="1"/>
  <c r="G5" i="4"/>
  <c r="H5" i="4" s="1"/>
  <c r="I5" i="4" s="1"/>
  <c r="J5" i="4" s="1"/>
  <c r="K5" i="4" s="1"/>
  <c r="L5" i="4" s="1"/>
  <c r="M5" i="4" s="1"/>
  <c r="M4" i="4" s="1"/>
  <c r="G5" i="2"/>
  <c r="G4" i="2" s="1"/>
  <c r="G5" i="1"/>
  <c r="H5" i="1" s="1"/>
  <c r="I5" i="1" s="1"/>
  <c r="J5" i="1" s="1"/>
  <c r="K5" i="1" s="1"/>
  <c r="L5" i="1" s="1"/>
  <c r="M5" i="1" s="1"/>
  <c r="M4" i="1" s="1"/>
  <c r="M210" i="1"/>
  <c r="L210" i="1"/>
  <c r="K210" i="1"/>
  <c r="J210" i="1"/>
  <c r="I210" i="1"/>
  <c r="H210" i="1"/>
  <c r="G210" i="1"/>
  <c r="M209" i="1"/>
  <c r="L209" i="1"/>
  <c r="K209" i="1"/>
  <c r="J209" i="1"/>
  <c r="I209" i="1"/>
  <c r="H209" i="1"/>
  <c r="G209" i="1"/>
  <c r="M199" i="1"/>
  <c r="L199" i="1"/>
  <c r="K199" i="1"/>
  <c r="J199" i="1"/>
  <c r="I199" i="1"/>
  <c r="H199" i="1"/>
  <c r="G199" i="1"/>
  <c r="M198" i="1"/>
  <c r="L198" i="1"/>
  <c r="K198" i="1"/>
  <c r="J198" i="1"/>
  <c r="I198" i="1"/>
  <c r="H198" i="1"/>
  <c r="G198" i="1"/>
  <c r="M197" i="1"/>
  <c r="L197" i="1"/>
  <c r="K197" i="1"/>
  <c r="J197" i="1"/>
  <c r="I197" i="1"/>
  <c r="H197" i="1"/>
  <c r="G197" i="1"/>
  <c r="M196" i="1"/>
  <c r="L196" i="1"/>
  <c r="K196" i="1"/>
  <c r="J196" i="1"/>
  <c r="I196" i="1"/>
  <c r="H196" i="1"/>
  <c r="G196" i="1"/>
  <c r="M195" i="1"/>
  <c r="L195" i="1"/>
  <c r="K195" i="1"/>
  <c r="J195" i="1"/>
  <c r="I195" i="1"/>
  <c r="H195" i="1"/>
  <c r="G195" i="1"/>
  <c r="M194" i="1"/>
  <c r="L194" i="1"/>
  <c r="K194" i="1"/>
  <c r="J194" i="1"/>
  <c r="I194" i="1"/>
  <c r="H194" i="1"/>
  <c r="G194" i="1"/>
  <c r="M188" i="1"/>
  <c r="L188" i="1"/>
  <c r="K188" i="1"/>
  <c r="J188" i="1"/>
  <c r="I188" i="1"/>
  <c r="H188" i="1"/>
  <c r="G188" i="1"/>
  <c r="M187" i="1"/>
  <c r="L187" i="1"/>
  <c r="K187" i="1"/>
  <c r="J187" i="1"/>
  <c r="I187" i="1"/>
  <c r="H187" i="1"/>
  <c r="G187" i="1"/>
  <c r="M186" i="1"/>
  <c r="L186" i="1"/>
  <c r="K186" i="1"/>
  <c r="J186" i="1"/>
  <c r="I186" i="1"/>
  <c r="H186" i="1"/>
  <c r="G186" i="1"/>
  <c r="M185" i="1"/>
  <c r="L185" i="1"/>
  <c r="K185" i="1"/>
  <c r="J185" i="1"/>
  <c r="I185" i="1"/>
  <c r="H185" i="1"/>
  <c r="G185" i="1"/>
  <c r="M184" i="1"/>
  <c r="L184" i="1"/>
  <c r="K184" i="1"/>
  <c r="J184" i="1"/>
  <c r="I184" i="1"/>
  <c r="H184" i="1"/>
  <c r="G184" i="1"/>
  <c r="M177" i="1"/>
  <c r="L177" i="1"/>
  <c r="K177" i="1"/>
  <c r="J177" i="1"/>
  <c r="I177" i="1"/>
  <c r="H177" i="1"/>
  <c r="G177" i="1"/>
  <c r="M176" i="1"/>
  <c r="L176" i="1"/>
  <c r="K176" i="1"/>
  <c r="J176" i="1"/>
  <c r="I176" i="1"/>
  <c r="H176" i="1"/>
  <c r="G176" i="1"/>
  <c r="M175" i="1"/>
  <c r="L175" i="1"/>
  <c r="K175" i="1"/>
  <c r="J175" i="1"/>
  <c r="I175" i="1"/>
  <c r="H175" i="1"/>
  <c r="G175" i="1"/>
  <c r="M174" i="1"/>
  <c r="L174" i="1"/>
  <c r="K174" i="1"/>
  <c r="J174" i="1"/>
  <c r="I174" i="1"/>
  <c r="H174" i="1"/>
  <c r="G174" i="1"/>
  <c r="M173" i="1"/>
  <c r="L173" i="1"/>
  <c r="K173" i="1"/>
  <c r="J173" i="1"/>
  <c r="I173" i="1"/>
  <c r="H173" i="1"/>
  <c r="G173" i="1"/>
  <c r="M166" i="1"/>
  <c r="L166" i="1"/>
  <c r="K166" i="1"/>
  <c r="J166" i="1"/>
  <c r="I166" i="1"/>
  <c r="H166" i="1"/>
  <c r="G166" i="1"/>
  <c r="M165" i="1"/>
  <c r="L165" i="1"/>
  <c r="K165" i="1"/>
  <c r="J165" i="1"/>
  <c r="I165" i="1"/>
  <c r="H165" i="1"/>
  <c r="G165" i="1"/>
  <c r="M164" i="1"/>
  <c r="L164" i="1"/>
  <c r="K164" i="1"/>
  <c r="J164" i="1"/>
  <c r="I164" i="1"/>
  <c r="H164" i="1"/>
  <c r="G164" i="1"/>
  <c r="M155" i="1"/>
  <c r="L155" i="1"/>
  <c r="K155" i="1"/>
  <c r="J155" i="1"/>
  <c r="I155" i="1"/>
  <c r="H155" i="1"/>
  <c r="G155" i="1"/>
  <c r="M154" i="1"/>
  <c r="L154" i="1"/>
  <c r="K154" i="1"/>
  <c r="J154" i="1"/>
  <c r="I154" i="1"/>
  <c r="H154" i="1"/>
  <c r="G154" i="1"/>
  <c r="M153" i="1"/>
  <c r="L153" i="1"/>
  <c r="K153" i="1"/>
  <c r="J153" i="1"/>
  <c r="I153" i="1"/>
  <c r="H153" i="1"/>
  <c r="G153" i="1"/>
  <c r="M152" i="1"/>
  <c r="L152" i="1"/>
  <c r="K152" i="1"/>
  <c r="J152" i="1"/>
  <c r="I152" i="1"/>
  <c r="H152" i="1"/>
  <c r="G152" i="1"/>
  <c r="M151" i="1"/>
  <c r="L151" i="1"/>
  <c r="K151" i="1"/>
  <c r="J151" i="1"/>
  <c r="I151" i="1"/>
  <c r="H151" i="1"/>
  <c r="G151" i="1"/>
  <c r="C201" i="1" a="1"/>
  <c r="C201" i="1" s="1"/>
  <c r="C190" i="1" a="1"/>
  <c r="C190" i="1" s="1"/>
  <c r="C179" i="1" a="1"/>
  <c r="K182" i="1" s="1"/>
  <c r="C168" i="1" a="1"/>
  <c r="C168" i="1" s="1"/>
  <c r="C157" i="1" a="1"/>
  <c r="C157" i="1" s="1"/>
  <c r="C146" i="1" a="1"/>
  <c r="C146" i="1" s="1"/>
  <c r="C139" i="1" a="1"/>
  <c r="C139" i="1" s="1"/>
  <c r="C117" i="1" a="1"/>
  <c r="G126" i="1" s="1"/>
  <c r="C73" i="1" a="1"/>
  <c r="C95" i="1" a="1"/>
  <c r="C95" i="1" s="1"/>
  <c r="C51" i="1" a="1"/>
  <c r="G62" i="1" s="1"/>
  <c r="C29" i="1" a="1"/>
  <c r="C7" i="1" a="1"/>
  <c r="AA15" i="5"/>
  <c r="E242" i="4"/>
  <c r="E240" i="4"/>
  <c r="E238" i="4"/>
  <c r="E236" i="4"/>
  <c r="E234" i="4"/>
  <c r="E232" i="4"/>
  <c r="E224" i="4"/>
  <c r="E223" i="4"/>
  <c r="E221" i="4"/>
  <c r="E220" i="4"/>
  <c r="E218" i="4"/>
  <c r="E217" i="4"/>
  <c r="E215" i="4"/>
  <c r="E214" i="4"/>
  <c r="E212" i="4"/>
  <c r="E211" i="4"/>
  <c r="E209" i="4"/>
  <c r="E208" i="4"/>
  <c r="E206" i="4"/>
  <c r="E205" i="4"/>
  <c r="E203" i="4"/>
  <c r="E202" i="4"/>
  <c r="E200" i="4"/>
  <c r="E199" i="4"/>
  <c r="E196" i="4"/>
  <c r="E195" i="4"/>
  <c r="E193" i="4"/>
  <c r="E192" i="4"/>
  <c r="E190" i="4"/>
  <c r="E189" i="4"/>
  <c r="E187" i="4"/>
  <c r="E186" i="4"/>
  <c r="E184" i="4"/>
  <c r="E183" i="4"/>
  <c r="E181" i="4"/>
  <c r="E180" i="4"/>
  <c r="E178" i="4"/>
  <c r="E177" i="4"/>
  <c r="E174" i="4"/>
  <c r="E173" i="4"/>
  <c r="E171" i="4"/>
  <c r="E170" i="4"/>
  <c r="E168" i="4"/>
  <c r="E167" i="4"/>
  <c r="E165" i="4"/>
  <c r="E164" i="4"/>
  <c r="E162" i="4"/>
  <c r="E161" i="4"/>
  <c r="E159" i="4"/>
  <c r="E158" i="4"/>
  <c r="E149" i="4"/>
  <c r="E148" i="4"/>
  <c r="E146" i="4"/>
  <c r="E145" i="4"/>
  <c r="E143" i="4"/>
  <c r="E142" i="4"/>
  <c r="E140" i="4"/>
  <c r="E139" i="4"/>
  <c r="E137" i="4"/>
  <c r="E136" i="4"/>
  <c r="E134" i="4"/>
  <c r="E133" i="4"/>
  <c r="E131" i="4"/>
  <c r="E130" i="4"/>
  <c r="E128" i="4"/>
  <c r="E127" i="4"/>
  <c r="E125" i="4"/>
  <c r="E124" i="4"/>
  <c r="E121" i="4"/>
  <c r="E120" i="4"/>
  <c r="E118" i="4"/>
  <c r="E117" i="4"/>
  <c r="E115" i="4"/>
  <c r="E114" i="4"/>
  <c r="E112" i="4"/>
  <c r="E111" i="4"/>
  <c r="E109" i="4"/>
  <c r="E108" i="4"/>
  <c r="E106" i="4"/>
  <c r="E105" i="4"/>
  <c r="E103" i="4"/>
  <c r="E102" i="4"/>
  <c r="E99" i="4"/>
  <c r="E98" i="4"/>
  <c r="E96" i="4"/>
  <c r="E95" i="4"/>
  <c r="E93" i="4"/>
  <c r="E92" i="4"/>
  <c r="E90" i="4"/>
  <c r="E89" i="4"/>
  <c r="E87" i="4"/>
  <c r="E86" i="4"/>
  <c r="E84" i="4"/>
  <c r="E83" i="4"/>
  <c r="E74" i="4"/>
  <c r="E73" i="4"/>
  <c r="E71" i="4"/>
  <c r="E70" i="4"/>
  <c r="E68" i="4"/>
  <c r="E67" i="4"/>
  <c r="E65" i="4"/>
  <c r="E64" i="4"/>
  <c r="E62" i="4"/>
  <c r="E61" i="4"/>
  <c r="E59" i="4"/>
  <c r="E58" i="4"/>
  <c r="E56" i="4"/>
  <c r="E55" i="4"/>
  <c r="E53" i="4"/>
  <c r="E52" i="4"/>
  <c r="E50" i="4"/>
  <c r="E49" i="4"/>
  <c r="E46" i="4"/>
  <c r="E45" i="4"/>
  <c r="E43" i="4"/>
  <c r="E42" i="4"/>
  <c r="E40" i="4"/>
  <c r="E39" i="4"/>
  <c r="E37" i="4"/>
  <c r="E36" i="4"/>
  <c r="E34" i="4"/>
  <c r="E33" i="4"/>
  <c r="E31" i="4"/>
  <c r="E30" i="4"/>
  <c r="E28" i="4"/>
  <c r="E27" i="4"/>
  <c r="E24" i="4"/>
  <c r="E23" i="4"/>
  <c r="E21" i="4"/>
  <c r="E20" i="4"/>
  <c r="E18" i="4"/>
  <c r="E17" i="4"/>
  <c r="E15" i="4"/>
  <c r="E14" i="4"/>
  <c r="E12" i="4"/>
  <c r="E11" i="4"/>
  <c r="E9" i="4"/>
  <c r="E8" i="4"/>
  <c r="AA15" i="3"/>
  <c r="E268" i="2"/>
  <c r="E266" i="2"/>
  <c r="E264" i="2"/>
  <c r="E262" i="2"/>
  <c r="E260" i="2"/>
  <c r="E258" i="2"/>
  <c r="E256" i="2"/>
  <c r="E254" i="2"/>
  <c r="E252" i="2"/>
  <c r="E250" i="2"/>
  <c r="E242" i="2"/>
  <c r="E241" i="2"/>
  <c r="E239" i="2"/>
  <c r="E238" i="2"/>
  <c r="E236" i="2"/>
  <c r="E235" i="2"/>
  <c r="E233" i="2"/>
  <c r="E232" i="2"/>
  <c r="E230" i="2"/>
  <c r="E229" i="2"/>
  <c r="E227" i="2"/>
  <c r="E226" i="2"/>
  <c r="E224" i="2"/>
  <c r="E223" i="2"/>
  <c r="E220" i="2"/>
  <c r="E219" i="2"/>
  <c r="E217" i="2"/>
  <c r="E216" i="2"/>
  <c r="E214" i="2"/>
  <c r="E213" i="2"/>
  <c r="E211" i="2"/>
  <c r="E210" i="2"/>
  <c r="E208" i="2"/>
  <c r="E207" i="2"/>
  <c r="E205" i="2"/>
  <c r="E204" i="2"/>
  <c r="E202" i="2"/>
  <c r="E201" i="2"/>
  <c r="E199" i="2"/>
  <c r="E198" i="2"/>
  <c r="E195" i="2"/>
  <c r="E194" i="2"/>
  <c r="E192" i="2"/>
  <c r="E191" i="2"/>
  <c r="E189" i="2"/>
  <c r="E188" i="2"/>
  <c r="E186" i="2"/>
  <c r="E185" i="2"/>
  <c r="E183" i="2"/>
  <c r="E182" i="2"/>
  <c r="E180" i="2"/>
  <c r="E179" i="2"/>
  <c r="E177" i="2"/>
  <c r="E176" i="2"/>
  <c r="E174" i="2"/>
  <c r="E173" i="2"/>
  <c r="E171" i="2"/>
  <c r="E170" i="2"/>
  <c r="E161" i="2"/>
  <c r="E160" i="2"/>
  <c r="E158" i="2"/>
  <c r="E157" i="2"/>
  <c r="E155" i="2"/>
  <c r="E154" i="2"/>
  <c r="E152" i="2"/>
  <c r="E151" i="2"/>
  <c r="E149" i="2"/>
  <c r="E148" i="2"/>
  <c r="E146" i="2"/>
  <c r="E145" i="2"/>
  <c r="E143" i="2"/>
  <c r="E142" i="2"/>
  <c r="E139" i="2"/>
  <c r="E138" i="2"/>
  <c r="E136" i="2"/>
  <c r="E135" i="2"/>
  <c r="E133" i="2"/>
  <c r="E132" i="2"/>
  <c r="E130" i="2"/>
  <c r="E129" i="2"/>
  <c r="E127" i="2"/>
  <c r="E126" i="2"/>
  <c r="E124" i="2"/>
  <c r="E123" i="2"/>
  <c r="E121" i="2"/>
  <c r="E120" i="2"/>
  <c r="E118" i="2"/>
  <c r="E117" i="2"/>
  <c r="E114" i="2"/>
  <c r="E113" i="2"/>
  <c r="E111" i="2"/>
  <c r="E110" i="2"/>
  <c r="E108" i="2"/>
  <c r="E107" i="2"/>
  <c r="E105" i="2"/>
  <c r="E104" i="2"/>
  <c r="E102" i="2"/>
  <c r="E101" i="2"/>
  <c r="E99" i="2"/>
  <c r="E98" i="2"/>
  <c r="E96" i="2"/>
  <c r="E95" i="2"/>
  <c r="E93" i="2"/>
  <c r="E92" i="2"/>
  <c r="E90" i="2"/>
  <c r="E89" i="2"/>
  <c r="E80" i="2"/>
  <c r="E79" i="2"/>
  <c r="E77" i="2"/>
  <c r="E76" i="2"/>
  <c r="E74" i="2"/>
  <c r="E73" i="2"/>
  <c r="E71" i="2"/>
  <c r="E70" i="2"/>
  <c r="E68" i="2"/>
  <c r="E67" i="2"/>
  <c r="E65" i="2"/>
  <c r="E64" i="2"/>
  <c r="E62" i="2"/>
  <c r="E61" i="2"/>
  <c r="E58" i="2"/>
  <c r="E57" i="2"/>
  <c r="E55" i="2"/>
  <c r="E54" i="2"/>
  <c r="E52" i="2"/>
  <c r="E51" i="2"/>
  <c r="E49" i="2"/>
  <c r="E48" i="2"/>
  <c r="E46" i="2"/>
  <c r="E45" i="2"/>
  <c r="E43" i="2"/>
  <c r="E42" i="2"/>
  <c r="E40" i="2"/>
  <c r="E39" i="2"/>
  <c r="E37" i="2"/>
  <c r="E36" i="2"/>
  <c r="E33" i="2"/>
  <c r="E32" i="2"/>
  <c r="E30" i="2"/>
  <c r="E29" i="2"/>
  <c r="E27" i="2"/>
  <c r="E26" i="2"/>
  <c r="E24" i="2"/>
  <c r="E23" i="2"/>
  <c r="E21" i="2"/>
  <c r="E20" i="2"/>
  <c r="E18" i="2"/>
  <c r="E17" i="2"/>
  <c r="E15" i="2"/>
  <c r="E14" i="2"/>
  <c r="E12" i="2"/>
  <c r="E11" i="2"/>
  <c r="E9" i="2"/>
  <c r="E8" i="2"/>
  <c r="J4" i="4" l="1"/>
  <c r="K4" i="4"/>
  <c r="L4" i="4"/>
  <c r="G4" i="1"/>
  <c r="H4" i="1"/>
  <c r="I4" i="1"/>
  <c r="J4" i="1"/>
  <c r="I2" i="3"/>
  <c r="K4" i="1"/>
  <c r="K2" i="3"/>
  <c r="L4" i="1"/>
  <c r="M2" i="3"/>
  <c r="O2" i="3"/>
  <c r="I2" i="5"/>
  <c r="Q2" i="3"/>
  <c r="K2" i="5"/>
  <c r="S2" i="3"/>
  <c r="M2" i="5"/>
  <c r="O2" i="5"/>
  <c r="G4" i="4"/>
  <c r="Q2" i="5"/>
  <c r="H4" i="4"/>
  <c r="S2" i="5"/>
  <c r="I4" i="4"/>
  <c r="M143" i="1"/>
  <c r="H143" i="1"/>
  <c r="F143" i="1"/>
  <c r="G143" i="1"/>
  <c r="H128" i="1"/>
  <c r="I128" i="1"/>
  <c r="J128" i="1"/>
  <c r="K128" i="1"/>
  <c r="L128" i="1"/>
  <c r="I143" i="1"/>
  <c r="J143" i="1"/>
  <c r="K143" i="1"/>
  <c r="L143" i="1"/>
  <c r="M128" i="1"/>
  <c r="F128" i="1"/>
  <c r="G128" i="1"/>
  <c r="G16" i="1"/>
  <c r="F16" i="1"/>
  <c r="G44" i="1"/>
  <c r="F44" i="1"/>
  <c r="G84" i="1"/>
  <c r="G82" i="1"/>
  <c r="H16" i="1"/>
  <c r="H44" i="1"/>
  <c r="H60" i="1"/>
  <c r="H62" i="1"/>
  <c r="H82" i="1"/>
  <c r="H84" i="1"/>
  <c r="H126" i="1"/>
  <c r="I16" i="1"/>
  <c r="I44" i="1"/>
  <c r="I60" i="1"/>
  <c r="I62" i="1"/>
  <c r="I82" i="1"/>
  <c r="I84" i="1"/>
  <c r="I126" i="1"/>
  <c r="J16" i="1"/>
  <c r="J44" i="1"/>
  <c r="J60" i="1"/>
  <c r="J62" i="1"/>
  <c r="J82" i="1"/>
  <c r="J84" i="1"/>
  <c r="J126" i="1"/>
  <c r="K16" i="1"/>
  <c r="K44" i="1"/>
  <c r="K60" i="1"/>
  <c r="K62" i="1"/>
  <c r="K82" i="1"/>
  <c r="K84" i="1"/>
  <c r="K126" i="1"/>
  <c r="L16" i="1"/>
  <c r="L44" i="1"/>
  <c r="L60" i="1"/>
  <c r="L62" i="1"/>
  <c r="L82" i="1"/>
  <c r="L84" i="1"/>
  <c r="L126" i="1"/>
  <c r="M16" i="1"/>
  <c r="M44" i="1"/>
  <c r="M60" i="1"/>
  <c r="M62" i="1"/>
  <c r="M82" i="1"/>
  <c r="M84" i="1"/>
  <c r="M126" i="1"/>
  <c r="F61" i="1"/>
  <c r="F83" i="1"/>
  <c r="F85" i="1"/>
  <c r="F127" i="1"/>
  <c r="G61" i="1"/>
  <c r="G83" i="1"/>
  <c r="G85" i="1"/>
  <c r="G127" i="1"/>
  <c r="H61" i="1"/>
  <c r="H83" i="1"/>
  <c r="H85" i="1"/>
  <c r="H127" i="1"/>
  <c r="I61" i="1"/>
  <c r="I83" i="1"/>
  <c r="I85" i="1"/>
  <c r="I127" i="1"/>
  <c r="J61" i="1"/>
  <c r="J83" i="1"/>
  <c r="J85" i="1"/>
  <c r="J127" i="1"/>
  <c r="K61" i="1"/>
  <c r="K83" i="1"/>
  <c r="K85" i="1"/>
  <c r="K127" i="1"/>
  <c r="L61" i="1"/>
  <c r="L83" i="1"/>
  <c r="L85" i="1"/>
  <c r="L127" i="1"/>
  <c r="M61" i="1"/>
  <c r="M83" i="1"/>
  <c r="M85" i="1"/>
  <c r="M127" i="1"/>
  <c r="F60" i="1"/>
  <c r="F62" i="1"/>
  <c r="F82" i="1"/>
  <c r="F84" i="1"/>
  <c r="F126" i="1"/>
  <c r="G60" i="1"/>
  <c r="C73" i="1"/>
  <c r="M81" i="1"/>
  <c r="M80" i="1"/>
  <c r="M79" i="1"/>
  <c r="M78" i="1"/>
  <c r="M77" i="1"/>
  <c r="M76" i="1"/>
  <c r="M75" i="1"/>
  <c r="M74" i="1"/>
  <c r="C117" i="1"/>
  <c r="M125" i="1"/>
  <c r="M124" i="1"/>
  <c r="M123" i="1"/>
  <c r="M122" i="1"/>
  <c r="M121" i="1"/>
  <c r="M120" i="1"/>
  <c r="M119" i="1"/>
  <c r="M118" i="1"/>
  <c r="L125" i="1"/>
  <c r="L124" i="1"/>
  <c r="L123" i="1"/>
  <c r="L122" i="1"/>
  <c r="L121" i="1"/>
  <c r="L120" i="1"/>
  <c r="L119" i="1"/>
  <c r="L118" i="1"/>
  <c r="K125" i="1"/>
  <c r="K124" i="1"/>
  <c r="K123" i="1"/>
  <c r="K122" i="1"/>
  <c r="K121" i="1"/>
  <c r="K120" i="1"/>
  <c r="K119" i="1"/>
  <c r="K118" i="1"/>
  <c r="J125" i="1"/>
  <c r="J124" i="1"/>
  <c r="J123" i="1"/>
  <c r="J122" i="1"/>
  <c r="J121" i="1"/>
  <c r="J120" i="1"/>
  <c r="J119" i="1"/>
  <c r="J118" i="1"/>
  <c r="I125" i="1"/>
  <c r="I124" i="1"/>
  <c r="I123" i="1"/>
  <c r="I122" i="1"/>
  <c r="I121" i="1"/>
  <c r="I120" i="1"/>
  <c r="I119" i="1"/>
  <c r="I118" i="1"/>
  <c r="H51" i="1"/>
  <c r="M59" i="1"/>
  <c r="M58" i="1"/>
  <c r="M57" i="1"/>
  <c r="M56" i="1"/>
  <c r="M55" i="1"/>
  <c r="M54" i="1"/>
  <c r="M53" i="1"/>
  <c r="M52" i="1"/>
  <c r="L59" i="1"/>
  <c r="L58" i="1"/>
  <c r="L57" i="1"/>
  <c r="L56" i="1"/>
  <c r="L55" i="1"/>
  <c r="L54" i="1"/>
  <c r="L53" i="1"/>
  <c r="L52" i="1"/>
  <c r="C7" i="1"/>
  <c r="M15" i="1"/>
  <c r="M14" i="1"/>
  <c r="M13" i="1"/>
  <c r="M12" i="1"/>
  <c r="M11" i="1"/>
  <c r="M10" i="1"/>
  <c r="M9" i="1"/>
  <c r="M8" i="1"/>
  <c r="L15" i="1"/>
  <c r="L14" i="1"/>
  <c r="L13" i="1"/>
  <c r="L12" i="1"/>
  <c r="L11" i="1"/>
  <c r="L10" i="1"/>
  <c r="L9" i="1"/>
  <c r="L8" i="1"/>
  <c r="K15" i="1"/>
  <c r="K14" i="1"/>
  <c r="K13" i="1"/>
  <c r="K12" i="1"/>
  <c r="K11" i="1"/>
  <c r="K10" i="1"/>
  <c r="K9" i="1"/>
  <c r="K8" i="1"/>
  <c r="J15" i="1"/>
  <c r="J14" i="1"/>
  <c r="J13" i="1"/>
  <c r="J12" i="1"/>
  <c r="J11" i="1"/>
  <c r="J10" i="1"/>
  <c r="J9" i="1"/>
  <c r="J8" i="1"/>
  <c r="C29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F8" i="1"/>
  <c r="F9" i="1"/>
  <c r="F10" i="1"/>
  <c r="F11" i="1"/>
  <c r="F12" i="1"/>
  <c r="F13" i="1"/>
  <c r="F14" i="1"/>
  <c r="F15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52" i="1"/>
  <c r="F53" i="1"/>
  <c r="F54" i="1"/>
  <c r="F55" i="1"/>
  <c r="F56" i="1"/>
  <c r="F57" i="1"/>
  <c r="F58" i="1"/>
  <c r="F59" i="1"/>
  <c r="F74" i="1"/>
  <c r="F75" i="1"/>
  <c r="F76" i="1"/>
  <c r="F77" i="1"/>
  <c r="F78" i="1"/>
  <c r="F79" i="1"/>
  <c r="F80" i="1"/>
  <c r="F81" i="1"/>
  <c r="F96" i="1"/>
  <c r="F97" i="1"/>
  <c r="F98" i="1"/>
  <c r="F99" i="1"/>
  <c r="F100" i="1"/>
  <c r="F101" i="1"/>
  <c r="F102" i="1"/>
  <c r="F103" i="1"/>
  <c r="F118" i="1"/>
  <c r="F119" i="1"/>
  <c r="F120" i="1"/>
  <c r="F121" i="1"/>
  <c r="F122" i="1"/>
  <c r="F123" i="1"/>
  <c r="F124" i="1"/>
  <c r="F125" i="1"/>
  <c r="G8" i="1"/>
  <c r="G9" i="1"/>
  <c r="G10" i="1"/>
  <c r="G11" i="1"/>
  <c r="G12" i="1"/>
  <c r="G13" i="1"/>
  <c r="G14" i="1"/>
  <c r="G15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52" i="1"/>
  <c r="G53" i="1"/>
  <c r="G54" i="1"/>
  <c r="G55" i="1"/>
  <c r="G56" i="1"/>
  <c r="G57" i="1"/>
  <c r="G58" i="1"/>
  <c r="G59" i="1"/>
  <c r="G74" i="1"/>
  <c r="G75" i="1"/>
  <c r="G76" i="1"/>
  <c r="G77" i="1"/>
  <c r="G78" i="1"/>
  <c r="G79" i="1"/>
  <c r="G80" i="1"/>
  <c r="G81" i="1"/>
  <c r="G96" i="1"/>
  <c r="G97" i="1"/>
  <c r="G98" i="1"/>
  <c r="G99" i="1"/>
  <c r="G100" i="1"/>
  <c r="G101" i="1"/>
  <c r="G102" i="1"/>
  <c r="G103" i="1"/>
  <c r="G118" i="1"/>
  <c r="G119" i="1"/>
  <c r="G120" i="1"/>
  <c r="G121" i="1"/>
  <c r="G122" i="1"/>
  <c r="G123" i="1"/>
  <c r="G124" i="1"/>
  <c r="G125" i="1"/>
  <c r="H8" i="1"/>
  <c r="H9" i="1"/>
  <c r="H10" i="1"/>
  <c r="H11" i="1"/>
  <c r="H12" i="1"/>
  <c r="H13" i="1"/>
  <c r="H14" i="1"/>
  <c r="H15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52" i="1"/>
  <c r="H53" i="1"/>
  <c r="H54" i="1"/>
  <c r="H55" i="1"/>
  <c r="H56" i="1"/>
  <c r="H57" i="1"/>
  <c r="H58" i="1"/>
  <c r="H59" i="1"/>
  <c r="H74" i="1"/>
  <c r="H75" i="1"/>
  <c r="H76" i="1"/>
  <c r="H77" i="1"/>
  <c r="H78" i="1"/>
  <c r="H79" i="1"/>
  <c r="H80" i="1"/>
  <c r="H81" i="1"/>
  <c r="H96" i="1"/>
  <c r="H97" i="1"/>
  <c r="H98" i="1"/>
  <c r="H99" i="1"/>
  <c r="H100" i="1"/>
  <c r="H101" i="1"/>
  <c r="H102" i="1"/>
  <c r="H103" i="1"/>
  <c r="H118" i="1"/>
  <c r="H119" i="1"/>
  <c r="H120" i="1"/>
  <c r="H121" i="1"/>
  <c r="H122" i="1"/>
  <c r="H123" i="1"/>
  <c r="H124" i="1"/>
  <c r="H125" i="1"/>
  <c r="I8" i="1"/>
  <c r="I9" i="1"/>
  <c r="I10" i="1"/>
  <c r="I11" i="1"/>
  <c r="I12" i="1"/>
  <c r="I13" i="1"/>
  <c r="I14" i="1"/>
  <c r="I15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52" i="1"/>
  <c r="I53" i="1"/>
  <c r="I54" i="1"/>
  <c r="I55" i="1"/>
  <c r="I56" i="1"/>
  <c r="I57" i="1"/>
  <c r="I58" i="1"/>
  <c r="I59" i="1"/>
  <c r="I74" i="1"/>
  <c r="I75" i="1"/>
  <c r="I76" i="1"/>
  <c r="I77" i="1"/>
  <c r="I78" i="1"/>
  <c r="I79" i="1"/>
  <c r="I80" i="1"/>
  <c r="I81" i="1"/>
  <c r="I96" i="1"/>
  <c r="I97" i="1"/>
  <c r="I98" i="1"/>
  <c r="I99" i="1"/>
  <c r="I100" i="1"/>
  <c r="I101" i="1"/>
  <c r="I102" i="1"/>
  <c r="I103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52" i="1"/>
  <c r="J53" i="1"/>
  <c r="J54" i="1"/>
  <c r="J55" i="1"/>
  <c r="J56" i="1"/>
  <c r="J57" i="1"/>
  <c r="J58" i="1"/>
  <c r="J59" i="1"/>
  <c r="J74" i="1"/>
  <c r="J75" i="1"/>
  <c r="J76" i="1"/>
  <c r="J77" i="1"/>
  <c r="J78" i="1"/>
  <c r="J79" i="1"/>
  <c r="J80" i="1"/>
  <c r="J81" i="1"/>
  <c r="J96" i="1"/>
  <c r="J97" i="1"/>
  <c r="J98" i="1"/>
  <c r="J99" i="1"/>
  <c r="J100" i="1"/>
  <c r="J101" i="1"/>
  <c r="J102" i="1"/>
  <c r="J103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52" i="1"/>
  <c r="K53" i="1"/>
  <c r="K54" i="1"/>
  <c r="K55" i="1"/>
  <c r="K56" i="1"/>
  <c r="K57" i="1"/>
  <c r="K58" i="1"/>
  <c r="K59" i="1"/>
  <c r="K74" i="1"/>
  <c r="K75" i="1"/>
  <c r="K76" i="1"/>
  <c r="K77" i="1"/>
  <c r="K78" i="1"/>
  <c r="K79" i="1"/>
  <c r="K80" i="1"/>
  <c r="K81" i="1"/>
  <c r="K96" i="1"/>
  <c r="K97" i="1"/>
  <c r="K98" i="1"/>
  <c r="K99" i="1"/>
  <c r="K100" i="1"/>
  <c r="K101" i="1"/>
  <c r="K102" i="1"/>
  <c r="K103" i="1"/>
  <c r="L74" i="1"/>
  <c r="L75" i="1"/>
  <c r="L76" i="1"/>
  <c r="L77" i="1"/>
  <c r="L78" i="1"/>
  <c r="L79" i="1"/>
  <c r="L80" i="1"/>
  <c r="L81" i="1"/>
  <c r="L96" i="1"/>
  <c r="L97" i="1"/>
  <c r="L98" i="1"/>
  <c r="L99" i="1"/>
  <c r="L100" i="1"/>
  <c r="L101" i="1"/>
  <c r="L102" i="1"/>
  <c r="L103" i="1"/>
  <c r="M96" i="1"/>
  <c r="M97" i="1"/>
  <c r="M98" i="1"/>
  <c r="M99" i="1"/>
  <c r="M100" i="1"/>
  <c r="M101" i="1"/>
  <c r="M102" i="1"/>
  <c r="M103" i="1"/>
  <c r="H208" i="1"/>
  <c r="K183" i="1"/>
  <c r="G207" i="1"/>
  <c r="I183" i="1"/>
  <c r="M207" i="1"/>
  <c r="J172" i="1"/>
  <c r="H183" i="1"/>
  <c r="L207" i="1"/>
  <c r="M208" i="1"/>
  <c r="L172" i="1"/>
  <c r="J183" i="1"/>
  <c r="G208" i="1"/>
  <c r="M172" i="1"/>
  <c r="L183" i="1"/>
  <c r="H207" i="1"/>
  <c r="I208" i="1"/>
  <c r="K172" i="1"/>
  <c r="G172" i="1"/>
  <c r="M183" i="1"/>
  <c r="I207" i="1"/>
  <c r="J208" i="1"/>
  <c r="H172" i="1"/>
  <c r="J207" i="1"/>
  <c r="K208" i="1"/>
  <c r="I172" i="1"/>
  <c r="G183" i="1"/>
  <c r="K207" i="1"/>
  <c r="L208" i="1"/>
  <c r="K193" i="1"/>
  <c r="M193" i="1"/>
  <c r="I182" i="1"/>
  <c r="G205" i="1"/>
  <c r="J205" i="1"/>
  <c r="H193" i="1"/>
  <c r="M150" i="1"/>
  <c r="M182" i="1"/>
  <c r="L193" i="1"/>
  <c r="K205" i="1"/>
  <c r="I150" i="1"/>
  <c r="M205" i="1"/>
  <c r="G206" i="1"/>
  <c r="G163" i="1"/>
  <c r="H206" i="1"/>
  <c r="H163" i="1"/>
  <c r="I206" i="1"/>
  <c r="I163" i="1"/>
  <c r="J206" i="1"/>
  <c r="L205" i="1"/>
  <c r="L150" i="1"/>
  <c r="J163" i="1"/>
  <c r="K206" i="1"/>
  <c r="L206" i="1"/>
  <c r="L163" i="1"/>
  <c r="M206" i="1"/>
  <c r="L182" i="1"/>
  <c r="K163" i="1"/>
  <c r="G150" i="1"/>
  <c r="M163" i="1"/>
  <c r="G182" i="1"/>
  <c r="H150" i="1"/>
  <c r="H182" i="1"/>
  <c r="G193" i="1"/>
  <c r="J150" i="1"/>
  <c r="J182" i="1"/>
  <c r="I193" i="1"/>
  <c r="H205" i="1"/>
  <c r="K150" i="1"/>
  <c r="J193" i="1"/>
  <c r="I205" i="1"/>
  <c r="G142" i="1"/>
  <c r="I142" i="1"/>
  <c r="H142" i="1"/>
  <c r="F142" i="1"/>
  <c r="J142" i="1"/>
  <c r="K142" i="1"/>
  <c r="L142" i="1"/>
  <c r="M142" i="1"/>
  <c r="H168" i="1"/>
  <c r="H159" i="1"/>
  <c r="F141" i="1"/>
  <c r="G139" i="1"/>
  <c r="I160" i="1"/>
  <c r="I169" i="1"/>
  <c r="M191" i="1"/>
  <c r="H140" i="1"/>
  <c r="L146" i="1"/>
  <c r="J161" i="1"/>
  <c r="J170" i="1"/>
  <c r="G202" i="1"/>
  <c r="I141" i="1"/>
  <c r="M147" i="1"/>
  <c r="K162" i="1"/>
  <c r="K171" i="1"/>
  <c r="H203" i="1"/>
  <c r="L95" i="1"/>
  <c r="G149" i="1"/>
  <c r="I204" i="1"/>
  <c r="J29" i="1"/>
  <c r="I73" i="1"/>
  <c r="F73" i="1"/>
  <c r="L7" i="1"/>
  <c r="H117" i="1"/>
  <c r="G158" i="1"/>
  <c r="L190" i="1"/>
  <c r="C51" i="1"/>
  <c r="G51" i="1"/>
  <c r="F51" i="1"/>
  <c r="M51" i="1"/>
  <c r="L51" i="1"/>
  <c r="K51" i="1"/>
  <c r="J51" i="1"/>
  <c r="I51" i="1"/>
  <c r="C179" i="1"/>
  <c r="K181" i="1"/>
  <c r="J180" i="1"/>
  <c r="I179" i="1"/>
  <c r="J181" i="1"/>
  <c r="I180" i="1"/>
  <c r="H179" i="1"/>
  <c r="I181" i="1"/>
  <c r="H180" i="1"/>
  <c r="G179" i="1"/>
  <c r="H181" i="1"/>
  <c r="G180" i="1"/>
  <c r="G181" i="1"/>
  <c r="M179" i="1"/>
  <c r="M180" i="1"/>
  <c r="L179" i="1"/>
  <c r="M181" i="1"/>
  <c r="L180" i="1"/>
  <c r="K179" i="1"/>
  <c r="L181" i="1"/>
  <c r="K180" i="1"/>
  <c r="J179" i="1"/>
  <c r="F29" i="1"/>
  <c r="M7" i="1"/>
  <c r="K29" i="1"/>
  <c r="J73" i="1"/>
  <c r="M95" i="1"/>
  <c r="I117" i="1"/>
  <c r="H139" i="1"/>
  <c r="I140" i="1"/>
  <c r="J141" i="1"/>
  <c r="M146" i="1"/>
  <c r="G148" i="1"/>
  <c r="H149" i="1"/>
  <c r="G157" i="1"/>
  <c r="H158" i="1"/>
  <c r="I159" i="1"/>
  <c r="J160" i="1"/>
  <c r="K161" i="1"/>
  <c r="L162" i="1"/>
  <c r="I168" i="1"/>
  <c r="J169" i="1"/>
  <c r="K170" i="1"/>
  <c r="L171" i="1"/>
  <c r="M190" i="1"/>
  <c r="G192" i="1"/>
  <c r="G201" i="1"/>
  <c r="H202" i="1"/>
  <c r="I203" i="1"/>
  <c r="J204" i="1"/>
  <c r="L29" i="1"/>
  <c r="K73" i="1"/>
  <c r="J117" i="1"/>
  <c r="I139" i="1"/>
  <c r="J140" i="1"/>
  <c r="K141" i="1"/>
  <c r="G147" i="1"/>
  <c r="H148" i="1"/>
  <c r="I149" i="1"/>
  <c r="H157" i="1"/>
  <c r="I158" i="1"/>
  <c r="J159" i="1"/>
  <c r="K160" i="1"/>
  <c r="L161" i="1"/>
  <c r="M162" i="1"/>
  <c r="J168" i="1"/>
  <c r="K169" i="1"/>
  <c r="L170" i="1"/>
  <c r="M171" i="1"/>
  <c r="G191" i="1"/>
  <c r="H192" i="1"/>
  <c r="H201" i="1"/>
  <c r="I202" i="1"/>
  <c r="J203" i="1"/>
  <c r="K204" i="1"/>
  <c r="F7" i="1"/>
  <c r="F95" i="1"/>
  <c r="G7" i="1"/>
  <c r="M29" i="1"/>
  <c r="L73" i="1"/>
  <c r="G95" i="1"/>
  <c r="K117" i="1"/>
  <c r="J139" i="1"/>
  <c r="K140" i="1"/>
  <c r="L141" i="1"/>
  <c r="G146" i="1"/>
  <c r="H147" i="1"/>
  <c r="I148" i="1"/>
  <c r="J149" i="1"/>
  <c r="I157" i="1"/>
  <c r="J158" i="1"/>
  <c r="K159" i="1"/>
  <c r="L160" i="1"/>
  <c r="M161" i="1"/>
  <c r="K168" i="1"/>
  <c r="L169" i="1"/>
  <c r="M170" i="1"/>
  <c r="G190" i="1"/>
  <c r="H191" i="1"/>
  <c r="I192" i="1"/>
  <c r="I201" i="1"/>
  <c r="J202" i="1"/>
  <c r="K203" i="1"/>
  <c r="L204" i="1"/>
  <c r="H7" i="1"/>
  <c r="M73" i="1"/>
  <c r="H95" i="1"/>
  <c r="L117" i="1"/>
  <c r="K139" i="1"/>
  <c r="L140" i="1"/>
  <c r="M141" i="1"/>
  <c r="H146" i="1"/>
  <c r="I147" i="1"/>
  <c r="J148" i="1"/>
  <c r="K149" i="1"/>
  <c r="J157" i="1"/>
  <c r="K158" i="1"/>
  <c r="L159" i="1"/>
  <c r="M160" i="1"/>
  <c r="G162" i="1"/>
  <c r="L168" i="1"/>
  <c r="M169" i="1"/>
  <c r="G171" i="1"/>
  <c r="H190" i="1"/>
  <c r="I191" i="1"/>
  <c r="J192" i="1"/>
  <c r="J201" i="1"/>
  <c r="K202" i="1"/>
  <c r="L203" i="1"/>
  <c r="M204" i="1"/>
  <c r="I7" i="1"/>
  <c r="G29" i="1"/>
  <c r="I95" i="1"/>
  <c r="M117" i="1"/>
  <c r="L139" i="1"/>
  <c r="M140" i="1"/>
  <c r="I146" i="1"/>
  <c r="J147" i="1"/>
  <c r="K148" i="1"/>
  <c r="L149" i="1"/>
  <c r="K157" i="1"/>
  <c r="L158" i="1"/>
  <c r="M159" i="1"/>
  <c r="G161" i="1"/>
  <c r="H162" i="1"/>
  <c r="M168" i="1"/>
  <c r="G170" i="1"/>
  <c r="H171" i="1"/>
  <c r="I190" i="1"/>
  <c r="J191" i="1"/>
  <c r="K192" i="1"/>
  <c r="K201" i="1"/>
  <c r="L202" i="1"/>
  <c r="M203" i="1"/>
  <c r="F139" i="1"/>
  <c r="J7" i="1"/>
  <c r="H29" i="1"/>
  <c r="G73" i="1"/>
  <c r="J95" i="1"/>
  <c r="M139" i="1"/>
  <c r="G141" i="1"/>
  <c r="J146" i="1"/>
  <c r="K147" i="1"/>
  <c r="L148" i="1"/>
  <c r="M149" i="1"/>
  <c r="L157" i="1"/>
  <c r="M158" i="1"/>
  <c r="G160" i="1"/>
  <c r="H161" i="1"/>
  <c r="I162" i="1"/>
  <c r="G169" i="1"/>
  <c r="H170" i="1"/>
  <c r="I171" i="1"/>
  <c r="J190" i="1"/>
  <c r="K191" i="1"/>
  <c r="L192" i="1"/>
  <c r="L201" i="1"/>
  <c r="M202" i="1"/>
  <c r="G204" i="1"/>
  <c r="F117" i="1"/>
  <c r="F140" i="1"/>
  <c r="K7" i="1"/>
  <c r="I29" i="1"/>
  <c r="H73" i="1"/>
  <c r="K95" i="1"/>
  <c r="G117" i="1"/>
  <c r="G140" i="1"/>
  <c r="H141" i="1"/>
  <c r="K146" i="1"/>
  <c r="L147" i="1"/>
  <c r="M148" i="1"/>
  <c r="M157" i="1"/>
  <c r="G159" i="1"/>
  <c r="H160" i="1"/>
  <c r="I161" i="1"/>
  <c r="J162" i="1"/>
  <c r="G168" i="1"/>
  <c r="H169" i="1"/>
  <c r="I170" i="1"/>
  <c r="J171" i="1"/>
  <c r="K190" i="1"/>
  <c r="L191" i="1"/>
  <c r="M192" i="1"/>
  <c r="M201" i="1"/>
  <c r="G203" i="1"/>
  <c r="H204" i="1"/>
  <c r="H5" i="2"/>
  <c r="G86" i="2"/>
  <c r="G80" i="4"/>
  <c r="G79" i="4" s="1"/>
  <c r="G155" i="4"/>
  <c r="H155" i="4" l="1"/>
  <c r="G154" i="4"/>
  <c r="G167" i="2"/>
  <c r="G248" i="2" s="1"/>
  <c r="G85" i="2"/>
  <c r="I5" i="2"/>
  <c r="H4" i="2"/>
  <c r="H86" i="2"/>
  <c r="H80" i="4"/>
  <c r="G230" i="4"/>
  <c r="H230" i="4" l="1"/>
  <c r="G229" i="4"/>
  <c r="I80" i="4"/>
  <c r="H79" i="4"/>
  <c r="H248" i="2"/>
  <c r="G247" i="2"/>
  <c r="I86" i="2"/>
  <c r="H85" i="2"/>
  <c r="J5" i="2"/>
  <c r="I4" i="2"/>
  <c r="H167" i="2"/>
  <c r="G166" i="2"/>
  <c r="I155" i="4"/>
  <c r="H154" i="4"/>
  <c r="I230" i="4" l="1"/>
  <c r="H229" i="4"/>
  <c r="J155" i="4"/>
  <c r="I154" i="4"/>
  <c r="I167" i="2"/>
  <c r="H166" i="2"/>
  <c r="I248" i="2"/>
  <c r="H247" i="2"/>
  <c r="J80" i="4"/>
  <c r="I79" i="4"/>
  <c r="K5" i="2"/>
  <c r="J4" i="2"/>
  <c r="J86" i="2"/>
  <c r="I85" i="2"/>
  <c r="K86" i="2" l="1"/>
  <c r="J85" i="2"/>
  <c r="L5" i="2"/>
  <c r="K4" i="2"/>
  <c r="K80" i="4"/>
  <c r="J79" i="4"/>
  <c r="J248" i="2"/>
  <c r="I247" i="2"/>
  <c r="J167" i="2"/>
  <c r="I166" i="2"/>
  <c r="K155" i="4"/>
  <c r="J154" i="4"/>
  <c r="J230" i="4"/>
  <c r="I229" i="4"/>
  <c r="K230" i="4" l="1"/>
  <c r="J229" i="4"/>
  <c r="L155" i="4"/>
  <c r="K154" i="4"/>
  <c r="K167" i="2"/>
  <c r="J166" i="2"/>
  <c r="K248" i="2"/>
  <c r="J247" i="2"/>
  <c r="L80" i="4"/>
  <c r="K79" i="4"/>
  <c r="M5" i="2"/>
  <c r="M4" i="2" s="1"/>
  <c r="L4" i="2"/>
  <c r="L86" i="2"/>
  <c r="K85" i="2"/>
  <c r="M86" i="2" l="1"/>
  <c r="M85" i="2" s="1"/>
  <c r="L85" i="2"/>
  <c r="M80" i="4"/>
  <c r="M79" i="4" s="1"/>
  <c r="L79" i="4"/>
  <c r="L248" i="2"/>
  <c r="K247" i="2"/>
  <c r="L167" i="2"/>
  <c r="K166" i="2"/>
  <c r="M155" i="4"/>
  <c r="M154" i="4" s="1"/>
  <c r="L154" i="4"/>
  <c r="L230" i="4"/>
  <c r="K229" i="4"/>
  <c r="M230" i="4" l="1"/>
  <c r="M229" i="4" s="1"/>
  <c r="L229" i="4"/>
  <c r="M167" i="2"/>
  <c r="M166" i="2" s="1"/>
  <c r="L166" i="2"/>
  <c r="M248" i="2"/>
  <c r="M247" i="2" s="1"/>
  <c r="L24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<sst xmlns="http://schemas.openxmlformats.org/spreadsheetml/2006/main" count="4652" uniqueCount="1140">
  <si>
    <t>NETWORK OPERATIONS CENTER GUARANTEED ASSIGNED DISPATCHER SCHEDULE</t>
  </si>
  <si>
    <t>HOLD</t>
  </si>
  <si>
    <t>NAME</t>
  </si>
  <si>
    <t>DIVISION</t>
  </si>
  <si>
    <t>DOWN</t>
  </si>
  <si>
    <t>KEYSTONE</t>
  </si>
  <si>
    <r>
      <t>MV, CT, HE,</t>
    </r>
    <r>
      <rPr>
        <b/>
        <sz val="20"/>
        <color rgb="FFFF0000"/>
        <rFont val="Calibri"/>
        <family val="2"/>
        <scheme val="minor"/>
      </rPr>
      <t xml:space="preserve"> HT</t>
    </r>
  </si>
  <si>
    <r>
      <t>MV, PE, RL, (CT</t>
    </r>
    <r>
      <rPr>
        <b/>
        <sz val="20"/>
        <color rgb="FFFF0000"/>
        <rFont val="Calibri"/>
        <family val="2"/>
        <scheme val="minor"/>
      </rPr>
      <t>-LE</t>
    </r>
    <r>
      <rPr>
        <b/>
        <sz val="20"/>
        <rFont val="Calibri"/>
        <family val="2"/>
        <scheme val="minor"/>
      </rPr>
      <t>)</t>
    </r>
  </si>
  <si>
    <r>
      <t xml:space="preserve">PE, MV, CT, </t>
    </r>
    <r>
      <rPr>
        <b/>
        <sz val="20"/>
        <color rgb="FFFF0000"/>
        <rFont val="Calibri"/>
        <family val="2"/>
        <scheme val="minor"/>
      </rPr>
      <t xml:space="preserve">CE </t>
    </r>
  </si>
  <si>
    <r>
      <t xml:space="preserve">HE, DH, </t>
    </r>
    <r>
      <rPr>
        <b/>
        <sz val="20"/>
        <color rgb="FFFF0000"/>
        <rFont val="Calibri"/>
        <family val="2"/>
      </rPr>
      <t>HT</t>
    </r>
  </si>
  <si>
    <r>
      <t xml:space="preserve">MV, AL, HT  </t>
    </r>
    <r>
      <rPr>
        <b/>
        <sz val="20"/>
        <color rgb="FFFF0000"/>
        <rFont val="Calibri"/>
        <family val="2"/>
        <scheme val="minor"/>
      </rPr>
      <t xml:space="preserve"> (HG)</t>
    </r>
  </si>
  <si>
    <r>
      <t xml:space="preserve">HG, DH, </t>
    </r>
    <r>
      <rPr>
        <b/>
        <sz val="20"/>
        <color rgb="FFFF0000"/>
        <rFont val="Calibri"/>
        <family val="2"/>
        <scheme val="minor"/>
      </rPr>
      <t xml:space="preserve">HE    </t>
    </r>
  </si>
  <si>
    <t>KEYSTONE -GAD</t>
  </si>
  <si>
    <t>GREATLAKES - GAD</t>
  </si>
  <si>
    <t>MIDWEST - GAD</t>
  </si>
  <si>
    <t>GULF - GAD</t>
  </si>
  <si>
    <t>BLUE RIDGE - GAD</t>
  </si>
  <si>
    <t>COASTAL - GAD</t>
  </si>
  <si>
    <t>relief acd's</t>
  </si>
  <si>
    <t>GREATLAKES</t>
  </si>
  <si>
    <t>DE, QC, MT</t>
  </si>
  <si>
    <r>
      <t xml:space="preserve">SA, MT, </t>
    </r>
    <r>
      <rPr>
        <b/>
        <sz val="20"/>
        <color rgb="FFFF0000"/>
        <rFont val="Calibri"/>
        <family val="2"/>
        <scheme val="minor"/>
      </rPr>
      <t>DE</t>
    </r>
  </si>
  <si>
    <r>
      <t>DE, MT, CG,</t>
    </r>
    <r>
      <rPr>
        <b/>
        <sz val="20"/>
        <color rgb="FFFF0000"/>
        <rFont val="Calibri"/>
        <family val="2"/>
        <scheme val="minor"/>
      </rPr>
      <t xml:space="preserve"> SA</t>
    </r>
  </si>
  <si>
    <r>
      <t xml:space="preserve">DT, EL, CD, CG </t>
    </r>
    <r>
      <rPr>
        <b/>
        <sz val="20"/>
        <color rgb="FFFF0000"/>
        <rFont val="Calibri"/>
        <family val="2"/>
        <scheme val="minor"/>
      </rPr>
      <t>DE</t>
    </r>
  </si>
  <si>
    <t xml:space="preserve">DT, CD, EL,  </t>
  </si>
  <si>
    <r>
      <t xml:space="preserve">PR, TE, DT, </t>
    </r>
    <r>
      <rPr>
        <b/>
        <sz val="20"/>
        <color rgb="FFFF0000"/>
        <rFont val="Calibri"/>
        <family val="2"/>
      </rPr>
      <t>CG</t>
    </r>
  </si>
  <si>
    <t>MIDWEST</t>
  </si>
  <si>
    <r>
      <t xml:space="preserve">SW, SP, SO, </t>
    </r>
    <r>
      <rPr>
        <b/>
        <sz val="20"/>
        <color theme="1"/>
        <rFont val="Calibri"/>
        <family val="2"/>
        <scheme val="minor"/>
      </rPr>
      <t>LF</t>
    </r>
  </si>
  <si>
    <t xml:space="preserve">QC, CG, SA </t>
  </si>
  <si>
    <r>
      <t xml:space="preserve">LF, SP, KY </t>
    </r>
    <r>
      <rPr>
        <b/>
        <sz val="20"/>
        <color rgb="FFFF0000"/>
        <rFont val="Calibri"/>
        <family val="2"/>
        <scheme val="minor"/>
      </rPr>
      <t>QC</t>
    </r>
  </si>
  <si>
    <t>SW, SO, KC, KY</t>
  </si>
  <si>
    <t>COASTAL</t>
  </si>
  <si>
    <r>
      <t xml:space="preserve">CH,SV,SE, </t>
    </r>
    <r>
      <rPr>
        <b/>
        <sz val="16"/>
        <color rgb="FFFF0000"/>
        <rFont val="Calibri"/>
        <family val="2"/>
        <scheme val="minor"/>
      </rPr>
      <t>NE</t>
    </r>
  </si>
  <si>
    <r>
      <t xml:space="preserve">CH, SV, </t>
    </r>
    <r>
      <rPr>
        <b/>
        <sz val="20"/>
        <color rgb="FFFF0000"/>
        <rFont val="Calibri"/>
        <family val="2"/>
        <scheme val="minor"/>
      </rPr>
      <t>GS</t>
    </r>
  </si>
  <si>
    <t>NE, SE, CH</t>
  </si>
  <si>
    <r>
      <t xml:space="preserve">SV, CH, </t>
    </r>
    <r>
      <rPr>
        <b/>
        <sz val="20"/>
        <color rgb="FFFF0000"/>
        <rFont val="Calibri"/>
        <family val="2"/>
      </rPr>
      <t>DV</t>
    </r>
  </si>
  <si>
    <t>KEYSTONE - GAD</t>
  </si>
  <si>
    <t>GULF</t>
  </si>
  <si>
    <r>
      <t xml:space="preserve">CN, ME, </t>
    </r>
    <r>
      <rPr>
        <b/>
        <sz val="20"/>
        <color rgb="FFFF0000"/>
        <rFont val="Calibri"/>
        <family val="2"/>
        <scheme val="minor"/>
      </rPr>
      <t>3B</t>
    </r>
    <r>
      <rPr>
        <b/>
        <sz val="20"/>
        <rFont val="Calibri"/>
        <family val="2"/>
        <scheme val="minor"/>
      </rPr>
      <t xml:space="preserve">, </t>
    </r>
    <r>
      <rPr>
        <b/>
        <sz val="20"/>
        <color rgb="FFFF0000"/>
        <rFont val="Calibri"/>
        <family val="2"/>
        <scheme val="minor"/>
      </rPr>
      <t xml:space="preserve"> IN </t>
    </r>
  </si>
  <si>
    <t>CN, 3B, NO</t>
  </si>
  <si>
    <r>
      <t xml:space="preserve">ME, 3B, </t>
    </r>
    <r>
      <rPr>
        <b/>
        <sz val="18"/>
        <color rgb="FFFF0000"/>
        <rFont val="Calibri"/>
        <family val="2"/>
        <scheme val="minor"/>
      </rPr>
      <t xml:space="preserve">EE </t>
    </r>
  </si>
  <si>
    <r>
      <t xml:space="preserve">NO </t>
    </r>
    <r>
      <rPr>
        <b/>
        <sz val="12"/>
        <color rgb="FFFF0000"/>
        <rFont val="Calibri"/>
        <family val="2"/>
      </rPr>
      <t>(1/2 ONLY)</t>
    </r>
    <r>
      <rPr>
        <b/>
        <sz val="12"/>
        <rFont val="Calibri"/>
        <family val="2"/>
      </rPr>
      <t xml:space="preserve">, KW, ME, </t>
    </r>
    <r>
      <rPr>
        <b/>
        <sz val="12"/>
        <color rgb="FFFF0000"/>
        <rFont val="Calibri"/>
        <family val="2"/>
      </rPr>
      <t>3B, AS</t>
    </r>
  </si>
  <si>
    <r>
      <t>BT, EE, NO,</t>
    </r>
    <r>
      <rPr>
        <b/>
        <sz val="18"/>
        <color rgb="FFFF0000"/>
        <rFont val="Calibri"/>
        <family val="2"/>
        <scheme val="minor"/>
      </rPr>
      <t xml:space="preserve"> 3B</t>
    </r>
  </si>
  <si>
    <t>KW, 3B, AS</t>
  </si>
  <si>
    <t>BLUE RIDGE</t>
  </si>
  <si>
    <r>
      <t xml:space="preserve">NR, VA, </t>
    </r>
    <r>
      <rPr>
        <b/>
        <sz val="18"/>
        <rFont val="Calibri"/>
        <family val="2"/>
        <scheme val="minor"/>
      </rPr>
      <t>PO</t>
    </r>
  </si>
  <si>
    <r>
      <t xml:space="preserve">ET, DV, NR, LY </t>
    </r>
    <r>
      <rPr>
        <b/>
        <sz val="18"/>
        <color rgb="FFFF0000"/>
        <rFont val="Calibri"/>
        <family val="2"/>
        <scheme val="minor"/>
      </rPr>
      <t>(-CR)</t>
    </r>
  </si>
  <si>
    <r>
      <t xml:space="preserve">RT, HG, VA </t>
    </r>
    <r>
      <rPr>
        <b/>
        <sz val="18"/>
        <color rgb="FFFF0000"/>
        <rFont val="Calibri"/>
        <family val="2"/>
        <scheme val="minor"/>
      </rPr>
      <t>KN</t>
    </r>
  </si>
  <si>
    <r>
      <t>AS, ET, VA,</t>
    </r>
    <r>
      <rPr>
        <b/>
        <sz val="18"/>
        <color rgb="FFFF0000"/>
        <rFont val="Calibri"/>
        <family val="2"/>
        <scheme val="minor"/>
      </rPr>
      <t xml:space="preserve"> KW</t>
    </r>
  </si>
  <si>
    <t xml:space="preserve">PO, NR, NO, RT </t>
  </si>
  <si>
    <r>
      <t>ET, AS, DV,</t>
    </r>
    <r>
      <rPr>
        <b/>
        <sz val="18"/>
        <color rgb="FFFF0000"/>
        <rFont val="Calibri"/>
        <family val="2"/>
        <scheme val="minor"/>
      </rPr>
      <t xml:space="preserve">  KW , KN </t>
    </r>
  </si>
  <si>
    <r>
      <t xml:space="preserve">KN, VA , </t>
    </r>
    <r>
      <rPr>
        <b/>
        <sz val="18"/>
        <color rgb="FFFF0000"/>
        <rFont val="Calibri"/>
        <family val="2"/>
        <scheme val="minor"/>
      </rPr>
      <t>PO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>SA</t>
    </r>
  </si>
  <si>
    <t>RELIEF ACD's</t>
  </si>
  <si>
    <t>KEYSTONE TRAINEES</t>
  </si>
  <si>
    <t>GREATLAKES TRAINIEES</t>
  </si>
  <si>
    <t>KEYSTONE - TRAINEE</t>
  </si>
  <si>
    <t>GREATLAKES - TRAINEE</t>
  </si>
  <si>
    <t>MIDWEST - TRAINEE</t>
  </si>
  <si>
    <t>COASTAL - TRAINEE</t>
  </si>
  <si>
    <t>GULF - TRAINEE</t>
  </si>
  <si>
    <t>BLUE RIDGE - TRAINEE</t>
  </si>
  <si>
    <t>MIDWEST TRAINEES</t>
  </si>
  <si>
    <t>COASTAL TRAINEES</t>
  </si>
  <si>
    <t>GULF TRAINEES</t>
  </si>
  <si>
    <t>BLUE RIDGE TRAINEES</t>
  </si>
  <si>
    <t>NORTHERN REGION NETWORK OPERATIONS CENTER DISPATCHER SCHEDULE</t>
  </si>
  <si>
    <t>DESK</t>
  </si>
  <si>
    <t>1ST SHIFT</t>
  </si>
  <si>
    <t>HT-1</t>
  </si>
  <si>
    <t>HT - HARRISBURG TERMINAL</t>
  </si>
  <si>
    <t xml:space="preserve"> </t>
  </si>
  <si>
    <t>HE-1</t>
  </si>
  <si>
    <t>HE - HARRISBURG EAST</t>
  </si>
  <si>
    <t>RL-1</t>
  </si>
  <si>
    <t>RL - RIVERLINE</t>
  </si>
  <si>
    <t>DH-1</t>
  </si>
  <si>
    <t>DH - D &amp; H</t>
  </si>
  <si>
    <t>AL-1</t>
  </si>
  <si>
    <t>AL - ALLEGHENY</t>
  </si>
  <si>
    <t>CT-1</t>
  </si>
  <si>
    <t>CT - CONWAY TERMINAL</t>
  </si>
  <si>
    <t>PE-1</t>
  </si>
  <si>
    <t>PE - PITTSBURGH EAST</t>
  </si>
  <si>
    <t>MV-1</t>
  </si>
  <si>
    <t>MV - MON VALLEY</t>
  </si>
  <si>
    <t>CE-1</t>
  </si>
  <si>
    <t>CE - CLEVELAND EAST</t>
  </si>
  <si>
    <t>CD-1</t>
  </si>
  <si>
    <t>CD - CHICAGO TERMINAL</t>
  </si>
  <si>
    <t>EL-1</t>
  </si>
  <si>
    <t>EL - ELKHART</t>
  </si>
  <si>
    <t>TT-1</t>
  </si>
  <si>
    <t>TT - TOLEDO TERMINAL</t>
  </si>
  <si>
    <t>DT-1</t>
  </si>
  <si>
    <t>DT - DETROIT</t>
  </si>
  <si>
    <t>CG-1</t>
  </si>
  <si>
    <t>CG - CHICAGO &amp; MB</t>
  </si>
  <si>
    <t>DE-1</t>
  </si>
  <si>
    <t>DE - FT. WAYNE TERMINAL</t>
  </si>
  <si>
    <t>MT-1</t>
  </si>
  <si>
    <t>MT - MOORMAN TERMINAL</t>
  </si>
  <si>
    <t>SA-1</t>
  </si>
  <si>
    <t>SA - SANDUSKY</t>
  </si>
  <si>
    <t>KC-1</t>
  </si>
  <si>
    <t>KC - KANSAS CITY</t>
  </si>
  <si>
    <t>SP-1</t>
  </si>
  <si>
    <t>SP - SPRINGFIELD</t>
  </si>
  <si>
    <t>LF-1</t>
  </si>
  <si>
    <t>LF - LAFAYETTE</t>
  </si>
  <si>
    <t>SW-1</t>
  </si>
  <si>
    <t>SW - SOUTHERN WEST</t>
  </si>
  <si>
    <t>SO-1</t>
  </si>
  <si>
    <t>SO - SOUTHERN EAST</t>
  </si>
  <si>
    <t>KY-1</t>
  </si>
  <si>
    <t>KY - KENTUCKY</t>
  </si>
  <si>
    <t>QC-1</t>
  </si>
  <si>
    <t>QC - QUEEN CITY</t>
  </si>
  <si>
    <t>2ND SHIFT</t>
  </si>
  <si>
    <t>HT-2</t>
  </si>
  <si>
    <t>HE-2</t>
  </si>
  <si>
    <t>RL-2</t>
  </si>
  <si>
    <t>DH-2</t>
  </si>
  <si>
    <t>AL-2</t>
  </si>
  <si>
    <t>CT-2</t>
  </si>
  <si>
    <t>PE-2</t>
  </si>
  <si>
    <t>MV-2</t>
  </si>
  <si>
    <t>CE-2</t>
  </si>
  <si>
    <t>CD-2</t>
  </si>
  <si>
    <t>EL-2</t>
  </si>
  <si>
    <t>TT-2</t>
  </si>
  <si>
    <t>DT-2</t>
  </si>
  <si>
    <t>CG-2</t>
  </si>
  <si>
    <t>DE-2</t>
  </si>
  <si>
    <t>MT-2</t>
  </si>
  <si>
    <t>SA-2</t>
  </si>
  <si>
    <t>KC-2</t>
  </si>
  <si>
    <t>SP-2</t>
  </si>
  <si>
    <t>LF-2</t>
  </si>
  <si>
    <t>SW-2</t>
  </si>
  <si>
    <t>SO-2</t>
  </si>
  <si>
    <t>KY-2</t>
  </si>
  <si>
    <t>QC-2</t>
  </si>
  <si>
    <t>3RD SHIFT</t>
  </si>
  <si>
    <t>HT-3</t>
  </si>
  <si>
    <t>HE-3</t>
  </si>
  <si>
    <t>RL-3</t>
  </si>
  <si>
    <t>DH-3</t>
  </si>
  <si>
    <t>AL-3</t>
  </si>
  <si>
    <t>CT-3</t>
  </si>
  <si>
    <t>PE-3</t>
  </si>
  <si>
    <t>MV-3</t>
  </si>
  <si>
    <t>CE-3</t>
  </si>
  <si>
    <t>CD-3</t>
  </si>
  <si>
    <t>EL-3</t>
  </si>
  <si>
    <t>TT-3</t>
  </si>
  <si>
    <t>DT-3</t>
  </si>
  <si>
    <t>CG-3</t>
  </si>
  <si>
    <t>DE-3</t>
  </si>
  <si>
    <t>MT-3</t>
  </si>
  <si>
    <t>SA-3</t>
  </si>
  <si>
    <t>KC-3</t>
  </si>
  <si>
    <t>SP-3</t>
  </si>
  <si>
    <t>LF-3</t>
  </si>
  <si>
    <t>SW-3</t>
  </si>
  <si>
    <t>SO-3</t>
  </si>
  <si>
    <t>KY-3</t>
  </si>
  <si>
    <t>QC-3</t>
  </si>
  <si>
    <t>ACD SCHEDULE</t>
  </si>
  <si>
    <t>NORTHERN REGION NETWORK OPERATIONS CENTER ASSISANT CHIEF DISPATCHER SCHEDULE</t>
  </si>
  <si>
    <t>ACD1-HB</t>
  </si>
  <si>
    <t>KEYSTONE EAST (HB) DAY</t>
  </si>
  <si>
    <t>ACD2-HB</t>
  </si>
  <si>
    <t>KEYSTONE EAST (HB) NIGHT</t>
  </si>
  <si>
    <t>ACD1-PB</t>
  </si>
  <si>
    <t>KEYSTONE WEST (PB) DAY</t>
  </si>
  <si>
    <t>ACD2-PB</t>
  </si>
  <si>
    <t>KEYSTONE WEST (PB) NIGHT</t>
  </si>
  <si>
    <t>ACD1-DB</t>
  </si>
  <si>
    <t>GREATLAKES EAST (DB) DAY</t>
  </si>
  <si>
    <t>ACD2-DB</t>
  </si>
  <si>
    <t>GREATLAKES EAST (DB) NIGHT</t>
  </si>
  <si>
    <t>ACD1-LK</t>
  </si>
  <si>
    <t>GREATLAKES WEST (LK) DAY</t>
  </si>
  <si>
    <t>ACD2-LK</t>
  </si>
  <si>
    <t>GREATLAKES WEST (LK) NIGHT</t>
  </si>
  <si>
    <t>ACD1-MW</t>
  </si>
  <si>
    <t>MIDWEST DAY</t>
  </si>
  <si>
    <t>ACD2-MW</t>
  </si>
  <si>
    <t>MIDWEST NIGHT</t>
  </si>
  <si>
    <t>UPCOMING VACATIONS/VACANCIES/CURRENT HOLD DOWNS/ VACANT ASSIGNMENTS</t>
  </si>
  <si>
    <t>TEMPORARY VACANCIES</t>
  </si>
  <si>
    <t>ASSIGNMENT</t>
  </si>
  <si>
    <t>VACANCY REASON</t>
  </si>
  <si>
    <t>START DATE</t>
  </si>
  <si>
    <t>END DATE</t>
  </si>
  <si>
    <t>CLAIMABLE DATE</t>
  </si>
  <si>
    <t>CLAIMED BY</t>
  </si>
  <si>
    <t>OWNED BY</t>
  </si>
  <si>
    <t>CURRENT VACANT ASSIGNMENTS</t>
  </si>
  <si>
    <t>DISPATCHER NAME</t>
  </si>
  <si>
    <t>DIVISON</t>
  </si>
  <si>
    <t>OWNED ASSIGNMENT</t>
  </si>
  <si>
    <t>TEMP ASSIGNMENT</t>
  </si>
  <si>
    <t>northern</t>
  </si>
  <si>
    <t>NORTHERN ACD</t>
  </si>
  <si>
    <t>RELIEF ACD</t>
  </si>
  <si>
    <t>NORTHERN GAD</t>
  </si>
  <si>
    <t>NORTHERN REGION NETWORK OPERATIONS CENTER DISPATCHERS</t>
  </si>
  <si>
    <t>NORTHERN TRAINEE</t>
  </si>
  <si>
    <t>Vacation</t>
  </si>
  <si>
    <t>OOS</t>
  </si>
  <si>
    <t>hold down</t>
  </si>
  <si>
    <t>overtime</t>
  </si>
  <si>
    <t>Sick</t>
  </si>
  <si>
    <t>OTP</t>
  </si>
  <si>
    <t>diverted</t>
  </si>
  <si>
    <t>FMLA</t>
  </si>
  <si>
    <t>medical</t>
  </si>
  <si>
    <t>military</t>
  </si>
  <si>
    <t>Hold Down</t>
  </si>
  <si>
    <t>DIVERTED</t>
  </si>
  <si>
    <t>OVERTIME</t>
  </si>
  <si>
    <t>NETWORK OPERATIONS CENTER DISPATCHERS CURRENTLY DISPLACED</t>
  </si>
  <si>
    <t>NORTHERN ASSISTANT CHIEF DISPATCHERS</t>
  </si>
  <si>
    <t>NETWORK OPERTIONS CENTER RELIEF ASSISTANT CHIEF DISPATCHERS</t>
  </si>
  <si>
    <t xml:space="preserve">NORTHERN REGION NETWORK OPERATIONS CENTER GUARANTEED ASSIGNED DISPATCHERS </t>
  </si>
  <si>
    <t>NORTHERN REGION NETWORK OPERATIONS CENTER UNQUALIFIED DISPATCHER TRAINEES</t>
  </si>
  <si>
    <t>ADAMS, ARDRA</t>
  </si>
  <si>
    <t>0162534</t>
  </si>
  <si>
    <t>SV-2</t>
  </si>
  <si>
    <t>OFF</t>
  </si>
  <si>
    <t>DIVERTED -ST</t>
  </si>
  <si>
    <t>ME-2</t>
  </si>
  <si>
    <t>SOUTHERN</t>
  </si>
  <si>
    <t>ALICIE, BRANDON</t>
  </si>
  <si>
    <t>0100010</t>
  </si>
  <si>
    <t>EXTRA BOARD-GU-A</t>
  </si>
  <si>
    <t>V-SD</t>
  </si>
  <si>
    <t>RT-1</t>
  </si>
  <si>
    <t>EE-1</t>
  </si>
  <si>
    <t>AVAILABLE</t>
  </si>
  <si>
    <t>SOUTHERN GAD</t>
  </si>
  <si>
    <t>ALLEN, RYAN</t>
  </si>
  <si>
    <t>1026388</t>
  </si>
  <si>
    <t>EXTRA BOARD-KS-C</t>
  </si>
  <si>
    <t>S-SD</t>
  </si>
  <si>
    <t>CHECK NOTE</t>
  </si>
  <si>
    <t>ARGYRAKIS, URIAH</t>
  </si>
  <si>
    <t>1025505</t>
  </si>
  <si>
    <t>PO-R</t>
  </si>
  <si>
    <t>PO-1</t>
  </si>
  <si>
    <t>PO-2</t>
  </si>
  <si>
    <t>ARTHER, BART</t>
  </si>
  <si>
    <t>1018633</t>
  </si>
  <si>
    <t>EE-2</t>
  </si>
  <si>
    <t>BAILEY, LORRIE</t>
  </si>
  <si>
    <t>0746249</t>
  </si>
  <si>
    <t>BAILEY, STEVEN</t>
  </si>
  <si>
    <t>1019125</t>
  </si>
  <si>
    <t>NORTHERN</t>
  </si>
  <si>
    <t>BAKER, BRAD</t>
  </si>
  <si>
    <t>0121619</t>
  </si>
  <si>
    <t>KEYSTONE - ACD</t>
  </si>
  <si>
    <t>PB ACD-2-GOLD</t>
  </si>
  <si>
    <t>PL-D</t>
  </si>
  <si>
    <t>BALES, BRIAN</t>
  </si>
  <si>
    <t>0186992</t>
  </si>
  <si>
    <t>GREATLAKES - ACD</t>
  </si>
  <si>
    <t>DB ACD-1-BLUE</t>
  </si>
  <si>
    <t>BARTER, ELIZABETH</t>
  </si>
  <si>
    <t>1007568</t>
  </si>
  <si>
    <t>KW-2</t>
  </si>
  <si>
    <t>BAUMAN, BRENT</t>
  </si>
  <si>
    <t>1003540</t>
  </si>
  <si>
    <t>BELCHER, MATT</t>
  </si>
  <si>
    <t>0379554</t>
  </si>
  <si>
    <t>COASTAL - ACD</t>
  </si>
  <si>
    <t>CO ACD-1-GOLD</t>
  </si>
  <si>
    <t>ACD1-CO</t>
  </si>
  <si>
    <t>SOUTHERN ACD</t>
  </si>
  <si>
    <t>BILLINGS, CYNTHIA</t>
  </si>
  <si>
    <t>1003772</t>
  </si>
  <si>
    <t>HG-3</t>
  </si>
  <si>
    <t>BLAIR, CHRISTINE</t>
  </si>
  <si>
    <t>1004824</t>
  </si>
  <si>
    <t>ET-2</t>
  </si>
  <si>
    <t>BLAIR, ROBERT</t>
  </si>
  <si>
    <t>0876596</t>
  </si>
  <si>
    <t>V-WK</t>
  </si>
  <si>
    <t>BOLEN, MEGAN</t>
  </si>
  <si>
    <t>1019898</t>
  </si>
  <si>
    <t>BONNER, DEVIAN</t>
  </si>
  <si>
    <t>1030404</t>
  </si>
  <si>
    <t>EXTRA BOARD-GL-C</t>
  </si>
  <si>
    <t>BOUCHARD, SHARLIE</t>
  </si>
  <si>
    <t>1028936</t>
  </si>
  <si>
    <t>CG-R</t>
  </si>
  <si>
    <t>HOLD DOWN</t>
  </si>
  <si>
    <t>BOVIALL, STEVE</t>
  </si>
  <si>
    <t>0768447</t>
  </si>
  <si>
    <t>BOX, MANDY</t>
  </si>
  <si>
    <t>1014066</t>
  </si>
  <si>
    <t/>
  </si>
  <si>
    <t>DH-3-POST</t>
  </si>
  <si>
    <t>BOYD, MIA</t>
  </si>
  <si>
    <t>0361480</t>
  </si>
  <si>
    <t>RL-R</t>
  </si>
  <si>
    <t>BRAWNER, PEYTON</t>
  </si>
  <si>
    <t>1026399</t>
  </si>
  <si>
    <t>CN-R</t>
  </si>
  <si>
    <t>CN-1</t>
  </si>
  <si>
    <t>CN-2</t>
  </si>
  <si>
    <t>CN-3</t>
  </si>
  <si>
    <t>BREITKREUZ, DUSTIN</t>
  </si>
  <si>
    <t>1023892</t>
  </si>
  <si>
    <t>EXTRA BOARD-MW-C</t>
  </si>
  <si>
    <t>BRENNEKE, TAMI</t>
  </si>
  <si>
    <t>0133792</t>
  </si>
  <si>
    <t>BRIMAH, ABDUL</t>
  </si>
  <si>
    <t>1016914</t>
  </si>
  <si>
    <t>MT-R</t>
  </si>
  <si>
    <t>BROSKIN, CHRIS</t>
  </si>
  <si>
    <t>0180517</t>
  </si>
  <si>
    <t>BRUNS, DANTRE</t>
  </si>
  <si>
    <t>1015727</t>
  </si>
  <si>
    <t>NE-R</t>
  </si>
  <si>
    <t>NE-1</t>
  </si>
  <si>
    <t>NE-2</t>
  </si>
  <si>
    <t>NE-3</t>
  </si>
  <si>
    <t>BULLINGTON, BILLY</t>
  </si>
  <si>
    <t>1003910</t>
  </si>
  <si>
    <t>MIDWEST ATW</t>
  </si>
  <si>
    <t>MW ATW</t>
  </si>
  <si>
    <t>BULLO, GABRIELLE</t>
  </si>
  <si>
    <t>1003548</t>
  </si>
  <si>
    <t>BUSH, MONICA</t>
  </si>
  <si>
    <t>0088383</t>
  </si>
  <si>
    <t>KW-3</t>
  </si>
  <si>
    <t>CALHOUN, ARRICA</t>
  </si>
  <si>
    <t>0192123</t>
  </si>
  <si>
    <t>GULF - ACD</t>
  </si>
  <si>
    <t>GU ACD-2-GOLD</t>
  </si>
  <si>
    <t>CAMARDA, CHRIS</t>
  </si>
  <si>
    <t>0121255</t>
  </si>
  <si>
    <t>CAREY, JON</t>
  </si>
  <si>
    <t>1016564</t>
  </si>
  <si>
    <t>SO-R</t>
  </si>
  <si>
    <t>CARLSON, MATT</t>
  </si>
  <si>
    <t>0341348</t>
  </si>
  <si>
    <t>BLUE RIDGE - ACD</t>
  </si>
  <si>
    <t>BR ACD-1-GOLD</t>
  </si>
  <si>
    <t>ACD1-BR</t>
  </si>
  <si>
    <t>CARR, JEREMY</t>
  </si>
  <si>
    <t>0139924</t>
  </si>
  <si>
    <t>S-APPT</t>
  </si>
  <si>
    <t>CARTER, TREY</t>
  </si>
  <si>
    <t>1031694</t>
  </si>
  <si>
    <t>EXTRA BOARD-BR-C</t>
  </si>
  <si>
    <t>NR-1</t>
  </si>
  <si>
    <t>DV-1</t>
  </si>
  <si>
    <t>DV-3</t>
  </si>
  <si>
    <t>CHEDDICK-GEORGE, RASHIDA</t>
  </si>
  <si>
    <t>1028870</t>
  </si>
  <si>
    <t>GU TRAINEE</t>
  </si>
  <si>
    <t>EE-3-POST</t>
  </si>
  <si>
    <t>SOUTHERN TRAINEE</t>
  </si>
  <si>
    <t>CHERRY, ERICA</t>
  </si>
  <si>
    <t>1015931</t>
  </si>
  <si>
    <t>SW-R</t>
  </si>
  <si>
    <t>CLAFFY, DEIDRE</t>
  </si>
  <si>
    <t>1025497</t>
  </si>
  <si>
    <t>HT-R</t>
  </si>
  <si>
    <t>CLEVENGER, R LANCE</t>
  </si>
  <si>
    <t>0321650</t>
  </si>
  <si>
    <t>CLUBBS, DARIN</t>
  </si>
  <si>
    <t>0133897</t>
  </si>
  <si>
    <t>COBB, MATT</t>
  </si>
  <si>
    <t>1030360</t>
  </si>
  <si>
    <t>EXTRA BOARD-GU-C</t>
  </si>
  <si>
    <t>BT-1</t>
  </si>
  <si>
    <t>COLEMAN, JOEL</t>
  </si>
  <si>
    <t>0394807</t>
  </si>
  <si>
    <t>KC-R</t>
  </si>
  <si>
    <t>COOPER, JAMES</t>
  </si>
  <si>
    <t>1015258</t>
  </si>
  <si>
    <t>HG-2</t>
  </si>
  <si>
    <t>COX, ANDY</t>
  </si>
  <si>
    <t>0935291</t>
  </si>
  <si>
    <t>COX, DERICK</t>
  </si>
  <si>
    <t>0003298</t>
  </si>
  <si>
    <t>GS-1</t>
  </si>
  <si>
    <t>CB</t>
  </si>
  <si>
    <t>CREWS, THORNE</t>
  </si>
  <si>
    <t>1031180</t>
  </si>
  <si>
    <t>RT-3</t>
  </si>
  <si>
    <t>PO-3</t>
  </si>
  <si>
    <t>CROUTHARMEL, JASON</t>
  </si>
  <si>
    <t>0150487</t>
  </si>
  <si>
    <t>CURRY, CASEY</t>
  </si>
  <si>
    <t>1030402</t>
  </si>
  <si>
    <t>EXTRA BOARD-CO-A</t>
  </si>
  <si>
    <t>AS-3</t>
  </si>
  <si>
    <t>DAVIS, JIM</t>
  </si>
  <si>
    <t>0786723</t>
  </si>
  <si>
    <t>DAVIS, MARK</t>
  </si>
  <si>
    <t>0394821</t>
  </si>
  <si>
    <t>KN-2</t>
  </si>
  <si>
    <t>DAVIS, MATT</t>
  </si>
  <si>
    <t>0146546</t>
  </si>
  <si>
    <t>DAY, DARRELL</t>
  </si>
  <si>
    <t>0356174</t>
  </si>
  <si>
    <t>DEJESUS, DAVE</t>
  </si>
  <si>
    <t>0768879</t>
  </si>
  <si>
    <t>DENNIS, JOHN</t>
  </si>
  <si>
    <t>1027200</t>
  </si>
  <si>
    <t>IN-2</t>
  </si>
  <si>
    <t>DICK, KAYLA</t>
  </si>
  <si>
    <t>1019609</t>
  </si>
  <si>
    <t>DICKERSON, BRANDON</t>
  </si>
  <si>
    <t>1023677</t>
  </si>
  <si>
    <t>CO ACD-2-BLUE</t>
  </si>
  <si>
    <t>ACD2-CO</t>
  </si>
  <si>
    <t>DICKERSON, RUSSELL</t>
  </si>
  <si>
    <t>0671657</t>
  </si>
  <si>
    <t>DILL, GERALD</t>
  </si>
  <si>
    <t>0080228</t>
  </si>
  <si>
    <t>HG-1</t>
  </si>
  <si>
    <t>DILLARD, ROBERT</t>
  </si>
  <si>
    <t>1021261</t>
  </si>
  <si>
    <t>CO TRAINEE</t>
  </si>
  <si>
    <t>SV-3-POST</t>
  </si>
  <si>
    <t>DIPRIMA, JASON</t>
  </si>
  <si>
    <t>1027201</t>
  </si>
  <si>
    <t>EXTRA BOARD-MW-A</t>
  </si>
  <si>
    <t>SW-3-POST</t>
  </si>
  <si>
    <t>DOBBS, JEREMY</t>
  </si>
  <si>
    <t>1028867</t>
  </si>
  <si>
    <t>EXTRA BOARD-CO-C</t>
  </si>
  <si>
    <t>CH-1</t>
  </si>
  <si>
    <t>SE-2</t>
  </si>
  <si>
    <t>CH-3</t>
  </si>
  <si>
    <t>DONALDSON, CODY</t>
  </si>
  <si>
    <t>1018784</t>
  </si>
  <si>
    <t>DONNOLO, JOE</t>
  </si>
  <si>
    <t>1030395</t>
  </si>
  <si>
    <t>IN-3</t>
  </si>
  <si>
    <t>DORTCH, NANCY</t>
  </si>
  <si>
    <t>0380639</t>
  </si>
  <si>
    <t>DOUGHERTY, MIKE</t>
  </si>
  <si>
    <t>1015725</t>
  </si>
  <si>
    <t>DT-R</t>
  </si>
  <si>
    <t>DUNCAN, CRAIG</t>
  </si>
  <si>
    <t>0374752</t>
  </si>
  <si>
    <t>RELIEF ACD'S</t>
  </si>
  <si>
    <t>R-ACD-GOLD</t>
  </si>
  <si>
    <t>DYE, JAMES</t>
  </si>
  <si>
    <t>0766272</t>
  </si>
  <si>
    <t>EASTHAM, DARBY</t>
  </si>
  <si>
    <t>0967652</t>
  </si>
  <si>
    <t>ME-1</t>
  </si>
  <si>
    <t>EASTWOOD, JASON</t>
  </si>
  <si>
    <t>0912107</t>
  </si>
  <si>
    <t>MIDWEST - ACD</t>
  </si>
  <si>
    <t>MW ACD-1-GOLD</t>
  </si>
  <si>
    <t>ELLIOTT, SHELDON</t>
  </si>
  <si>
    <t>0636846</t>
  </si>
  <si>
    <t>FAIRCLOTH, HANNAH</t>
  </si>
  <si>
    <t>1008648</t>
  </si>
  <si>
    <t>FALLINGS-AMIS, JAMISON</t>
  </si>
  <si>
    <t>1028876</t>
  </si>
  <si>
    <t>FEIGL, SARAH</t>
  </si>
  <si>
    <t>1019601</t>
  </si>
  <si>
    <t>BR ACD-1-BLUE</t>
  </si>
  <si>
    <t>ACD2-BR</t>
  </si>
  <si>
    <t>FERGUSON, CRAIG</t>
  </si>
  <si>
    <t>1015265</t>
  </si>
  <si>
    <t>CH-R</t>
  </si>
  <si>
    <t>CH-2</t>
  </si>
  <si>
    <t>FERRELL, EVAN</t>
  </si>
  <si>
    <t>1027358</t>
  </si>
  <si>
    <t>FIELDS, DETRON</t>
  </si>
  <si>
    <t>1026393</t>
  </si>
  <si>
    <t>FITZGERALD, JIM</t>
  </si>
  <si>
    <t>1015462</t>
  </si>
  <si>
    <t>AS-2</t>
  </si>
  <si>
    <t>FLEITES, FRANK</t>
  </si>
  <si>
    <t>1030369</t>
  </si>
  <si>
    <t>EXTRA BOARD-KS-A</t>
  </si>
  <si>
    <t>CE-R</t>
  </si>
  <si>
    <t>FOGLE, MARLO</t>
  </si>
  <si>
    <t>0186607</t>
  </si>
  <si>
    <t>SV-1</t>
  </si>
  <si>
    <t>FORREST, AMANDA</t>
  </si>
  <si>
    <t>1031116</t>
  </si>
  <si>
    <t>EXTRA BOARD-BR-B</t>
  </si>
  <si>
    <t>KN-3</t>
  </si>
  <si>
    <t>NR-3</t>
  </si>
  <si>
    <t>KN-1</t>
  </si>
  <si>
    <t>FOWLER, LAKECIA</t>
  </si>
  <si>
    <t>0396627</t>
  </si>
  <si>
    <t>IN-R</t>
  </si>
  <si>
    <t>BEREAVEMENT UNPAID</t>
  </si>
  <si>
    <t>FOX, JEFFERY</t>
  </si>
  <si>
    <t>0013826</t>
  </si>
  <si>
    <t>GU ACD-1-BLUE</t>
  </si>
  <si>
    <t>ACD1-GU</t>
  </si>
  <si>
    <t>FRAZIER, PATRICK</t>
  </si>
  <si>
    <t>0178816</t>
  </si>
  <si>
    <t>AS-1</t>
  </si>
  <si>
    <t>FRAZIER, RICKEY</t>
  </si>
  <si>
    <t>1018780</t>
  </si>
  <si>
    <t>GULF ATW</t>
  </si>
  <si>
    <t>GU ATW</t>
  </si>
  <si>
    <t>3B-3</t>
  </si>
  <si>
    <t>BT-3</t>
  </si>
  <si>
    <t>NO-3</t>
  </si>
  <si>
    <t>EE-3</t>
  </si>
  <si>
    <t>FRAZIER, WILLIE</t>
  </si>
  <si>
    <t>1032756</t>
  </si>
  <si>
    <t>EXTRA BOARD-GU-B</t>
  </si>
  <si>
    <t>CN-2-POST</t>
  </si>
  <si>
    <t>FREEMAN, ANGELIQUE</t>
  </si>
  <si>
    <t>1024514</t>
  </si>
  <si>
    <t>ME-R</t>
  </si>
  <si>
    <t>ME-3</t>
  </si>
  <si>
    <t>FUNK, TODD</t>
  </si>
  <si>
    <t>0928053</t>
  </si>
  <si>
    <t>GADDIS, CRAIG</t>
  </si>
  <si>
    <t>0191906</t>
  </si>
  <si>
    <t>CO ACD-2-GOLD</t>
  </si>
  <si>
    <t>GARRETT, DARREN</t>
  </si>
  <si>
    <t>1031679</t>
  </si>
  <si>
    <t>GEE, ASHLEY</t>
  </si>
  <si>
    <t>1029340</t>
  </si>
  <si>
    <t>CT-1-POST</t>
  </si>
  <si>
    <t>GERARD, MAGGIE</t>
  </si>
  <si>
    <t>1025521</t>
  </si>
  <si>
    <t>MW ACD-2-BLUE</t>
  </si>
  <si>
    <t>GILLESPIE, JEREMY</t>
  </si>
  <si>
    <t>0162324</t>
  </si>
  <si>
    <t>GILREATH, AUSTIN</t>
  </si>
  <si>
    <t>1034341</t>
  </si>
  <si>
    <t>KY TRAINEE</t>
  </si>
  <si>
    <t>PE-3-POST</t>
  </si>
  <si>
    <t>GLACE, JOSH</t>
  </si>
  <si>
    <t>0339164</t>
  </si>
  <si>
    <t>GODFREY, DENNIS</t>
  </si>
  <si>
    <t>0137516</t>
  </si>
  <si>
    <t>AS-R</t>
  </si>
  <si>
    <t>GOEBEL, IAN</t>
  </si>
  <si>
    <t>0768132</t>
  </si>
  <si>
    <t>GONZALEZ, OAKLEY</t>
  </si>
  <si>
    <t>1028269</t>
  </si>
  <si>
    <t>GOODREAU, TERRY</t>
  </si>
  <si>
    <t>0117265</t>
  </si>
  <si>
    <t>HB ACD-1-GOLD</t>
  </si>
  <si>
    <t>NCL</t>
  </si>
  <si>
    <t>GORNICK, MITCHELL</t>
  </si>
  <si>
    <t>1012785</t>
  </si>
  <si>
    <t>GS-2</t>
  </si>
  <si>
    <t>RT</t>
  </si>
  <si>
    <t>GOSS, PHOENIX</t>
  </si>
  <si>
    <t>1031097</t>
  </si>
  <si>
    <t>EXTRA BOARD-CO-B</t>
  </si>
  <si>
    <t>SE-3-POST</t>
  </si>
  <si>
    <t>GRAHAM, KEITH</t>
  </si>
  <si>
    <t>0378938</t>
  </si>
  <si>
    <t>KEYSTONE ATW</t>
  </si>
  <si>
    <t>KS2 ATW</t>
  </si>
  <si>
    <t>ET-3</t>
  </si>
  <si>
    <t>OPEN</t>
  </si>
  <si>
    <t>GREEN, SUSAN</t>
  </si>
  <si>
    <t>0654514</t>
  </si>
  <si>
    <t>GREY, JON</t>
  </si>
  <si>
    <t>1005746</t>
  </si>
  <si>
    <t>PB ACD-2-BLUE</t>
  </si>
  <si>
    <t>GRUBBS, TUJUANA</t>
  </si>
  <si>
    <t>1028259</t>
  </si>
  <si>
    <t>GUILFORD, REYNARD</t>
  </si>
  <si>
    <t>1018635</t>
  </si>
  <si>
    <t>3B-2</t>
  </si>
  <si>
    <t>HAMILTON, MELVINA</t>
  </si>
  <si>
    <t>0127212</t>
  </si>
  <si>
    <t>BLUE RIDGE ATW</t>
  </si>
  <si>
    <t>BR2 ATW</t>
  </si>
  <si>
    <t>HARBIN, BRYANT</t>
  </si>
  <si>
    <t>1008092</t>
  </si>
  <si>
    <t>SA-1-POST</t>
  </si>
  <si>
    <t>RL-3-POST</t>
  </si>
  <si>
    <t>POST</t>
  </si>
  <si>
    <t>HARDY, JASMINE</t>
  </si>
  <si>
    <t>1018785</t>
  </si>
  <si>
    <t>HARP, KEENAN</t>
  </si>
  <si>
    <t>1009031</t>
  </si>
  <si>
    <t>MV-R</t>
  </si>
  <si>
    <t>HARRIS, MARCUS</t>
  </si>
  <si>
    <t>1015264</t>
  </si>
  <si>
    <t>KS1 ATW</t>
  </si>
  <si>
    <t>HATTON, ROBERT</t>
  </si>
  <si>
    <t>0882252</t>
  </si>
  <si>
    <t>HAWKINS, STEPHANIE</t>
  </si>
  <si>
    <t>1018441</t>
  </si>
  <si>
    <t>GU ACD-2-BLUE</t>
  </si>
  <si>
    <t>ACD2-GU</t>
  </si>
  <si>
    <t>HENDRICKS, WILLIAM</t>
  </si>
  <si>
    <t>0110090</t>
  </si>
  <si>
    <t>SE-1</t>
  </si>
  <si>
    <t>HERRING, DARYL</t>
  </si>
  <si>
    <t>1031099</t>
  </si>
  <si>
    <t>KY-R</t>
  </si>
  <si>
    <t>HESSELTINE, BRAEDEN</t>
  </si>
  <si>
    <t>1024137</t>
  </si>
  <si>
    <t>HICKEY, LINDA</t>
  </si>
  <si>
    <t>0317709</t>
  </si>
  <si>
    <t>HICKS, TREVOR</t>
  </si>
  <si>
    <t>1027982</t>
  </si>
  <si>
    <t>CN-1-POST</t>
  </si>
  <si>
    <t>HOBBS, DESIREE</t>
  </si>
  <si>
    <t>1025498</t>
  </si>
  <si>
    <t>GS-R</t>
  </si>
  <si>
    <t>GS-3</t>
  </si>
  <si>
    <t>HOOD, JORDAN</t>
  </si>
  <si>
    <t>1019887</t>
  </si>
  <si>
    <t>LK ACD-2-GOLD</t>
  </si>
  <si>
    <t>HOUSE, ROYCE</t>
  </si>
  <si>
    <t>0963081</t>
  </si>
  <si>
    <t>LK ACD-2-BLUE</t>
  </si>
  <si>
    <t>HUGHES, DESHON</t>
  </si>
  <si>
    <t>1018936</t>
  </si>
  <si>
    <t>NO-R</t>
  </si>
  <si>
    <t>NO-1</t>
  </si>
  <si>
    <t>NO-2</t>
  </si>
  <si>
    <t>IBN RABAH, BILAL</t>
  </si>
  <si>
    <t>1028855</t>
  </si>
  <si>
    <t>SE-3</t>
  </si>
  <si>
    <t>SV-1-POST</t>
  </si>
  <si>
    <t>SV-2-POST</t>
  </si>
  <si>
    <t>INCARNATO, PATTI</t>
  </si>
  <si>
    <t>0049883</t>
  </si>
  <si>
    <t>LK ACD-1-BLUE</t>
  </si>
  <si>
    <t>INVENINATO, JUSTIN</t>
  </si>
  <si>
    <t>1030408</t>
  </si>
  <si>
    <t>VA-2-POST</t>
  </si>
  <si>
    <t>VA-1-POST</t>
  </si>
  <si>
    <t>ISBELL, STEVE</t>
  </si>
  <si>
    <t>0316596</t>
  </si>
  <si>
    <t>BR1 ATW</t>
  </si>
  <si>
    <t>VA-3</t>
  </si>
  <si>
    <t>IUSCEAC, MARC</t>
  </si>
  <si>
    <t>1029927</t>
  </si>
  <si>
    <t>MW TRAINEE</t>
  </si>
  <si>
    <t>CN-3-POST</t>
  </si>
  <si>
    <t>JAMES, BRAD</t>
  </si>
  <si>
    <t>1034348</t>
  </si>
  <si>
    <t>GL TRAINEE</t>
  </si>
  <si>
    <t>CD-3-POST</t>
  </si>
  <si>
    <t>JAMES, GREGG</t>
  </si>
  <si>
    <t>0140225</t>
  </si>
  <si>
    <t>JAMES, NICHOLAS</t>
  </si>
  <si>
    <t>1024515</t>
  </si>
  <si>
    <t>DE-R</t>
  </si>
  <si>
    <t>JEROME, ELDA</t>
  </si>
  <si>
    <t>1015723</t>
  </si>
  <si>
    <t>ML</t>
  </si>
  <si>
    <t>JOHNSON -SAMMONS, ASHLYN</t>
  </si>
  <si>
    <t>1023669</t>
  </si>
  <si>
    <t>COASTAL ATW</t>
  </si>
  <si>
    <t>CO ATW</t>
  </si>
  <si>
    <t>SV-3</t>
  </si>
  <si>
    <t>JOHNSON, EMILY</t>
  </si>
  <si>
    <t>1014067</t>
  </si>
  <si>
    <t>EXTRA BOARD-GL-B</t>
  </si>
  <si>
    <t>JOHNSON, JAMI</t>
  </si>
  <si>
    <t>1025517</t>
  </si>
  <si>
    <t>JOHNSON, TJ</t>
  </si>
  <si>
    <t>0094172</t>
  </si>
  <si>
    <t>JOHNSTON, STEVE</t>
  </si>
  <si>
    <t>0916153</t>
  </si>
  <si>
    <t>MW ACD-1-BLUE</t>
  </si>
  <si>
    <t>JONES, ANTHONY</t>
  </si>
  <si>
    <t>1019357</t>
  </si>
  <si>
    <t>HE-R</t>
  </si>
  <si>
    <t>KAY-JACKWAK, LORI</t>
  </si>
  <si>
    <t>0379323</t>
  </si>
  <si>
    <t>KENNEDY, JOSEPH</t>
  </si>
  <si>
    <t>1027197</t>
  </si>
  <si>
    <t>KEYS, MATTHEW</t>
  </si>
  <si>
    <t>1025500</t>
  </si>
  <si>
    <t>KIRKPATRICK, DOUG</t>
  </si>
  <si>
    <t>0901117</t>
  </si>
  <si>
    <t>KITCHENS, DARNELL</t>
  </si>
  <si>
    <t>1034343</t>
  </si>
  <si>
    <t>BR TRAINEE</t>
  </si>
  <si>
    <t>S-NP</t>
  </si>
  <si>
    <t>DV-2-POST</t>
  </si>
  <si>
    <t>VA-3-POST</t>
  </si>
  <si>
    <t>KNORRE, ANDREA</t>
  </si>
  <si>
    <t>0187636</t>
  </si>
  <si>
    <t>KOHAN, JON</t>
  </si>
  <si>
    <t>0375410</t>
  </si>
  <si>
    <t>HB ACD-2-BLUE</t>
  </si>
  <si>
    <t>KOSHY, SUJIT</t>
  </si>
  <si>
    <t>0149451</t>
  </si>
  <si>
    <t>KRZYZANOWSKI, KIMMY</t>
  </si>
  <si>
    <t>1019205</t>
  </si>
  <si>
    <t>CT-R</t>
  </si>
  <si>
    <t>HELD OFF PAID</t>
  </si>
  <si>
    <t>KRZYZANOWSKI, RENEE</t>
  </si>
  <si>
    <t>0186999</t>
  </si>
  <si>
    <t>ET-1</t>
  </si>
  <si>
    <t>LEDBETTER, SYLVIA</t>
  </si>
  <si>
    <t>1019057</t>
  </si>
  <si>
    <t>NR-R</t>
  </si>
  <si>
    <t>NR-2</t>
  </si>
  <si>
    <t>LEESON, JARED</t>
  </si>
  <si>
    <t>1012544</t>
  </si>
  <si>
    <t>RT-2</t>
  </si>
  <si>
    <t>LITTLE, CHRISTAL</t>
  </si>
  <si>
    <t>0163388</t>
  </si>
  <si>
    <t>LITTLE, JASON</t>
  </si>
  <si>
    <t>1007623</t>
  </si>
  <si>
    <t>LITTLE, RYAN</t>
  </si>
  <si>
    <t>1003731</t>
  </si>
  <si>
    <t>LITTLES, MARK</t>
  </si>
  <si>
    <t>1015267</t>
  </si>
  <si>
    <t>HG-R</t>
  </si>
  <si>
    <t>LOUIS, BRANDON</t>
  </si>
  <si>
    <t>1015470</t>
  </si>
  <si>
    <t>DV-R</t>
  </si>
  <si>
    <t>DV-2</t>
  </si>
  <si>
    <t>LOUIS, EPIPHANY</t>
  </si>
  <si>
    <t>1015627</t>
  </si>
  <si>
    <t>3B-R</t>
  </si>
  <si>
    <t>3B-1</t>
  </si>
  <si>
    <t>LUMPKIN, MADISON</t>
  </si>
  <si>
    <t>1034345</t>
  </si>
  <si>
    <t>CE-3-POST</t>
  </si>
  <si>
    <t>LUTERAN, COREY</t>
  </si>
  <si>
    <t>0147988</t>
  </si>
  <si>
    <t>MALCOLM, JOSH</t>
  </si>
  <si>
    <t>1016721</t>
  </si>
  <si>
    <t>PE-R</t>
  </si>
  <si>
    <t>MANLEY, JOE</t>
  </si>
  <si>
    <t>0172642</t>
  </si>
  <si>
    <t>KW-R</t>
  </si>
  <si>
    <t>KW-1</t>
  </si>
  <si>
    <t>MAPHENDUKA, DEAN</t>
  </si>
  <si>
    <t>0127226</t>
  </si>
  <si>
    <t>MARLOW, RACHAEL</t>
  </si>
  <si>
    <t>1030401</t>
  </si>
  <si>
    <t>MARZETTE, MEEKA</t>
  </si>
  <si>
    <t>1009881</t>
  </si>
  <si>
    <t>MASTERSON, VICKI</t>
  </si>
  <si>
    <t>0766538</t>
  </si>
  <si>
    <t>DB ACD-1-GOLD</t>
  </si>
  <si>
    <t>MATTHEWS, RASHIM</t>
  </si>
  <si>
    <t>1018487</t>
  </si>
  <si>
    <t>BT-2</t>
  </si>
  <si>
    <t>MCAULEY, LESLIE</t>
  </si>
  <si>
    <t>1016884</t>
  </si>
  <si>
    <t>MCCARREN, CARRIE</t>
  </si>
  <si>
    <t>0378322</t>
  </si>
  <si>
    <t>MCCLIMENT, KAITLIN</t>
  </si>
  <si>
    <t>1023671</t>
  </si>
  <si>
    <t>MCDANIEL, PAMELA</t>
  </si>
  <si>
    <t>0823858</t>
  </si>
  <si>
    <t>MCGHEE, WAYNE</t>
  </si>
  <si>
    <t>1001790</t>
  </si>
  <si>
    <t>SV-R</t>
  </si>
  <si>
    <t>MCGOLDRICK, MATT</t>
  </si>
  <si>
    <t>1031115</t>
  </si>
  <si>
    <t>EXTRA BOARD-GL-A</t>
  </si>
  <si>
    <t>MCGRADY, SHAWN</t>
  </si>
  <si>
    <t>1016079</t>
  </si>
  <si>
    <t>MCINTYRE, SHAE</t>
  </si>
  <si>
    <t>1028383</t>
  </si>
  <si>
    <t>MCKINNEY, REBECCA</t>
  </si>
  <si>
    <t>1019606</t>
  </si>
  <si>
    <t>MCLAMB, JOHNNELL</t>
  </si>
  <si>
    <t>0768877</t>
  </si>
  <si>
    <t>HB ACD-1-BLUE</t>
  </si>
  <si>
    <t>MCQUILLEN, GARRETT</t>
  </si>
  <si>
    <t>0758150</t>
  </si>
  <si>
    <t>PB ACD-1-GOLD</t>
  </si>
  <si>
    <t>MCROY, DANIEL</t>
  </si>
  <si>
    <t>1019608</t>
  </si>
  <si>
    <t>MENDOZA-MORGAN, BROOKLYN</t>
  </si>
  <si>
    <t>1028868</t>
  </si>
  <si>
    <t>RT-1-POST</t>
  </si>
  <si>
    <t>MERCER, LLOYD</t>
  </si>
  <si>
    <t>0371336</t>
  </si>
  <si>
    <t>MILLER, FRED</t>
  </si>
  <si>
    <t>1018636</t>
  </si>
  <si>
    <t>MIMS, CHRISTOPHER</t>
  </si>
  <si>
    <t>1030366</t>
  </si>
  <si>
    <t>MOGGIO, WILLIAM</t>
  </si>
  <si>
    <t>1004227</t>
  </si>
  <si>
    <t>DIVERTED -OT</t>
  </si>
  <si>
    <t>MORGAN, CURTIS</t>
  </si>
  <si>
    <t>0174175</t>
  </si>
  <si>
    <t>MOSS, ZACH</t>
  </si>
  <si>
    <t>0150382</t>
  </si>
  <si>
    <t>BR ACD-2-BLUE</t>
  </si>
  <si>
    <t>MULLEN, RYAN</t>
  </si>
  <si>
    <t>0376334</t>
  </si>
  <si>
    <t>VA-1</t>
  </si>
  <si>
    <t>NARBEN, GODWIN</t>
  </si>
  <si>
    <t>1034349</t>
  </si>
  <si>
    <t>SA-2-POST</t>
  </si>
  <si>
    <t>KN-3-POST</t>
  </si>
  <si>
    <t>NEGLEY, ANTHONY</t>
  </si>
  <si>
    <t>0133337</t>
  </si>
  <si>
    <t>NELLUM, KEVIN</t>
  </si>
  <si>
    <t>0198682</t>
  </si>
  <si>
    <t>VA-2</t>
  </si>
  <si>
    <t>OWENS, XAVIER</t>
  </si>
  <si>
    <t>1025506</t>
  </si>
  <si>
    <t>LF-R</t>
  </si>
  <si>
    <t>PACE, LEWIS</t>
  </si>
  <si>
    <t>0818069</t>
  </si>
  <si>
    <t>PALMER, SANFORD</t>
  </si>
  <si>
    <t>1014949</t>
  </si>
  <si>
    <t>PANELLA, MICHAEL</t>
  </si>
  <si>
    <t>0337393</t>
  </si>
  <si>
    <t>PATE, MELINDA</t>
  </si>
  <si>
    <t>0174217</t>
  </si>
  <si>
    <t>PATE, TABITHA</t>
  </si>
  <si>
    <t>0174238</t>
  </si>
  <si>
    <t>PAYNE, ANDREW</t>
  </si>
  <si>
    <t>0650846</t>
  </si>
  <si>
    <t>PEACHY, JOHN</t>
  </si>
  <si>
    <t>0560457</t>
  </si>
  <si>
    <t>HB ACD-2-GOLD</t>
  </si>
  <si>
    <t>PEEPLES, TINA</t>
  </si>
  <si>
    <t>0022135</t>
  </si>
  <si>
    <t>PIETSCH, DAN</t>
  </si>
  <si>
    <t>0162513</t>
  </si>
  <si>
    <t>PIETSCH, KYLE</t>
  </si>
  <si>
    <t>1019208</t>
  </si>
  <si>
    <t>PIFER, BRIAN</t>
  </si>
  <si>
    <t>0374213</t>
  </si>
  <si>
    <t>AL-R</t>
  </si>
  <si>
    <t>PRINCE, MICHAEL</t>
  </si>
  <si>
    <t>1018231</t>
  </si>
  <si>
    <t>QUINN, COURTNEY</t>
  </si>
  <si>
    <t>0388766</t>
  </si>
  <si>
    <t>RABARA, BILL</t>
  </si>
  <si>
    <t>0122081</t>
  </si>
  <si>
    <t>DB ACD-2-GOLD</t>
  </si>
  <si>
    <t>REACH, JEFF</t>
  </si>
  <si>
    <t>0022751</t>
  </si>
  <si>
    <t>REBER, MARKUS</t>
  </si>
  <si>
    <t>0187797</t>
  </si>
  <si>
    <t>REED, JAMES</t>
  </si>
  <si>
    <t>1023673</t>
  </si>
  <si>
    <t>ET-R</t>
  </si>
  <si>
    <t>REEVES, JULIAN</t>
  </si>
  <si>
    <t>1030405</t>
  </si>
  <si>
    <t>REID, HASAN</t>
  </si>
  <si>
    <t>REYNOLDS, RO</t>
  </si>
  <si>
    <t>1031687</t>
  </si>
  <si>
    <t>EXTRA BOARD-KS-B</t>
  </si>
  <si>
    <t>RITCHIE, MIKE</t>
  </si>
  <si>
    <t>0717626</t>
  </si>
  <si>
    <t>ROBERTS, KIRVIN</t>
  </si>
  <si>
    <t>1019209</t>
  </si>
  <si>
    <t>EL-R</t>
  </si>
  <si>
    <t>ROBINSON, AARON</t>
  </si>
  <si>
    <t>1015460</t>
  </si>
  <si>
    <t>SP-R</t>
  </si>
  <si>
    <t>ROBINSON, ANDY</t>
  </si>
  <si>
    <t>0146749</t>
  </si>
  <si>
    <t>ROBINSON, MATTHEW</t>
  </si>
  <si>
    <t>1010235</t>
  </si>
  <si>
    <t>ROSSER, JARREL</t>
  </si>
  <si>
    <t>1034344</t>
  </si>
  <si>
    <t>LF-1-POST</t>
  </si>
  <si>
    <t>ROTH, KATE</t>
  </si>
  <si>
    <t>0892696</t>
  </si>
  <si>
    <t>ROUNSAVALL, MIKE</t>
  </si>
  <si>
    <t>0049344</t>
  </si>
  <si>
    <t>RUBERT, JIM</t>
  </si>
  <si>
    <t>0798819</t>
  </si>
  <si>
    <t>R-ACD-BLUE</t>
  </si>
  <si>
    <t>RUSSELL, SHALONDIA</t>
  </si>
  <si>
    <t>1028258</t>
  </si>
  <si>
    <t>BT-1-POST</t>
  </si>
  <si>
    <t>SANSBURY, TRAVIS</t>
  </si>
  <si>
    <t>1016880</t>
  </si>
  <si>
    <t>SCONIERS, KELVIN</t>
  </si>
  <si>
    <t>0117636</t>
  </si>
  <si>
    <t>SCOTT, CLIFF</t>
  </si>
  <si>
    <t>0373597</t>
  </si>
  <si>
    <t>BR ACD-2-GOLD</t>
  </si>
  <si>
    <t>SCOTT, DONALD</t>
  </si>
  <si>
    <t>0317765</t>
  </si>
  <si>
    <t>SCOTT, TROY</t>
  </si>
  <si>
    <t>0790475</t>
  </si>
  <si>
    <t>SHAW, ANTHONY</t>
  </si>
  <si>
    <t>1019607</t>
  </si>
  <si>
    <t>BT-R</t>
  </si>
  <si>
    <t>SHAW, JUSTIN</t>
  </si>
  <si>
    <t>1017271</t>
  </si>
  <si>
    <t>SHIELDS, BRIAN</t>
  </si>
  <si>
    <t>1017207</t>
  </si>
  <si>
    <t>SLANEY, MATTHEW</t>
  </si>
  <si>
    <t>1026431</t>
  </si>
  <si>
    <t>SMITH, GEMOND</t>
  </si>
  <si>
    <t>0080893</t>
  </si>
  <si>
    <t>SMITH, PATRICK</t>
  </si>
  <si>
    <t>0129319</t>
  </si>
  <si>
    <t>IN-1</t>
  </si>
  <si>
    <t>SMITH, SAM</t>
  </si>
  <si>
    <t>0393267</t>
  </si>
  <si>
    <t>CO ACD-1-BLUE</t>
  </si>
  <si>
    <t>SOLES, BILL</t>
  </si>
  <si>
    <t>0374206</t>
  </si>
  <si>
    <t>SPEAKS, JASON</t>
  </si>
  <si>
    <t>0971978</t>
  </si>
  <si>
    <t>MW ACD-2-GOLD</t>
  </si>
  <si>
    <t>STACY, KEVIN</t>
  </si>
  <si>
    <t>0875483</t>
  </si>
  <si>
    <t>LK ACD-1-GOLD</t>
  </si>
  <si>
    <t>STAMETS, JAKE</t>
  </si>
  <si>
    <t>1023675</t>
  </si>
  <si>
    <t>STAMETS, JEFF</t>
  </si>
  <si>
    <t>0161603</t>
  </si>
  <si>
    <t>DB ACD-2-BLUE</t>
  </si>
  <si>
    <t>STAMETS, LUCAS</t>
  </si>
  <si>
    <t>1031102</t>
  </si>
  <si>
    <t>QC-R</t>
  </si>
  <si>
    <t>STEELE, DAKOTA</t>
  </si>
  <si>
    <t>1009803</t>
  </si>
  <si>
    <t>KY-3-POST</t>
  </si>
  <si>
    <t>KY-2-POST</t>
  </si>
  <si>
    <t>STEELE, DERRICK</t>
  </si>
  <si>
    <t>1017206</t>
  </si>
  <si>
    <t>STURLEY, DEANNA</t>
  </si>
  <si>
    <t>0356433</t>
  </si>
  <si>
    <t>SUMMERS, CLINT</t>
  </si>
  <si>
    <t>0672840</t>
  </si>
  <si>
    <t>GU ACD-1-GOLD</t>
  </si>
  <si>
    <t>TALLEY, OHAN</t>
  </si>
  <si>
    <t>1026398</t>
  </si>
  <si>
    <t>RT-R</t>
  </si>
  <si>
    <t>TAYLOR, JASMINE</t>
  </si>
  <si>
    <t>1026382</t>
  </si>
  <si>
    <t>TEKLU, BETH</t>
  </si>
  <si>
    <t>1031123</t>
  </si>
  <si>
    <t>THAYER, KELLY</t>
  </si>
  <si>
    <t>1015259</t>
  </si>
  <si>
    <t>GREAT LAKES ATW</t>
  </si>
  <si>
    <t>GL1 ATW</t>
  </si>
  <si>
    <t>THOMAS, FRANK</t>
  </si>
  <si>
    <t>0644427</t>
  </si>
  <si>
    <t>THOMAS, RONNIE</t>
  </si>
  <si>
    <t>1019207</t>
  </si>
  <si>
    <t>THOMPSON, JIM</t>
  </si>
  <si>
    <t>1023670</t>
  </si>
  <si>
    <t>SA-R</t>
  </si>
  <si>
    <t>TINNIEHILL, KENESHIA</t>
  </si>
  <si>
    <t>1031686</t>
  </si>
  <si>
    <t>TOOMEY, TJ</t>
  </si>
  <si>
    <t>0194825</t>
  </si>
  <si>
    <t>PB ACD-1-BLUE</t>
  </si>
  <si>
    <t>TRACY, LUCAS</t>
  </si>
  <si>
    <t>1007815</t>
  </si>
  <si>
    <t>TUCKER, JUSTIN</t>
  </si>
  <si>
    <t>1000910</t>
  </si>
  <si>
    <t>RL-1-POST</t>
  </si>
  <si>
    <t>RL-2-POST</t>
  </si>
  <si>
    <t>TURNER, CHERTARVEYA</t>
  </si>
  <si>
    <t>1019602</t>
  </si>
  <si>
    <t>TT-R</t>
  </si>
  <si>
    <t>VANNIER, RYAN</t>
  </si>
  <si>
    <t>0395164</t>
  </si>
  <si>
    <t>VAZQUEZ, ERIC</t>
  </si>
  <si>
    <t>1015925</t>
  </si>
  <si>
    <t>VINCENT, JAMES</t>
  </si>
  <si>
    <t>0168561</t>
  </si>
  <si>
    <t>WAGUESPACK, SAMMY</t>
  </si>
  <si>
    <t>1025503</t>
  </si>
  <si>
    <t>MT-1-POST</t>
  </si>
  <si>
    <t>WALKER, JERI</t>
  </si>
  <si>
    <t>1028343</t>
  </si>
  <si>
    <t>CG-2-POST</t>
  </si>
  <si>
    <t>WALKER, RODERICK</t>
  </si>
  <si>
    <t>1007689</t>
  </si>
  <si>
    <t>EE-R</t>
  </si>
  <si>
    <t>WALLER, CHARLES</t>
  </si>
  <si>
    <t>1030381</t>
  </si>
  <si>
    <t>IN-1-POST</t>
  </si>
  <si>
    <t>WASHINGTON, JOHN</t>
  </si>
  <si>
    <t>1031683</t>
  </si>
  <si>
    <t>WATERS, MICHAEL</t>
  </si>
  <si>
    <t>0394254</t>
  </si>
  <si>
    <t>WATROUS, ERIC</t>
  </si>
  <si>
    <t>0341341</t>
  </si>
  <si>
    <t>KN-R</t>
  </si>
  <si>
    <t>WAVER, ANDREW</t>
  </si>
  <si>
    <t>1024135</t>
  </si>
  <si>
    <t>CG-1-POST</t>
  </si>
  <si>
    <t>WEIL, BILL</t>
  </si>
  <si>
    <t>0107038</t>
  </si>
  <si>
    <t>WENGER, JOSH</t>
  </si>
  <si>
    <t>1000816</t>
  </si>
  <si>
    <t>WENNEMAN, BRYAN</t>
  </si>
  <si>
    <t>0317989</t>
  </si>
  <si>
    <t>WHITE, TOM</t>
  </si>
  <si>
    <t>0769019</t>
  </si>
  <si>
    <t>WILLIAMS, GARRETT</t>
  </si>
  <si>
    <t>1028859</t>
  </si>
  <si>
    <t>EXTRA BOARD-BR-A</t>
  </si>
  <si>
    <t>WILLIAMS, JALEESA</t>
  </si>
  <si>
    <t>1031103</t>
  </si>
  <si>
    <t>WILLIAMS, JASMINE</t>
  </si>
  <si>
    <t>1015459</t>
  </si>
  <si>
    <t>SE-R</t>
  </si>
  <si>
    <t>WILLIAMS, LEISA</t>
  </si>
  <si>
    <t>0853419</t>
  </si>
  <si>
    <t>WILLIAMS, NARADA</t>
  </si>
  <si>
    <t>1025089</t>
  </si>
  <si>
    <t>CD-R</t>
  </si>
  <si>
    <t>CD-2-POST</t>
  </si>
  <si>
    <t>WILLIAMS, RICHARD</t>
  </si>
  <si>
    <t>0125455</t>
  </si>
  <si>
    <t>BR3 ATW</t>
  </si>
  <si>
    <t>WILLIAMS, SCOTT</t>
  </si>
  <si>
    <t>1015463</t>
  </si>
  <si>
    <t>WILLIAMS, SHANAN</t>
  </si>
  <si>
    <t>1015876</t>
  </si>
  <si>
    <t>UB</t>
  </si>
  <si>
    <t>WILLIFORD, JUSTINA</t>
  </si>
  <si>
    <t>1024517</t>
  </si>
  <si>
    <t>ME-2-POST</t>
  </si>
  <si>
    <t>WILSON, AISHA</t>
  </si>
  <si>
    <t>1015875</t>
  </si>
  <si>
    <t>VA-R</t>
  </si>
  <si>
    <t>WIMMER, CHRISTOPHER</t>
  </si>
  <si>
    <t>0655039</t>
  </si>
  <si>
    <t>WOODS, RAMONNE</t>
  </si>
  <si>
    <t>0156227</t>
  </si>
  <si>
    <t>WRIGHT, SHAMARA</t>
  </si>
  <si>
    <t>1031684</t>
  </si>
  <si>
    <t>YEAGER, DOROTHY</t>
  </si>
  <si>
    <t>0891737</t>
  </si>
  <si>
    <t>YOUNGER, SAMANTHA</t>
  </si>
  <si>
    <t>0378427</t>
  </si>
  <si>
    <t>ZEIGLER, KIMBERLY</t>
  </si>
  <si>
    <t>1019210</t>
  </si>
  <si>
    <t>DH-R</t>
  </si>
  <si>
    <t>ZIEGERT, ABIGAIL</t>
  </si>
  <si>
    <t>1000372</t>
  </si>
  <si>
    <t>ZIMA, ART</t>
  </si>
  <si>
    <t>1017595</t>
  </si>
  <si>
    <t>GL2 ATW</t>
  </si>
  <si>
    <t>SOUTHERN REGION NETWORK OPERATIONS CENTER DISPATCHER SCHEDULE</t>
  </si>
  <si>
    <t>NE - NORTH END</t>
  </si>
  <si>
    <t>SE - SOUTH END</t>
  </si>
  <si>
    <t>IN - ATLANTA TERMINAL</t>
  </si>
  <si>
    <t>GS - GS&amp;F</t>
  </si>
  <si>
    <t>SV - SAVANNAH</t>
  </si>
  <si>
    <t>CH - CHARLOTTE</t>
  </si>
  <si>
    <t>ME - WEST TENNESSEE</t>
  </si>
  <si>
    <t>EE - EAST END</t>
  </si>
  <si>
    <t>BT - BIRMINGHAM TERMINAL</t>
  </si>
  <si>
    <t>NO - NO &amp; NE</t>
  </si>
  <si>
    <t>3B - 3B</t>
  </si>
  <si>
    <t>CN - CHATTANOOGA NORTH</t>
  </si>
  <si>
    <t>KW - KNOXVILLE WEST</t>
  </si>
  <si>
    <t>KN - KENOVA</t>
  </si>
  <si>
    <t>PO - POCAHONTAS</t>
  </si>
  <si>
    <t>NR - NEW RIVER</t>
  </si>
  <si>
    <t>ET - EAST TENNESSEE</t>
  </si>
  <si>
    <t>RT - ROANOKE TERMINAL</t>
  </si>
  <si>
    <t>VA - VIRGINIA</t>
  </si>
  <si>
    <t>AS - ASHEVILLE</t>
  </si>
  <si>
    <t>DV - DANVILLE</t>
  </si>
  <si>
    <t>HG - HAGERSTOWN</t>
  </si>
  <si>
    <t>SOUTHERN REGION NETWORK OPERATIONS CENTER ASSISANT CHIEF DISPATCHER SCHEDULE</t>
  </si>
  <si>
    <t>COASTAL (CO) DAY</t>
  </si>
  <si>
    <t>COASTAL (CO) NIGHT</t>
  </si>
  <si>
    <t>GULF (GU) DAY</t>
  </si>
  <si>
    <t>GULF (GU) NIGHT</t>
  </si>
  <si>
    <t>BLUE RIDGE (BR) DAY</t>
  </si>
  <si>
    <t>BLUE RIDGE (BR) NIGHT</t>
  </si>
  <si>
    <t>VACANCIES AND UPCOMING VACANCIES</t>
  </si>
  <si>
    <t>CLAIMABLE ASSIGNMENTS</t>
  </si>
  <si>
    <t>CURRENT VACANT ASSIGNMENT'S</t>
  </si>
  <si>
    <t>REGION</t>
  </si>
  <si>
    <t>REASON FOR VACANCY</t>
  </si>
  <si>
    <t>CLAIMABLE ON</t>
  </si>
  <si>
    <t>ASSIGNMENT OWNED BY</t>
  </si>
  <si>
    <t>INCUMBENT OFF</t>
  </si>
  <si>
    <t>INCUMBENT NOT QUALIFIED</t>
  </si>
  <si>
    <t>EXTRA BOARD-BR</t>
  </si>
  <si>
    <t>INCUMBENT BID OFF</t>
  </si>
  <si>
    <t>VACANT</t>
  </si>
  <si>
    <t>EXTRA BOARD-BR-D</t>
  </si>
  <si>
    <t>EXTRA BOARD-BR-E</t>
  </si>
  <si>
    <t>VACATION</t>
  </si>
  <si>
    <t>EXTRA BOARD-BR-F</t>
  </si>
  <si>
    <t>JOHNSON-SAMMONS, ASHLYN</t>
  </si>
  <si>
    <t>EXTRA BOARD-BR-G</t>
  </si>
  <si>
    <t xml:space="preserve">BULLINGTON, BILLY </t>
  </si>
  <si>
    <t>EXTRA BOARD-CO</t>
  </si>
  <si>
    <t xml:space="preserve">SLANEY, MATTHEW </t>
  </si>
  <si>
    <t>EXTRA BOARD-CO-D</t>
  </si>
  <si>
    <t xml:space="preserve">MCROY, DANIEL </t>
  </si>
  <si>
    <t>EXTRA BOARD-CO-E</t>
  </si>
  <si>
    <t>EXTRA BOARD-CO-F</t>
  </si>
  <si>
    <t>EXTRA BOARD-CO-G</t>
  </si>
  <si>
    <t>EXTRA BOARD-GL</t>
  </si>
  <si>
    <t>Thomas, Ronnie</t>
  </si>
  <si>
    <t>EXTRA BOARD-GL-D</t>
  </si>
  <si>
    <t>EXTRA BOARD-GL-E</t>
  </si>
  <si>
    <t>EXTRA BOARD-GL-F</t>
  </si>
  <si>
    <t>EXTRA BOARD-GL-G</t>
  </si>
  <si>
    <t>EXTRA BOARD-GU</t>
  </si>
  <si>
    <t>EXTRA BOARD-GU-D</t>
  </si>
  <si>
    <t>EXTRA BOARD-GU-E</t>
  </si>
  <si>
    <t>EXTRA BOARD-GU-F</t>
  </si>
  <si>
    <t>EXTRA BOARD-GU-G</t>
  </si>
  <si>
    <t>EXTRA BOARD-KS</t>
  </si>
  <si>
    <t>EXTRA BOARD-KS-D</t>
  </si>
  <si>
    <t>EXTRA BOARD-KS-E</t>
  </si>
  <si>
    <t>INCUMBENT VACATION</t>
  </si>
  <si>
    <t>Southern</t>
  </si>
  <si>
    <t>southern ACD</t>
  </si>
  <si>
    <t>southern trainee</t>
  </si>
  <si>
    <t>southern GAD</t>
  </si>
  <si>
    <t>SOUTHERN REGION NETWORK OPERATIONS CENTER DISPATCHERS</t>
  </si>
  <si>
    <t>SOUTHERN REGION NETWORK OPERATIONS CENTER ASSISTANT CHIEF DISPATCHERS</t>
  </si>
  <si>
    <t>NETWORK OPERATIONS CENTER RELIEF ASSISTANT CHIEF DISPATCHERS</t>
  </si>
  <si>
    <t>SOUTHERN REGION NETWORK OPERATIONS CENTER GUARANTEED ASSIGNED DISPATCHERS</t>
  </si>
  <si>
    <t>SOUTHERN REGION NETWORK OPERATIONS CENTER UNQUALIFIED DISPATCHER TRAINEES</t>
  </si>
  <si>
    <t>DONE</t>
  </si>
  <si>
    <t>CT</t>
  </si>
  <si>
    <t>BT-2-POST</t>
  </si>
  <si>
    <t>SA-3-POST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</si>
</sst>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;\-0;;@"/>
    <numFmt numFmtId="166" formatCode="m/d/yy;@"/>
    <numFmt numFmtId="167" formatCode="[$-409]mmmm\ d\,\ yyyy;@"/>
    <numFmt numFmtId="168" formatCode="[$-F800]dddd\,\ mmmm\ dd\,\ yyyy"/>
    <numFmt numFmtId="169" formatCode="mm/dd/yy;@"/>
  </numFmts>
  <fonts count="50" x14ac:knownFonts="1">
    <font>
      <sz val="12"/>
      <color theme="1"/>
      <name val="Calibri"/>
      <family val="2"/>
      <scheme val="minor"/>
    </font>
    <font>
      <sz val="22"/>
      <color theme="1"/>
      <name val="Courier New Bold"/>
    </font>
    <font>
      <b/>
      <sz val="12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0"/>
      <name val="Arial Rounded MT Bold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20"/>
      <name val="Calibri"/>
      <family val="2"/>
    </font>
    <font>
      <b/>
      <sz val="20"/>
      <color rgb="FFFF0000"/>
      <name val="Calibri"/>
      <family val="2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2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8"/>
      <name val="Arial Rounded MT Bold"/>
      <family val="2"/>
    </font>
    <font>
      <b/>
      <sz val="18"/>
      <color theme="1"/>
      <name val="Calibri Light"/>
      <family val="2"/>
      <scheme val="major"/>
    </font>
    <font>
      <sz val="12"/>
      <color theme="1"/>
      <name val="Courier New"/>
      <family val="1"/>
    </font>
    <font>
      <sz val="24"/>
      <color theme="1"/>
      <name val="Courier New Bold"/>
    </font>
    <font>
      <sz val="18"/>
      <color theme="1"/>
      <name val="Courier New"/>
      <family val="1"/>
    </font>
    <font>
      <b/>
      <sz val="22"/>
      <color theme="0"/>
      <name val="Courier New"/>
      <family val="1"/>
    </font>
    <font>
      <sz val="22"/>
      <color theme="0"/>
      <name val="Calibri"/>
      <family val="2"/>
      <scheme val="minor"/>
    </font>
    <font>
      <b/>
      <sz val="24"/>
      <color theme="1"/>
      <name val="Courier New Bold"/>
    </font>
    <font>
      <sz val="14"/>
      <color theme="1"/>
      <name val="Courier New"/>
      <family val="1"/>
    </font>
    <font>
      <sz val="10"/>
      <color theme="1"/>
      <name val="Calibri Light"/>
      <family val="2"/>
      <scheme val="major"/>
    </font>
    <font>
      <sz val="36"/>
      <color theme="1"/>
      <name val="Courier New"/>
      <family val="1"/>
    </font>
    <font>
      <sz val="16"/>
      <color theme="1"/>
      <name val="Courier New"/>
      <family val="1"/>
    </font>
    <font>
      <b/>
      <i/>
      <u/>
      <sz val="12"/>
      <color theme="1"/>
      <name val="Courier New"/>
      <family val="1"/>
    </font>
    <font>
      <i/>
      <u/>
      <sz val="12"/>
      <color theme="1"/>
      <name val="Courier New"/>
      <family val="1"/>
    </font>
    <font>
      <sz val="12"/>
      <color theme="1"/>
      <name val="Calibri Light"/>
      <family val="2"/>
      <scheme val="major"/>
    </font>
    <font>
      <b/>
      <u/>
      <sz val="12"/>
      <color theme="1"/>
      <name val="Courier New"/>
      <family val="1"/>
    </font>
    <font>
      <b/>
      <u/>
      <sz val="12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24"/>
      <color theme="1"/>
      <name val="Arial Rounded MT Bold"/>
      <family val="2"/>
    </font>
    <font>
      <sz val="22"/>
      <color rgb="FFFFFF00"/>
      <name val="Courier New Bold"/>
    </font>
    <font>
      <b/>
      <i/>
      <sz val="12"/>
      <color rgb="FFFF0000"/>
      <name val="Calibri"/>
      <family val="2"/>
      <scheme val="minor"/>
    </font>
    <font>
      <sz val="20"/>
      <color theme="1"/>
      <name val="Courier New Bold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auto="1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/>
  </cellStyleXfs>
  <cellXfs count="491">
    <xf numFmtId="0" fontId="0" fillId="0" borderId="0" xfId="0"/>
    <xf numFmtId="164" fontId="0" fillId="2" borderId="0" xfId="0" applyNumberFormat="1" applyFill="1" applyAlignment="1" applyProtection="1">
      <alignment horizontal="center" vertical="center"/>
      <protection locked="0" hidden="1"/>
    </xf>
    <xf numFmtId="164" fontId="0" fillId="3" borderId="0" xfId="0" applyNumberForma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Protection="1">
      <protection hidden="1"/>
    </xf>
    <xf numFmtId="165" fontId="2" fillId="2" borderId="0" xfId="0" applyNumberFormat="1" applyFont="1" applyFill="1" applyAlignment="1" applyProtection="1">
      <alignment horizontal="center" vertical="center"/>
      <protection locked="0" hidden="1"/>
    </xf>
    <xf numFmtId="165" fontId="2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Protection="1">
      <protection locked="0" hidden="1"/>
    </xf>
    <xf numFmtId="0" fontId="0" fillId="3" borderId="0" xfId="0" applyFill="1"/>
    <xf numFmtId="0" fontId="1" fillId="3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  <xf numFmtId="0" fontId="0" fillId="4" borderId="0" xfId="0" applyFill="1"/>
    <xf numFmtId="0" fontId="0" fillId="4" borderId="0" xfId="0" applyFill="1" applyProtection="1">
      <protection locked="0" hidden="1"/>
    </xf>
    <xf numFmtId="0" fontId="6" fillId="5" borderId="15" xfId="0" applyFont="1" applyFill="1" applyBorder="1" applyAlignment="1" applyProtection="1">
      <alignment horizontal="center" vertical="center"/>
      <protection locked="0" hidden="1"/>
    </xf>
    <xf numFmtId="165" fontId="4" fillId="5" borderId="16" xfId="0" applyNumberFormat="1" applyFont="1" applyFill="1" applyBorder="1"/>
    <xf numFmtId="165" fontId="4" fillId="5" borderId="16" xfId="0" applyNumberFormat="1" applyFont="1" applyFill="1" applyBorder="1" applyAlignment="1">
      <alignment horizontal="center" vertical="center"/>
    </xf>
    <xf numFmtId="165" fontId="4" fillId="5" borderId="17" xfId="0" applyNumberFormat="1" applyFont="1" applyFill="1" applyBorder="1"/>
    <xf numFmtId="165" fontId="4" fillId="5" borderId="17" xfId="0" applyNumberFormat="1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0" fontId="9" fillId="5" borderId="15" xfId="0" applyFont="1" applyFill="1" applyBorder="1" applyAlignment="1" applyProtection="1">
      <alignment horizontal="center" vertical="center"/>
      <protection locked="0" hidden="1"/>
    </xf>
    <xf numFmtId="0" fontId="3" fillId="5" borderId="17" xfId="0" applyFont="1" applyFill="1" applyBorder="1" applyAlignment="1" applyProtection="1">
      <alignment horizontal="center" vertical="center"/>
      <protection locked="0" hidden="1"/>
    </xf>
    <xf numFmtId="165" fontId="2" fillId="0" borderId="17" xfId="0" applyNumberFormat="1" applyFont="1" applyBorder="1" applyAlignment="1" applyProtection="1">
      <alignment horizontal="left" vertical="center"/>
      <protection hidden="1"/>
    </xf>
    <xf numFmtId="0" fontId="3" fillId="5" borderId="19" xfId="0" applyFont="1" applyFill="1" applyBorder="1" applyAlignment="1" applyProtection="1">
      <alignment horizontal="center" vertical="center"/>
      <protection locked="0" hidden="1"/>
    </xf>
    <xf numFmtId="165" fontId="4" fillId="5" borderId="19" xfId="0" applyNumberFormat="1" applyFont="1" applyFill="1" applyBorder="1"/>
    <xf numFmtId="165" fontId="4" fillId="5" borderId="19" xfId="0" applyNumberFormat="1" applyFont="1" applyFill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0" fontId="6" fillId="6" borderId="15" xfId="0" applyFont="1" applyFill="1" applyBorder="1" applyAlignment="1" applyProtection="1">
      <alignment horizontal="center" vertical="center"/>
      <protection locked="0" hidden="1"/>
    </xf>
    <xf numFmtId="165" fontId="11" fillId="6" borderId="16" xfId="0" applyNumberFormat="1" applyFont="1" applyFill="1" applyBorder="1"/>
    <xf numFmtId="165" fontId="11" fillId="6" borderId="16" xfId="0" applyNumberFormat="1" applyFont="1" applyFill="1" applyBorder="1" applyAlignment="1">
      <alignment horizontal="center" vertical="center"/>
    </xf>
    <xf numFmtId="165" fontId="11" fillId="6" borderId="17" xfId="0" applyNumberFormat="1" applyFont="1" applyFill="1" applyBorder="1"/>
    <xf numFmtId="165" fontId="11" fillId="6" borderId="17" xfId="0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6" fillId="6" borderId="15" xfId="0" applyFont="1" applyFill="1" applyBorder="1" applyAlignment="1" applyProtection="1">
      <alignment horizontal="center"/>
      <protection locked="0" hidden="1"/>
    </xf>
    <xf numFmtId="0" fontId="6" fillId="6" borderId="15" xfId="0" applyFont="1" applyFill="1" applyBorder="1" applyAlignment="1" applyProtection="1">
      <alignment horizontal="center" vertical="center"/>
      <protection locked="0"/>
    </xf>
    <xf numFmtId="0" fontId="9" fillId="6" borderId="15" xfId="0" applyFont="1" applyFill="1" applyBorder="1" applyAlignment="1" applyProtection="1">
      <alignment horizontal="center" vertical="center"/>
      <protection locked="0" hidden="1"/>
    </xf>
    <xf numFmtId="0" fontId="0" fillId="6" borderId="17" xfId="0" applyFill="1" applyBorder="1" applyProtection="1">
      <protection locked="0" hidden="1"/>
    </xf>
    <xf numFmtId="0" fontId="3" fillId="6" borderId="17" xfId="0" applyFont="1" applyFill="1" applyBorder="1" applyAlignment="1" applyProtection="1">
      <alignment horizontal="center" vertical="center"/>
      <protection locked="0" hidden="1"/>
    </xf>
    <xf numFmtId="0" fontId="3" fillId="6" borderId="19" xfId="0" applyFont="1" applyFill="1" applyBorder="1" applyAlignment="1" applyProtection="1">
      <alignment horizontal="center" vertical="center"/>
      <protection locked="0" hidden="1"/>
    </xf>
    <xf numFmtId="165" fontId="11" fillId="6" borderId="19" xfId="0" applyNumberFormat="1" applyFont="1" applyFill="1" applyBorder="1"/>
    <xf numFmtId="165" fontId="11" fillId="6" borderId="19" xfId="0" applyNumberFormat="1" applyFont="1" applyFill="1" applyBorder="1" applyAlignment="1">
      <alignment horizontal="center" vertical="center"/>
    </xf>
    <xf numFmtId="0" fontId="6" fillId="7" borderId="15" xfId="0" applyFont="1" applyFill="1" applyBorder="1" applyAlignment="1" applyProtection="1">
      <alignment horizontal="center" vertical="center"/>
      <protection locked="0" hidden="1"/>
    </xf>
    <xf numFmtId="165" fontId="4" fillId="7" borderId="16" xfId="0" applyNumberFormat="1" applyFont="1" applyFill="1" applyBorder="1"/>
    <xf numFmtId="165" fontId="4" fillId="7" borderId="16" xfId="0" applyNumberFormat="1" applyFont="1" applyFill="1" applyBorder="1" applyAlignment="1">
      <alignment horizontal="center" vertical="center"/>
    </xf>
    <xf numFmtId="165" fontId="4" fillId="7" borderId="17" xfId="0" applyNumberFormat="1" applyFont="1" applyFill="1" applyBorder="1"/>
    <xf numFmtId="165" fontId="4" fillId="7" borderId="17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7" borderId="15" xfId="0" applyFont="1" applyFill="1" applyBorder="1" applyAlignment="1" applyProtection="1">
      <alignment horizontal="center"/>
      <protection locked="0" hidden="1"/>
    </xf>
    <xf numFmtId="0" fontId="0" fillId="7" borderId="17" xfId="0" applyFill="1" applyBorder="1" applyProtection="1">
      <protection locked="0" hidden="1"/>
    </xf>
    <xf numFmtId="0" fontId="3" fillId="7" borderId="17" xfId="0" applyFont="1" applyFill="1" applyBorder="1" applyAlignment="1" applyProtection="1">
      <alignment horizontal="center" vertical="center"/>
      <protection locked="0" hidden="1"/>
    </xf>
    <xf numFmtId="0" fontId="3" fillId="7" borderId="19" xfId="0" applyFont="1" applyFill="1" applyBorder="1" applyAlignment="1" applyProtection="1">
      <alignment horizontal="center" vertical="center"/>
      <protection locked="0" hidden="1"/>
    </xf>
    <xf numFmtId="165" fontId="4" fillId="7" borderId="19" xfId="0" applyNumberFormat="1" applyFont="1" applyFill="1" applyBorder="1"/>
    <xf numFmtId="165" fontId="4" fillId="7" borderId="19" xfId="0" applyNumberFormat="1" applyFont="1" applyFill="1" applyBorder="1" applyAlignment="1">
      <alignment horizontal="center" vertical="center"/>
    </xf>
    <xf numFmtId="0" fontId="13" fillId="5" borderId="15" xfId="0" applyFont="1" applyFill="1" applyBorder="1" applyAlignment="1" applyProtection="1">
      <alignment horizontal="center"/>
      <protection locked="0" hidden="1"/>
    </xf>
    <xf numFmtId="165" fontId="4" fillId="5" borderId="16" xfId="0" applyNumberFormat="1" applyFont="1" applyFill="1" applyBorder="1" applyAlignment="1">
      <alignment horizontal="left" vertical="center"/>
    </xf>
    <xf numFmtId="165" fontId="4" fillId="5" borderId="17" xfId="0" applyNumberFormat="1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center" vertical="center"/>
    </xf>
    <xf numFmtId="0" fontId="12" fillId="5" borderId="15" xfId="0" applyFont="1" applyFill="1" applyBorder="1" applyAlignment="1" applyProtection="1">
      <alignment horizontal="center"/>
      <protection locked="0" hidden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hidden="1"/>
    </xf>
    <xf numFmtId="167" fontId="15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167" fontId="15" fillId="0" borderId="0" xfId="0" applyNumberFormat="1" applyFont="1" applyAlignment="1" applyProtection="1">
      <alignment horizontal="center" vertical="center"/>
      <protection hidden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hidden="1"/>
    </xf>
    <xf numFmtId="165" fontId="18" fillId="5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5" fontId="4" fillId="5" borderId="19" xfId="0" applyNumberFormat="1" applyFont="1" applyFill="1" applyBorder="1" applyAlignment="1">
      <alignment horizontal="left" vertical="center"/>
    </xf>
    <xf numFmtId="165" fontId="18" fillId="5" borderId="19" xfId="0" applyNumberFormat="1" applyFont="1" applyFill="1" applyBorder="1" applyAlignment="1">
      <alignment horizontal="center" vertical="center"/>
    </xf>
    <xf numFmtId="165" fontId="4" fillId="8" borderId="16" xfId="0" applyNumberFormat="1" applyFont="1" applyFill="1" applyBorder="1" applyAlignment="1">
      <alignment horizontal="left" vertical="center"/>
    </xf>
    <xf numFmtId="165" fontId="4" fillId="8" borderId="16" xfId="0" applyNumberFormat="1" applyFont="1" applyFill="1" applyBorder="1"/>
    <xf numFmtId="165" fontId="4" fillId="8" borderId="16" xfId="0" applyNumberFormat="1" applyFont="1" applyFill="1" applyBorder="1" applyAlignment="1">
      <alignment horizontal="center" vertical="center"/>
    </xf>
    <xf numFmtId="165" fontId="4" fillId="8" borderId="17" xfId="0" applyNumberFormat="1" applyFont="1" applyFill="1" applyBorder="1" applyAlignment="1">
      <alignment horizontal="left" vertical="center"/>
    </xf>
    <xf numFmtId="165" fontId="4" fillId="8" borderId="17" xfId="0" applyNumberFormat="1" applyFont="1" applyFill="1" applyBorder="1"/>
    <xf numFmtId="165" fontId="4" fillId="8" borderId="17" xfId="0" applyNumberFormat="1" applyFont="1" applyFill="1" applyBorder="1" applyAlignment="1">
      <alignment horizontal="center" vertical="center"/>
    </xf>
    <xf numFmtId="0" fontId="19" fillId="7" borderId="15" xfId="0" applyFont="1" applyFill="1" applyBorder="1" applyAlignment="1" applyProtection="1">
      <alignment horizontal="left" vertical="center"/>
      <protection locked="0" hidden="1"/>
    </xf>
    <xf numFmtId="0" fontId="21" fillId="7" borderId="15" xfId="0" applyFont="1" applyFill="1" applyBorder="1" applyAlignment="1" applyProtection="1">
      <alignment vertical="center"/>
      <protection locked="0" hidden="1"/>
    </xf>
    <xf numFmtId="0" fontId="19" fillId="7" borderId="15" xfId="0" applyFont="1" applyFill="1" applyBorder="1" applyAlignment="1" applyProtection="1">
      <alignment vertical="center"/>
      <protection locked="0" hidden="1"/>
    </xf>
    <xf numFmtId="0" fontId="23" fillId="7" borderId="15" xfId="0" applyFont="1" applyFill="1" applyBorder="1" applyAlignment="1" applyProtection="1">
      <alignment vertical="center"/>
      <protection locked="0" hidden="1"/>
    </xf>
    <xf numFmtId="0" fontId="23" fillId="9" borderId="15" xfId="0" applyFont="1" applyFill="1" applyBorder="1" applyAlignment="1" applyProtection="1">
      <alignment horizontal="center"/>
      <protection locked="0" hidden="1"/>
    </xf>
    <xf numFmtId="165" fontId="4" fillId="9" borderId="16" xfId="0" applyNumberFormat="1" applyFont="1" applyFill="1" applyBorder="1" applyAlignment="1">
      <alignment horizontal="left" vertical="center"/>
    </xf>
    <xf numFmtId="165" fontId="4" fillId="9" borderId="17" xfId="0" applyNumberFormat="1" applyFont="1" applyFill="1" applyBorder="1"/>
    <xf numFmtId="165" fontId="4" fillId="9" borderId="17" xfId="0" applyNumberFormat="1" applyFont="1" applyFill="1" applyBorder="1" applyAlignment="1">
      <alignment horizontal="center" vertical="center"/>
    </xf>
    <xf numFmtId="165" fontId="4" fillId="9" borderId="17" xfId="0" applyNumberFormat="1" applyFont="1" applyFill="1" applyBorder="1" applyAlignment="1">
      <alignment horizontal="left" vertical="center"/>
    </xf>
    <xf numFmtId="165" fontId="4" fillId="9" borderId="22" xfId="0" applyNumberFormat="1" applyFont="1" applyFill="1" applyBorder="1" applyAlignment="1">
      <alignment horizontal="left" vertical="center"/>
    </xf>
    <xf numFmtId="165" fontId="4" fillId="9" borderId="22" xfId="0" applyNumberFormat="1" applyFont="1" applyFill="1" applyBorder="1"/>
    <xf numFmtId="165" fontId="18" fillId="9" borderId="22" xfId="0" applyNumberFormat="1" applyFont="1" applyFill="1" applyBorder="1" applyAlignment="1">
      <alignment horizontal="center" vertical="center"/>
    </xf>
    <xf numFmtId="0" fontId="19" fillId="9" borderId="15" xfId="0" applyFont="1" applyFill="1" applyBorder="1" applyAlignment="1" applyProtection="1">
      <alignment horizontal="center"/>
      <protection locked="0" hidden="1"/>
    </xf>
    <xf numFmtId="0" fontId="19" fillId="9" borderId="15" xfId="0" applyFont="1" applyFill="1" applyBorder="1" applyAlignment="1" applyProtection="1">
      <alignment horizontal="center" vertical="center"/>
      <protection locked="0" hidden="1"/>
    </xf>
    <xf numFmtId="0" fontId="3" fillId="9" borderId="17" xfId="0" applyFont="1" applyFill="1" applyBorder="1" applyAlignment="1" applyProtection="1">
      <alignment horizontal="center" vertical="center"/>
      <protection locked="0" hidden="1"/>
    </xf>
    <xf numFmtId="165" fontId="18" fillId="9" borderId="17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 applyProtection="1">
      <alignment horizontal="center" vertical="center"/>
      <protection locked="0" hidden="1"/>
    </xf>
    <xf numFmtId="165" fontId="4" fillId="9" borderId="19" xfId="0" applyNumberFormat="1" applyFont="1" applyFill="1" applyBorder="1" applyAlignment="1">
      <alignment horizontal="left" vertical="center"/>
    </xf>
    <xf numFmtId="165" fontId="4" fillId="9" borderId="19" xfId="0" applyNumberFormat="1" applyFont="1" applyFill="1" applyBorder="1"/>
    <xf numFmtId="165" fontId="18" fillId="9" borderId="19" xfId="0" applyNumberFormat="1" applyFont="1" applyFill="1" applyBorder="1" applyAlignment="1">
      <alignment horizontal="center" vertical="center"/>
    </xf>
    <xf numFmtId="0" fontId="3" fillId="10" borderId="16" xfId="0" applyFont="1" applyFill="1" applyBorder="1" applyAlignment="1" applyProtection="1">
      <alignment horizontal="center" vertical="center"/>
      <protection locked="0" hidden="1"/>
    </xf>
    <xf numFmtId="165" fontId="4" fillId="10" borderId="16" xfId="0" applyNumberFormat="1" applyFont="1" applyFill="1" applyBorder="1" applyAlignment="1">
      <alignment horizontal="left" vertical="center"/>
    </xf>
    <xf numFmtId="165" fontId="4" fillId="10" borderId="17" xfId="0" applyNumberFormat="1" applyFont="1" applyFill="1" applyBorder="1"/>
    <xf numFmtId="165" fontId="4" fillId="10" borderId="17" xfId="0" applyNumberFormat="1" applyFont="1" applyFill="1" applyBorder="1" applyAlignment="1">
      <alignment horizontal="center" vertical="center"/>
    </xf>
    <xf numFmtId="165" fontId="4" fillId="10" borderId="17" xfId="0" applyNumberFormat="1" applyFont="1" applyFill="1" applyBorder="1" applyAlignment="1">
      <alignment horizontal="left" vertical="center"/>
    </xf>
    <xf numFmtId="0" fontId="3" fillId="10" borderId="17" xfId="0" applyFont="1" applyFill="1" applyBorder="1" applyAlignment="1" applyProtection="1">
      <alignment horizontal="center" vertical="center"/>
      <protection locked="0" hidden="1"/>
    </xf>
    <xf numFmtId="0" fontId="3" fillId="10" borderId="19" xfId="0" applyFont="1" applyFill="1" applyBorder="1" applyAlignment="1" applyProtection="1">
      <alignment horizontal="center" vertical="center"/>
      <protection locked="0" hidden="1"/>
    </xf>
    <xf numFmtId="0" fontId="3" fillId="2" borderId="0" xfId="0" applyFont="1" applyFill="1" applyAlignment="1" applyProtection="1">
      <alignment horizontal="center" vertical="center"/>
      <protection locked="0" hidden="1"/>
    </xf>
    <xf numFmtId="165" fontId="23" fillId="2" borderId="0" xfId="0" applyNumberFormat="1" applyFont="1" applyFill="1" applyAlignment="1">
      <alignment horizontal="left" vertical="center"/>
    </xf>
    <xf numFmtId="165" fontId="23" fillId="2" borderId="0" xfId="0" applyNumberFormat="1" applyFont="1" applyFill="1"/>
    <xf numFmtId="165" fontId="23" fillId="2" borderId="0" xfId="0" applyNumberFormat="1" applyFont="1" applyFill="1" applyAlignment="1">
      <alignment horizontal="center" vertical="center"/>
    </xf>
    <xf numFmtId="165" fontId="2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11" borderId="0" xfId="0" applyFill="1" applyProtection="1">
      <protection locked="0" hidden="1"/>
    </xf>
    <xf numFmtId="165" fontId="4" fillId="5" borderId="16" xfId="0" applyNumberFormat="1" applyFont="1" applyFill="1" applyBorder="1" applyAlignment="1">
      <alignment shrinkToFit="1"/>
    </xf>
    <xf numFmtId="165" fontId="4" fillId="5" borderId="17" xfId="0" applyNumberFormat="1" applyFont="1" applyFill="1" applyBorder="1" applyAlignment="1">
      <alignment shrinkToFit="1"/>
    </xf>
    <xf numFmtId="165" fontId="24" fillId="0" borderId="16" xfId="0" applyNumberFormat="1" applyFont="1" applyBorder="1" applyAlignment="1">
      <alignment horizontal="center" vertical="center"/>
    </xf>
    <xf numFmtId="165" fontId="24" fillId="0" borderId="17" xfId="0" applyNumberFormat="1" applyFont="1" applyBorder="1" applyAlignment="1">
      <alignment horizontal="center" vertical="center"/>
    </xf>
    <xf numFmtId="165" fontId="4" fillId="5" borderId="19" xfId="0" applyNumberFormat="1" applyFont="1" applyFill="1" applyBorder="1" applyAlignment="1">
      <alignment shrinkToFit="1"/>
    </xf>
    <xf numFmtId="165" fontId="24" fillId="0" borderId="19" xfId="0" applyNumberFormat="1" applyFont="1" applyBorder="1" applyAlignment="1">
      <alignment horizontal="center" vertical="center"/>
    </xf>
    <xf numFmtId="165" fontId="11" fillId="6" borderId="16" xfId="0" applyNumberFormat="1" applyFont="1" applyFill="1" applyBorder="1" applyAlignment="1">
      <alignment shrinkToFit="1"/>
    </xf>
    <xf numFmtId="165" fontId="11" fillId="6" borderId="17" xfId="0" applyNumberFormat="1" applyFont="1" applyFill="1" applyBorder="1" applyAlignment="1">
      <alignment shrinkToFit="1"/>
    </xf>
    <xf numFmtId="165" fontId="11" fillId="6" borderId="19" xfId="0" applyNumberFormat="1" applyFont="1" applyFill="1" applyBorder="1" applyAlignment="1">
      <alignment shrinkToFit="1"/>
    </xf>
    <xf numFmtId="165" fontId="4" fillId="7" borderId="16" xfId="0" applyNumberFormat="1" applyFont="1" applyFill="1" applyBorder="1" applyAlignment="1">
      <alignment shrinkToFit="1"/>
    </xf>
    <xf numFmtId="165" fontId="4" fillId="7" borderId="17" xfId="0" applyNumberFormat="1" applyFont="1" applyFill="1" applyBorder="1" applyAlignment="1">
      <alignment shrinkToFit="1"/>
    </xf>
    <xf numFmtId="0" fontId="6" fillId="7" borderId="23" xfId="0" applyFont="1" applyFill="1" applyBorder="1" applyAlignment="1" applyProtection="1">
      <alignment horizontal="center"/>
      <protection locked="0" hidden="1"/>
    </xf>
    <xf numFmtId="165" fontId="4" fillId="7" borderId="19" xfId="0" applyNumberFormat="1" applyFont="1" applyFill="1" applyBorder="1" applyAlignment="1">
      <alignment shrinkToFit="1"/>
    </xf>
    <xf numFmtId="165" fontId="4" fillId="5" borderId="16" xfId="0" applyNumberFormat="1" applyFont="1" applyFill="1" applyBorder="1" applyAlignment="1">
      <alignment horizontal="left" vertical="center" shrinkToFit="1"/>
    </xf>
    <xf numFmtId="165" fontId="4" fillId="5" borderId="17" xfId="0" applyNumberFormat="1" applyFont="1" applyFill="1" applyBorder="1" applyAlignment="1">
      <alignment horizontal="left" vertical="center" shrinkToFit="1"/>
    </xf>
    <xf numFmtId="0" fontId="4" fillId="5" borderId="17" xfId="0" applyFont="1" applyFill="1" applyBorder="1" applyAlignment="1">
      <alignment horizontal="left" vertical="center" shrinkToFit="1"/>
    </xf>
    <xf numFmtId="165" fontId="4" fillId="5" borderId="19" xfId="0" applyNumberFormat="1" applyFont="1" applyFill="1" applyBorder="1" applyAlignment="1">
      <alignment horizontal="left" vertical="center" shrinkToFit="1"/>
    </xf>
    <xf numFmtId="165" fontId="4" fillId="8" borderId="16" xfId="0" applyNumberFormat="1" applyFont="1" applyFill="1" applyBorder="1" applyAlignment="1">
      <alignment horizontal="left" vertical="center" shrinkToFit="1"/>
    </xf>
    <xf numFmtId="165" fontId="4" fillId="8" borderId="17" xfId="0" applyNumberFormat="1" applyFont="1" applyFill="1" applyBorder="1" applyAlignment="1">
      <alignment horizontal="left" vertical="center" shrinkToFit="1"/>
    </xf>
    <xf numFmtId="165" fontId="4" fillId="9" borderId="16" xfId="0" applyNumberFormat="1" applyFont="1" applyFill="1" applyBorder="1" applyAlignment="1">
      <alignment horizontal="left" vertical="center" shrinkToFit="1"/>
    </xf>
    <xf numFmtId="165" fontId="4" fillId="9" borderId="17" xfId="0" applyNumberFormat="1" applyFont="1" applyFill="1" applyBorder="1" applyAlignment="1">
      <alignment horizontal="left" vertical="center" shrinkToFit="1"/>
    </xf>
    <xf numFmtId="165" fontId="4" fillId="9" borderId="22" xfId="0" applyNumberFormat="1" applyFont="1" applyFill="1" applyBorder="1" applyAlignment="1">
      <alignment horizontal="left" vertical="center" shrinkToFit="1"/>
    </xf>
    <xf numFmtId="165" fontId="4" fillId="9" borderId="19" xfId="0" applyNumberFormat="1" applyFont="1" applyFill="1" applyBorder="1" applyAlignment="1">
      <alignment horizontal="left" vertical="center" shrinkToFit="1"/>
    </xf>
    <xf numFmtId="0" fontId="0" fillId="0" borderId="0" xfId="0" applyProtection="1">
      <protection locked="0" hidden="1"/>
    </xf>
    <xf numFmtId="0" fontId="27" fillId="0" borderId="24" xfId="0" applyFont="1" applyBorder="1"/>
    <xf numFmtId="0" fontId="27" fillId="0" borderId="1" xfId="0" applyFont="1" applyBorder="1"/>
    <xf numFmtId="0" fontId="28" fillId="5" borderId="24" xfId="0" applyFont="1" applyFill="1" applyBorder="1" applyAlignment="1">
      <alignment vertical="center"/>
    </xf>
    <xf numFmtId="0" fontId="28" fillId="5" borderId="1" xfId="0" applyFont="1" applyFill="1" applyBorder="1" applyAlignment="1">
      <alignment vertical="center"/>
    </xf>
    <xf numFmtId="0" fontId="28" fillId="5" borderId="1" xfId="0" applyFont="1" applyFill="1" applyBorder="1" applyAlignment="1" applyProtection="1">
      <alignment vertical="center"/>
      <protection hidden="1"/>
    </xf>
    <xf numFmtId="0" fontId="27" fillId="0" borderId="0" xfId="0" applyFont="1"/>
    <xf numFmtId="0" fontId="27" fillId="0" borderId="25" xfId="0" applyFont="1" applyBorder="1"/>
    <xf numFmtId="0" fontId="28" fillId="5" borderId="25" xfId="0" applyFont="1" applyFill="1" applyBorder="1" applyAlignment="1">
      <alignment vertical="center"/>
    </xf>
    <xf numFmtId="0" fontId="28" fillId="5" borderId="0" xfId="0" applyFont="1" applyFill="1" applyAlignment="1">
      <alignment vertical="center"/>
    </xf>
    <xf numFmtId="0" fontId="28" fillId="5" borderId="0" xfId="0" applyFont="1" applyFill="1" applyAlignment="1" applyProtection="1">
      <alignment vertical="center"/>
      <protection hidden="1"/>
    </xf>
    <xf numFmtId="0" fontId="28" fillId="5" borderId="4" xfId="0" applyFont="1" applyFill="1" applyBorder="1" applyAlignment="1" applyProtection="1">
      <alignment vertical="center"/>
      <protection hidden="1"/>
    </xf>
    <xf numFmtId="0" fontId="29" fillId="0" borderId="0" xfId="0" applyFont="1"/>
    <xf numFmtId="0" fontId="27" fillId="5" borderId="25" xfId="0" applyFont="1" applyFill="1" applyBorder="1"/>
    <xf numFmtId="0" fontId="27" fillId="5" borderId="0" xfId="0" applyFont="1" applyFill="1"/>
    <xf numFmtId="0" fontId="27" fillId="0" borderId="0" xfId="0" applyFont="1" applyAlignment="1" applyProtection="1">
      <alignment horizontal="left"/>
      <protection hidden="1"/>
    </xf>
    <xf numFmtId="0" fontId="4" fillId="0" borderId="22" xfId="0" applyFont="1" applyBorder="1"/>
    <xf numFmtId="0" fontId="18" fillId="0" borderId="2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166" fontId="18" fillId="0" borderId="26" xfId="0" applyNumberFormat="1" applyFont="1" applyBorder="1" applyAlignment="1">
      <alignment horizontal="center" vertical="center"/>
    </xf>
    <xf numFmtId="0" fontId="27" fillId="5" borderId="3" xfId="0" applyFont="1" applyFill="1" applyBorder="1"/>
    <xf numFmtId="0" fontId="27" fillId="0" borderId="0" xfId="0" applyFont="1" applyProtection="1">
      <protection hidden="1"/>
    </xf>
    <xf numFmtId="0" fontId="33" fillId="0" borderId="0" xfId="0" applyFont="1" applyAlignment="1" applyProtection="1">
      <alignment horizontal="left" vertical="center"/>
      <protection hidden="1"/>
    </xf>
    <xf numFmtId="0" fontId="3" fillId="0" borderId="22" xfId="0" applyFont="1" applyBorder="1" applyAlignment="1">
      <alignment horizontal="center"/>
    </xf>
    <xf numFmtId="0" fontId="27" fillId="0" borderId="0" xfId="0" applyFont="1" applyAlignment="1" applyProtection="1">
      <alignment horizontal="left" vertical="center"/>
      <protection hidden="1"/>
    </xf>
    <xf numFmtId="0" fontId="3" fillId="0" borderId="28" xfId="0" applyFont="1" applyBorder="1" applyAlignment="1">
      <alignment horizontal="center"/>
    </xf>
    <xf numFmtId="0" fontId="34" fillId="0" borderId="0" xfId="0" applyFont="1" applyAlignment="1" applyProtection="1">
      <alignment horizontal="center"/>
      <protection hidden="1"/>
    </xf>
    <xf numFmtId="0" fontId="3" fillId="0" borderId="26" xfId="0" applyFont="1" applyBorder="1" applyAlignment="1">
      <alignment horizontal="center"/>
    </xf>
    <xf numFmtId="0" fontId="35" fillId="0" borderId="0" xfId="0" applyFont="1" applyAlignment="1" applyProtection="1">
      <alignment horizontal="left" vertical="center"/>
      <protection hidden="1"/>
    </xf>
    <xf numFmtId="0" fontId="33" fillId="0" borderId="0" xfId="0" applyFont="1" applyAlignment="1" applyProtection="1">
      <alignment horizontal="left"/>
      <protection hidden="1"/>
    </xf>
    <xf numFmtId="0" fontId="27" fillId="2" borderId="25" xfId="0" applyFont="1" applyFill="1" applyBorder="1"/>
    <xf numFmtId="0" fontId="27" fillId="2" borderId="3" xfId="0" applyFont="1" applyFill="1" applyBorder="1"/>
    <xf numFmtId="0" fontId="27" fillId="2" borderId="0" xfId="0" applyFont="1" applyFill="1" applyAlignment="1" applyProtection="1">
      <alignment horizontal="left"/>
      <protection hidden="1"/>
    </xf>
    <xf numFmtId="0" fontId="26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36" fillId="2" borderId="3" xfId="0" applyFont="1" applyFill="1" applyBorder="1" applyAlignment="1">
      <alignment horizontal="center"/>
    </xf>
    <xf numFmtId="0" fontId="27" fillId="5" borderId="24" xfId="0" applyFont="1" applyFill="1" applyBorder="1"/>
    <xf numFmtId="0" fontId="27" fillId="5" borderId="1" xfId="0" applyFont="1" applyFill="1" applyBorder="1"/>
    <xf numFmtId="0" fontId="27" fillId="5" borderId="1" xfId="0" applyFont="1" applyFill="1" applyBorder="1" applyAlignment="1" applyProtection="1">
      <alignment horizontal="left"/>
      <protection hidden="1"/>
    </xf>
    <xf numFmtId="167" fontId="37" fillId="5" borderId="0" xfId="0" applyNumberFormat="1" applyFont="1" applyFill="1"/>
    <xf numFmtId="167" fontId="38" fillId="5" borderId="0" xfId="0" applyNumberFormat="1" applyFont="1" applyFill="1" applyAlignment="1" applyProtection="1">
      <alignment horizontal="left"/>
      <protection hidden="1"/>
    </xf>
    <xf numFmtId="0" fontId="27" fillId="5" borderId="0" xfId="0" applyFont="1" applyFill="1" applyAlignment="1" applyProtection="1">
      <alignment horizontal="left"/>
      <protection hidden="1"/>
    </xf>
    <xf numFmtId="0" fontId="15" fillId="0" borderId="28" xfId="0" applyFont="1" applyBorder="1"/>
    <xf numFmtId="0" fontId="18" fillId="0" borderId="28" xfId="0" applyFont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hidden="1"/>
    </xf>
    <xf numFmtId="0" fontId="2" fillId="2" borderId="0" xfId="0" applyFont="1" applyFill="1"/>
    <xf numFmtId="0" fontId="27" fillId="2" borderId="0" xfId="0" applyFont="1" applyFill="1"/>
    <xf numFmtId="0" fontId="27" fillId="0" borderId="1" xfId="0" applyFont="1" applyBorder="1" applyAlignment="1" applyProtection="1">
      <alignment horizontal="left"/>
      <protection hidden="1"/>
    </xf>
    <xf numFmtId="167" fontId="38" fillId="0" borderId="0" xfId="0" applyNumberFormat="1" applyFont="1" applyAlignment="1" applyProtection="1">
      <alignment horizontal="left"/>
      <protection hidden="1"/>
    </xf>
    <xf numFmtId="0" fontId="4" fillId="0" borderId="28" xfId="0" applyFont="1" applyBorder="1"/>
    <xf numFmtId="0" fontId="3" fillId="0" borderId="0" xfId="0" applyFont="1" applyAlignment="1">
      <alignment horizontal="center"/>
    </xf>
    <xf numFmtId="0" fontId="39" fillId="0" borderId="28" xfId="0" applyFont="1" applyBorder="1"/>
    <xf numFmtId="0" fontId="40" fillId="0" borderId="28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166" fontId="40" fillId="0" borderId="26" xfId="0" applyNumberFormat="1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2" fillId="0" borderId="0" xfId="0" applyFont="1"/>
    <xf numFmtId="0" fontId="16" fillId="3" borderId="35" xfId="0" applyFont="1" applyFill="1" applyBorder="1" applyAlignment="1" applyProtection="1">
      <alignment horizontal="center" vertical="center"/>
      <protection hidden="1"/>
    </xf>
    <xf numFmtId="0" fontId="16" fillId="3" borderId="35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 applyProtection="1">
      <alignment horizontal="center" vertical="center"/>
      <protection hidden="1"/>
    </xf>
    <xf numFmtId="0" fontId="16" fillId="3" borderId="28" xfId="0" applyFont="1" applyFill="1" applyBorder="1" applyAlignment="1" applyProtection="1">
      <alignment horizontal="center" vertical="center"/>
      <protection hidden="1"/>
    </xf>
    <xf numFmtId="0" fontId="16" fillId="3" borderId="28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 applyProtection="1">
      <alignment horizontal="center" vertical="center"/>
      <protection hidden="1"/>
    </xf>
    <xf numFmtId="165" fontId="2" fillId="0" borderId="17" xfId="0" applyNumberFormat="1" applyFont="1" applyBorder="1" applyAlignment="1" applyProtection="1">
      <alignment horizontal="left" vertical="center"/>
      <protection locked="0"/>
    </xf>
    <xf numFmtId="165" fontId="4" fillId="0" borderId="39" xfId="0" applyNumberFormat="1" applyFont="1" applyBorder="1"/>
    <xf numFmtId="165" fontId="4" fillId="0" borderId="26" xfId="0" applyNumberFormat="1" applyFont="1" applyBorder="1" applyProtection="1">
      <protection hidden="1"/>
    </xf>
    <xf numFmtId="165" fontId="4" fillId="0" borderId="26" xfId="0" applyNumberFormat="1" applyFont="1" applyBorder="1" applyAlignment="1">
      <alignment horizontal="left" indent="1"/>
    </xf>
    <xf numFmtId="165" fontId="4" fillId="0" borderId="26" xfId="0" applyNumberFormat="1" applyFont="1" applyBorder="1" applyAlignment="1" applyProtection="1">
      <alignment horizontal="left" indent="1"/>
      <protection hidden="1"/>
    </xf>
    <xf numFmtId="165" fontId="4" fillId="0" borderId="17" xfId="0" applyNumberFormat="1" applyFont="1" applyBorder="1"/>
    <xf numFmtId="165" fontId="4" fillId="0" borderId="17" xfId="0" applyNumberFormat="1" applyFont="1" applyBorder="1" applyProtection="1">
      <protection hidden="1"/>
    </xf>
    <xf numFmtId="165" fontId="4" fillId="0" borderId="17" xfId="0" applyNumberFormat="1" applyFont="1" applyBorder="1" applyAlignment="1">
      <alignment horizontal="left" indent="1"/>
    </xf>
    <xf numFmtId="165" fontId="4" fillId="0" borderId="17" xfId="0" applyNumberFormat="1" applyFont="1" applyBorder="1" applyAlignment="1" applyProtection="1">
      <alignment horizontal="left" indent="1"/>
      <protection hidden="1"/>
    </xf>
    <xf numFmtId="165" fontId="8" fillId="0" borderId="26" xfId="0" applyNumberFormat="1" applyFont="1" applyBorder="1" applyAlignment="1">
      <alignment horizontal="center" vertical="center"/>
    </xf>
    <xf numFmtId="165" fontId="4" fillId="0" borderId="40" xfId="0" applyNumberFormat="1" applyFont="1" applyBorder="1" applyAlignment="1">
      <alignment horizontal="center" vertical="center" shrinkToFit="1"/>
    </xf>
    <xf numFmtId="165" fontId="4" fillId="0" borderId="41" xfId="0" applyNumberFormat="1" applyFont="1" applyBorder="1" applyAlignment="1">
      <alignment horizontal="center" vertical="center"/>
    </xf>
    <xf numFmtId="0" fontId="45" fillId="0" borderId="0" xfId="0" applyFont="1"/>
    <xf numFmtId="0" fontId="45" fillId="0" borderId="0" xfId="0" applyFont="1" applyProtection="1">
      <protection hidden="1"/>
    </xf>
    <xf numFmtId="165" fontId="4" fillId="0" borderId="42" xfId="0" applyNumberFormat="1" applyFont="1" applyBorder="1" applyAlignment="1">
      <alignment horizontal="center" vertical="center" shrinkToFit="1"/>
    </xf>
    <xf numFmtId="0" fontId="0" fillId="10" borderId="0" xfId="0" applyFill="1" applyProtection="1">
      <protection hidden="1"/>
    </xf>
    <xf numFmtId="0" fontId="0" fillId="12" borderId="0" xfId="0" applyFill="1" applyProtection="1">
      <protection hidden="1"/>
    </xf>
    <xf numFmtId="0" fontId="0" fillId="13" borderId="0" xfId="0" applyFill="1" applyProtection="1">
      <protection hidden="1"/>
    </xf>
    <xf numFmtId="0" fontId="0" fillId="14" borderId="0" xfId="0" applyFill="1" applyProtection="1">
      <protection hidden="1"/>
    </xf>
    <xf numFmtId="165" fontId="4" fillId="0" borderId="17" xfId="0" applyNumberFormat="1" applyFont="1" applyBorder="1" applyAlignment="1">
      <alignment horizontal="center"/>
    </xf>
    <xf numFmtId="165" fontId="4" fillId="0" borderId="17" xfId="0" applyNumberFormat="1" applyFont="1" applyBorder="1" applyAlignment="1" applyProtection="1">
      <alignment horizontal="center"/>
      <protection hidden="1"/>
    </xf>
    <xf numFmtId="165" fontId="4" fillId="0" borderId="22" xfId="0" applyNumberFormat="1" applyFont="1" applyBorder="1"/>
    <xf numFmtId="165" fontId="4" fillId="0" borderId="22" xfId="0" applyNumberFormat="1" applyFont="1" applyBorder="1" applyProtection="1">
      <protection hidden="1"/>
    </xf>
    <xf numFmtId="165" fontId="4" fillId="0" borderId="22" xfId="0" applyNumberFormat="1" applyFont="1" applyBorder="1" applyAlignment="1">
      <alignment horizontal="center"/>
    </xf>
    <xf numFmtId="165" fontId="4" fillId="0" borderId="22" xfId="0" applyNumberFormat="1" applyFont="1" applyBorder="1" applyAlignment="1" applyProtection="1">
      <alignment horizontal="center"/>
      <protection hidden="1"/>
    </xf>
    <xf numFmtId="165" fontId="8" fillId="0" borderId="22" xfId="0" applyNumberFormat="1" applyFont="1" applyBorder="1" applyAlignment="1">
      <alignment horizontal="center" vertical="center"/>
    </xf>
    <xf numFmtId="165" fontId="4" fillId="0" borderId="43" xfId="0" applyNumberFormat="1" applyFont="1" applyBorder="1" applyAlignment="1">
      <alignment horizontal="center" vertical="center" shrinkToFit="1"/>
    </xf>
    <xf numFmtId="165" fontId="4" fillId="0" borderId="44" xfId="0" applyNumberFormat="1" applyFont="1" applyBorder="1" applyAlignment="1">
      <alignment horizontal="center" vertical="center"/>
    </xf>
    <xf numFmtId="0" fontId="4" fillId="0" borderId="39" xfId="0" applyFont="1" applyBorder="1"/>
    <xf numFmtId="0" fontId="4" fillId="0" borderId="26" xfId="0" applyFont="1" applyBorder="1" applyProtection="1">
      <protection hidden="1"/>
    </xf>
    <xf numFmtId="0" fontId="4" fillId="0" borderId="26" xfId="0" applyFont="1" applyBorder="1" applyAlignment="1">
      <alignment horizontal="left" indent="1"/>
    </xf>
    <xf numFmtId="0" fontId="4" fillId="0" borderId="26" xfId="0" applyFont="1" applyBorder="1" applyAlignment="1" applyProtection="1">
      <alignment horizontal="left" indent="1"/>
      <protection hidden="1"/>
    </xf>
    <xf numFmtId="0" fontId="4" fillId="0" borderId="17" xfId="0" applyFont="1" applyBorder="1"/>
    <xf numFmtId="0" fontId="4" fillId="0" borderId="17" xfId="0" applyFont="1" applyBorder="1" applyProtection="1">
      <protection hidden="1"/>
    </xf>
    <xf numFmtId="0" fontId="4" fillId="0" borderId="17" xfId="0" applyFont="1" applyBorder="1" applyAlignment="1">
      <alignment horizontal="left" indent="1"/>
    </xf>
    <xf numFmtId="0" fontId="4" fillId="0" borderId="17" xfId="0" applyFont="1" applyBorder="1" applyAlignment="1" applyProtection="1">
      <alignment horizontal="left" indent="1"/>
      <protection hidden="1"/>
    </xf>
    <xf numFmtId="0" fontId="4" fillId="0" borderId="42" xfId="0" applyFont="1" applyBorder="1" applyProtection="1">
      <protection hidden="1"/>
    </xf>
    <xf numFmtId="0" fontId="4" fillId="0" borderId="42" xfId="0" applyFont="1" applyBorder="1" applyAlignment="1">
      <alignment horizontal="left" indent="1"/>
    </xf>
    <xf numFmtId="0" fontId="4" fillId="0" borderId="42" xfId="0" applyFont="1" applyBorder="1" applyAlignment="1" applyProtection="1">
      <alignment horizontal="left" indent="1"/>
      <protection hidden="1"/>
    </xf>
    <xf numFmtId="0" fontId="4" fillId="0" borderId="43" xfId="0" applyFont="1" applyBorder="1" applyProtection="1">
      <protection hidden="1"/>
    </xf>
    <xf numFmtId="0" fontId="4" fillId="0" borderId="43" xfId="0" applyFont="1" applyBorder="1" applyAlignment="1">
      <alignment horizontal="left" indent="1"/>
    </xf>
    <xf numFmtId="0" fontId="4" fillId="0" borderId="43" xfId="0" applyFont="1" applyBorder="1" applyAlignment="1" applyProtection="1">
      <alignment horizontal="left" indent="1"/>
      <protection hidden="1"/>
    </xf>
    <xf numFmtId="0" fontId="4" fillId="0" borderId="40" xfId="0" applyFont="1" applyBorder="1" applyProtection="1">
      <protection hidden="1"/>
    </xf>
    <xf numFmtId="0" fontId="4" fillId="0" borderId="40" xfId="0" applyFont="1" applyBorder="1" applyAlignment="1">
      <alignment horizontal="left" indent="1"/>
    </xf>
    <xf numFmtId="0" fontId="4" fillId="0" borderId="40" xfId="0" applyFont="1" applyBorder="1" applyAlignment="1" applyProtection="1">
      <alignment horizontal="left" indent="1"/>
      <protection hidden="1"/>
    </xf>
    <xf numFmtId="0" fontId="4" fillId="0" borderId="19" xfId="0" applyFont="1" applyBorder="1"/>
    <xf numFmtId="0" fontId="4" fillId="0" borderId="33" xfId="0" applyFont="1" applyBorder="1" applyProtection="1">
      <protection hidden="1"/>
    </xf>
    <xf numFmtId="0" fontId="4" fillId="0" borderId="33" xfId="0" applyFont="1" applyBorder="1" applyAlignment="1">
      <alignment horizontal="left" indent="1"/>
    </xf>
    <xf numFmtId="0" fontId="4" fillId="0" borderId="33" xfId="0" applyFont="1" applyBorder="1" applyAlignment="1" applyProtection="1">
      <alignment horizontal="left" indent="1"/>
      <protection hidden="1"/>
    </xf>
    <xf numFmtId="165" fontId="4" fillId="0" borderId="33" xfId="0" applyNumberFormat="1" applyFont="1" applyBorder="1" applyAlignment="1">
      <alignment horizontal="center" vertical="center" shrinkToFit="1"/>
    </xf>
    <xf numFmtId="165" fontId="4" fillId="0" borderId="4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 applyProtection="1">
      <alignment vertical="center"/>
      <protection hidden="1"/>
    </xf>
    <xf numFmtId="0" fontId="4" fillId="0" borderId="16" xfId="0" applyFont="1" applyBorder="1" applyAlignment="1">
      <alignment horizontal="left" vertical="center" indent="1"/>
    </xf>
    <xf numFmtId="0" fontId="4" fillId="0" borderId="16" xfId="0" applyFont="1" applyBorder="1" applyAlignment="1" applyProtection="1">
      <alignment horizontal="left" vertical="center" indent="1"/>
      <protection hidden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 applyProtection="1">
      <alignment vertical="center"/>
      <protection hidden="1"/>
    </xf>
    <xf numFmtId="0" fontId="4" fillId="0" borderId="17" xfId="0" applyFont="1" applyBorder="1" applyAlignment="1">
      <alignment horizontal="left" vertical="center" indent="1"/>
    </xf>
    <xf numFmtId="0" fontId="4" fillId="0" borderId="17" xfId="0" applyFont="1" applyBorder="1" applyAlignment="1" applyProtection="1">
      <alignment horizontal="left" vertical="center" indent="1"/>
      <protection hidden="1"/>
    </xf>
    <xf numFmtId="0" fontId="4" fillId="0" borderId="17" xfId="0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center" vertical="center"/>
    </xf>
    <xf numFmtId="165" fontId="4" fillId="0" borderId="4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 applyProtection="1">
      <alignment vertical="center"/>
      <protection hidden="1"/>
    </xf>
    <xf numFmtId="0" fontId="4" fillId="0" borderId="19" xfId="0" applyFont="1" applyBorder="1" applyAlignment="1">
      <alignment horizontal="left" vertical="center" indent="1"/>
    </xf>
    <xf numFmtId="0" fontId="4" fillId="0" borderId="19" xfId="0" applyFont="1" applyBorder="1" applyAlignment="1" applyProtection="1">
      <alignment horizontal="left" vertical="center" indent="1"/>
      <protection hidden="1"/>
    </xf>
    <xf numFmtId="0" fontId="4" fillId="0" borderId="19" xfId="0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2" fillId="0" borderId="0" xfId="0" applyFont="1" applyProtection="1">
      <protection hidden="1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hidden="1"/>
    </xf>
    <xf numFmtId="0" fontId="39" fillId="0" borderId="0" xfId="0" applyFont="1" applyAlignment="1">
      <alignment horizontal="center" vertical="center"/>
    </xf>
    <xf numFmtId="0" fontId="39" fillId="0" borderId="0" xfId="0" applyFont="1"/>
    <xf numFmtId="0" fontId="39" fillId="0" borderId="0" xfId="0" applyFont="1" applyProtection="1">
      <protection hidden="1"/>
    </xf>
    <xf numFmtId="0" fontId="39" fillId="0" borderId="0" xfId="0" applyFont="1" applyAlignment="1">
      <alignment horizontal="center"/>
    </xf>
    <xf numFmtId="0" fontId="39" fillId="0" borderId="0" xfId="0" applyFon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28" fillId="16" borderId="24" xfId="0" applyFont="1" applyFill="1" applyBorder="1" applyAlignment="1">
      <alignment vertical="center"/>
    </xf>
    <xf numFmtId="0" fontId="28" fillId="16" borderId="1" xfId="0" applyFont="1" applyFill="1" applyBorder="1" applyAlignment="1">
      <alignment vertical="center"/>
    </xf>
    <xf numFmtId="0" fontId="28" fillId="16" borderId="1" xfId="0" applyFont="1" applyFill="1" applyBorder="1" applyAlignment="1" applyProtection="1">
      <alignment vertical="center"/>
      <protection hidden="1"/>
    </xf>
    <xf numFmtId="0" fontId="28" fillId="16" borderId="25" xfId="0" applyFont="1" applyFill="1" applyBorder="1" applyAlignment="1">
      <alignment vertical="center"/>
    </xf>
    <xf numFmtId="0" fontId="28" fillId="16" borderId="0" xfId="0" applyFont="1" applyFill="1" applyAlignment="1">
      <alignment vertical="center"/>
    </xf>
    <xf numFmtId="0" fontId="28" fillId="16" borderId="0" xfId="0" applyFont="1" applyFill="1" applyAlignment="1" applyProtection="1">
      <alignment vertical="center"/>
      <protection hidden="1"/>
    </xf>
    <xf numFmtId="0" fontId="28" fillId="16" borderId="4" xfId="0" applyFont="1" applyFill="1" applyBorder="1" applyAlignment="1" applyProtection="1">
      <alignment vertical="center"/>
      <protection hidden="1"/>
    </xf>
    <xf numFmtId="0" fontId="27" fillId="16" borderId="25" xfId="0" applyFont="1" applyFill="1" applyBorder="1"/>
    <xf numFmtId="0" fontId="27" fillId="16" borderId="0" xfId="0" applyFont="1" applyFill="1"/>
    <xf numFmtId="0" fontId="4" fillId="0" borderId="48" xfId="0" applyFont="1" applyBorder="1"/>
    <xf numFmtId="0" fontId="27" fillId="16" borderId="3" xfId="0" applyFont="1" applyFill="1" applyBorder="1"/>
    <xf numFmtId="165" fontId="3" fillId="0" borderId="22" xfId="0" applyNumberFormat="1" applyFont="1" applyBorder="1" applyAlignment="1">
      <alignment horizontal="center"/>
    </xf>
    <xf numFmtId="165" fontId="3" fillId="0" borderId="28" xfId="0" applyNumberFormat="1" applyFont="1" applyBorder="1" applyAlignment="1">
      <alignment horizontal="center"/>
    </xf>
    <xf numFmtId="165" fontId="3" fillId="0" borderId="26" xfId="0" applyNumberFormat="1" applyFont="1" applyBorder="1" applyAlignment="1">
      <alignment horizontal="center"/>
    </xf>
    <xf numFmtId="0" fontId="27" fillId="2" borderId="51" xfId="0" applyFont="1" applyFill="1" applyBorder="1"/>
    <xf numFmtId="0" fontId="27" fillId="2" borderId="21" xfId="0" applyFont="1" applyFill="1" applyBorder="1"/>
    <xf numFmtId="0" fontId="27" fillId="2" borderId="52" xfId="0" applyFont="1" applyFill="1" applyBorder="1" applyAlignment="1" applyProtection="1">
      <alignment horizontal="left"/>
      <protection hidden="1"/>
    </xf>
    <xf numFmtId="0" fontId="26" fillId="2" borderId="52" xfId="0" applyFont="1" applyFill="1" applyBorder="1" applyAlignment="1">
      <alignment horizontal="center" vertical="center"/>
    </xf>
    <xf numFmtId="0" fontId="36" fillId="2" borderId="52" xfId="0" applyFont="1" applyFill="1" applyBorder="1" applyAlignment="1">
      <alignment horizontal="center"/>
    </xf>
    <xf numFmtId="0" fontId="36" fillId="2" borderId="53" xfId="0" applyFont="1" applyFill="1" applyBorder="1" applyAlignment="1">
      <alignment horizontal="center"/>
    </xf>
    <xf numFmtId="167" fontId="37" fillId="16" borderId="0" xfId="0" applyNumberFormat="1" applyFont="1" applyFill="1"/>
    <xf numFmtId="0" fontId="2" fillId="2" borderId="52" xfId="0" applyFont="1" applyFill="1" applyBorder="1"/>
    <xf numFmtId="0" fontId="27" fillId="2" borderId="52" xfId="0" applyFont="1" applyFill="1" applyBorder="1"/>
    <xf numFmtId="0" fontId="27" fillId="2" borderId="53" xfId="0" applyFont="1" applyFill="1" applyBorder="1"/>
    <xf numFmtId="0" fontId="27" fillId="0" borderId="52" xfId="0" applyFont="1" applyBorder="1" applyAlignment="1" applyProtection="1">
      <alignment horizontal="left"/>
      <protection hidden="1"/>
    </xf>
    <xf numFmtId="0" fontId="48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40" xfId="0" applyFont="1" applyBorder="1" applyAlignment="1">
      <alignment horizontal="center" vertical="center"/>
    </xf>
    <xf numFmtId="0" fontId="4" fillId="0" borderId="39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8" fillId="0" borderId="2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 applyProtection="1">
      <alignment horizontal="center" vertical="center"/>
      <protection hidden="1"/>
    </xf>
    <xf numFmtId="0" fontId="4" fillId="0" borderId="22" xfId="0" applyFont="1" applyBorder="1" applyProtection="1">
      <protection hidden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 applyProtection="1">
      <alignment horizontal="center" vertical="center"/>
      <protection hidden="1"/>
    </xf>
    <xf numFmtId="0" fontId="8" fillId="0" borderId="2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shrinkToFit="1"/>
    </xf>
    <xf numFmtId="0" fontId="4" fillId="0" borderId="44" xfId="0" applyFont="1" applyBorder="1" applyAlignment="1">
      <alignment horizontal="center" vertical="center"/>
    </xf>
    <xf numFmtId="0" fontId="15" fillId="0" borderId="22" xfId="0" applyFont="1" applyBorder="1"/>
    <xf numFmtId="0" fontId="15" fillId="0" borderId="22" xfId="0" applyFont="1" applyBorder="1" applyProtection="1">
      <protection hidden="1"/>
    </xf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4" fillId="0" borderId="19" xfId="0" applyFont="1" applyBorder="1" applyAlignment="1" applyProtection="1">
      <alignment horizontal="center" vertical="center"/>
      <protection hidden="1"/>
    </xf>
    <xf numFmtId="14" fontId="0" fillId="0" borderId="0" xfId="0" applyNumberFormat="1"/>
    <xf numFmtId="165" fontId="4" fillId="15" borderId="16" xfId="0" applyNumberFormat="1" applyFont="1" applyFill="1" applyBorder="1" applyAlignment="1">
      <alignment horizontal="center" vertical="center"/>
    </xf>
    <xf numFmtId="165" fontId="4" fillId="15" borderId="17" xfId="0" applyNumberFormat="1" applyFont="1" applyFill="1" applyBorder="1" applyAlignment="1">
      <alignment horizontal="center" vertical="center"/>
    </xf>
    <xf numFmtId="165" fontId="4" fillId="15" borderId="19" xfId="0" applyNumberFormat="1" applyFont="1" applyFill="1" applyBorder="1" applyAlignment="1">
      <alignment horizontal="center" vertical="center"/>
    </xf>
    <xf numFmtId="0" fontId="28" fillId="10" borderId="24" xfId="0" applyFont="1" applyFill="1" applyBorder="1" applyAlignment="1">
      <alignment vertical="center"/>
    </xf>
    <xf numFmtId="0" fontId="28" fillId="10" borderId="1" xfId="0" applyFont="1" applyFill="1" applyBorder="1" applyAlignment="1">
      <alignment vertical="center"/>
    </xf>
    <xf numFmtId="0" fontId="28" fillId="10" borderId="32" xfId="0" applyFont="1" applyFill="1" applyBorder="1" applyAlignment="1">
      <alignment vertical="center"/>
    </xf>
    <xf numFmtId="0" fontId="28" fillId="10" borderId="4" xfId="0" applyFont="1" applyFill="1" applyBorder="1" applyAlignment="1">
      <alignment vertical="center"/>
    </xf>
    <xf numFmtId="0" fontId="28" fillId="10" borderId="1" xfId="0" applyFont="1" applyFill="1" applyBorder="1" applyAlignment="1" applyProtection="1">
      <alignment vertical="center"/>
      <protection hidden="1"/>
    </xf>
    <xf numFmtId="0" fontId="49" fillId="0" borderId="1" xfId="0" applyFont="1" applyBorder="1" applyAlignment="1">
      <alignment vertical="center"/>
    </xf>
    <xf numFmtId="0" fontId="49" fillId="0" borderId="1" xfId="0" applyFont="1" applyBorder="1" applyAlignment="1" applyProtection="1">
      <alignment vertical="center"/>
      <protection hidden="1"/>
    </xf>
    <xf numFmtId="0" fontId="27" fillId="0" borderId="2" xfId="0" applyFont="1" applyBorder="1"/>
    <xf numFmtId="0" fontId="27" fillId="0" borderId="33" xfId="0" applyFont="1" applyBorder="1"/>
    <xf numFmtId="0" fontId="27" fillId="0" borderId="54" xfId="0" applyFont="1" applyBorder="1"/>
    <xf numFmtId="0" fontId="27" fillId="0" borderId="55" xfId="0" applyFont="1" applyBorder="1" applyAlignment="1" applyProtection="1">
      <alignment horizontal="left"/>
      <protection hidden="1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27" fillId="2" borderId="57" xfId="0" applyFont="1" applyFill="1" applyBorder="1" applyAlignment="1">
      <alignment vertical="center"/>
    </xf>
    <xf numFmtId="0" fontId="27" fillId="0" borderId="58" xfId="0" applyFont="1" applyBorder="1" applyAlignment="1" applyProtection="1">
      <alignment horizontal="left"/>
      <protection hidden="1"/>
    </xf>
    <xf numFmtId="165" fontId="3" fillId="0" borderId="58" xfId="0" applyNumberFormat="1" applyFont="1" applyBorder="1" applyAlignment="1">
      <alignment horizontal="center" vertical="center"/>
    </xf>
    <xf numFmtId="166" fontId="3" fillId="0" borderId="58" xfId="0" applyNumberFormat="1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165" fontId="3" fillId="0" borderId="60" xfId="0" applyNumberFormat="1" applyFont="1" applyBorder="1" applyAlignment="1">
      <alignment horizontal="center" vertical="center"/>
    </xf>
    <xf numFmtId="166" fontId="3" fillId="0" borderId="60" xfId="0" applyNumberFormat="1" applyFont="1" applyBorder="1" applyAlignment="1">
      <alignment horizontal="center" vertical="center"/>
    </xf>
    <xf numFmtId="165" fontId="3" fillId="0" borderId="61" xfId="0" applyNumberFormat="1" applyFont="1" applyBorder="1" applyAlignment="1">
      <alignment horizontal="center" vertical="center"/>
    </xf>
    <xf numFmtId="0" fontId="27" fillId="2" borderId="62" xfId="0" applyFont="1" applyFill="1" applyBorder="1" applyAlignment="1">
      <alignment vertical="center"/>
    </xf>
    <xf numFmtId="0" fontId="27" fillId="0" borderId="60" xfId="0" applyFont="1" applyBorder="1" applyAlignment="1" applyProtection="1">
      <alignment horizontal="left"/>
      <protection hidden="1"/>
    </xf>
    <xf numFmtId="0" fontId="27" fillId="2" borderId="63" xfId="0" applyFont="1" applyFill="1" applyBorder="1" applyAlignment="1">
      <alignment vertical="center"/>
    </xf>
    <xf numFmtId="0" fontId="27" fillId="0" borderId="64" xfId="0" applyFont="1" applyBorder="1" applyAlignment="1" applyProtection="1">
      <alignment horizontal="left"/>
      <protection hidden="1"/>
    </xf>
    <xf numFmtId="165" fontId="3" fillId="0" borderId="64" xfId="0" applyNumberFormat="1" applyFont="1" applyBorder="1" applyAlignment="1">
      <alignment horizontal="center" vertical="center"/>
    </xf>
    <xf numFmtId="166" fontId="3" fillId="0" borderId="64" xfId="0" applyNumberFormat="1" applyFont="1" applyBorder="1" applyAlignment="1">
      <alignment horizontal="center" vertical="center"/>
    </xf>
    <xf numFmtId="165" fontId="3" fillId="0" borderId="65" xfId="0" applyNumberFormat="1" applyFont="1" applyBorder="1" applyAlignment="1">
      <alignment horizontal="center" vertical="center"/>
    </xf>
    <xf numFmtId="0" fontId="27" fillId="0" borderId="3" xfId="0" applyFont="1" applyBorder="1"/>
    <xf numFmtId="0" fontId="4" fillId="0" borderId="55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9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vertical="center"/>
    </xf>
    <xf numFmtId="165" fontId="0" fillId="2" borderId="2" xfId="0" applyNumberFormat="1" applyFill="1" applyBorder="1" applyAlignment="1">
      <alignment vertical="center"/>
    </xf>
    <xf numFmtId="165" fontId="3" fillId="2" borderId="25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9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vertical="center"/>
    </xf>
    <xf numFmtId="165" fontId="0" fillId="2" borderId="3" xfId="0" applyNumberFormat="1" applyFill="1" applyBorder="1" applyAlignment="1">
      <alignment vertical="center"/>
    </xf>
    <xf numFmtId="0" fontId="27" fillId="0" borderId="32" xfId="0" applyFont="1" applyBorder="1"/>
    <xf numFmtId="0" fontId="27" fillId="0" borderId="4" xfId="0" applyFont="1" applyBorder="1"/>
    <xf numFmtId="165" fontId="3" fillId="2" borderId="32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9" fontId="3" fillId="2" borderId="4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vertical="center"/>
    </xf>
    <xf numFmtId="165" fontId="0" fillId="2" borderId="5" xfId="0" applyNumberFormat="1" applyFill="1" applyBorder="1" applyAlignment="1">
      <alignment vertical="center"/>
    </xf>
    <xf numFmtId="0" fontId="3" fillId="7" borderId="22" xfId="0" applyFont="1" applyFill="1" applyBorder="1" applyAlignment="1" applyProtection="1">
      <alignment horizontal="center" vertical="center"/>
      <protection locked="0" hidden="1"/>
    </xf>
    <xf numFmtId="165" fontId="4" fillId="7" borderId="22" xfId="0" applyNumberFormat="1" applyFont="1" applyFill="1" applyBorder="1"/>
    <xf numFmtId="165" fontId="4" fillId="7" borderId="22" xfId="0" applyNumberFormat="1" applyFont="1" applyFill="1" applyBorder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5" fillId="11" borderId="2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32" fillId="5" borderId="25" xfId="0" applyFont="1" applyFill="1" applyBorder="1" applyAlignment="1">
      <alignment horizontal="center" vertical="center" textRotation="90"/>
    </xf>
    <xf numFmtId="0" fontId="32" fillId="5" borderId="3" xfId="0" applyFont="1" applyFill="1" applyBorder="1" applyAlignment="1">
      <alignment horizontal="center" vertical="center" textRotation="90"/>
    </xf>
    <xf numFmtId="0" fontId="4" fillId="0" borderId="22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hidden="1"/>
    </xf>
    <xf numFmtId="0" fontId="30" fillId="2" borderId="29" xfId="0" applyFont="1" applyFill="1" applyBorder="1" applyAlignment="1">
      <alignment horizontal="center" vertical="center"/>
    </xf>
    <xf numFmtId="0" fontId="31" fillId="2" borderId="30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42" fillId="0" borderId="22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32" fillId="5" borderId="24" xfId="0" applyFont="1" applyFill="1" applyBorder="1" applyAlignment="1">
      <alignment horizontal="center" vertical="center" textRotation="90"/>
    </xf>
    <xf numFmtId="0" fontId="32" fillId="5" borderId="2" xfId="0" applyFont="1" applyFill="1" applyBorder="1" applyAlignment="1">
      <alignment horizontal="center" vertical="center" textRotation="90"/>
    </xf>
    <xf numFmtId="0" fontId="28" fillId="5" borderId="25" xfId="0" applyFont="1" applyFill="1" applyBorder="1"/>
    <xf numFmtId="0" fontId="28" fillId="5" borderId="3" xfId="0" applyFont="1" applyFill="1" applyBorder="1"/>
    <xf numFmtId="167" fontId="16" fillId="3" borderId="35" xfId="0" applyNumberFormat="1" applyFont="1" applyFill="1" applyBorder="1" applyAlignment="1">
      <alignment horizontal="center" vertical="center" wrapText="1"/>
    </xf>
    <xf numFmtId="167" fontId="15" fillId="3" borderId="36" xfId="0" applyNumberFormat="1" applyFont="1" applyFill="1" applyBorder="1" applyAlignment="1">
      <alignment horizontal="center" vertical="center" wrapText="1"/>
    </xf>
    <xf numFmtId="0" fontId="16" fillId="3" borderId="34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67" fontId="15" fillId="3" borderId="35" xfId="0" applyNumberFormat="1" applyFont="1" applyFill="1" applyBorder="1" applyAlignment="1">
      <alignment horizontal="center" vertical="center" wrapText="1"/>
    </xf>
    <xf numFmtId="168" fontId="16" fillId="3" borderId="28" xfId="0" applyNumberFormat="1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" fillId="10" borderId="24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47" fillId="12" borderId="24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center" vertical="center"/>
    </xf>
    <xf numFmtId="0" fontId="47" fillId="12" borderId="2" xfId="0" applyFont="1" applyFill="1" applyBorder="1" applyAlignment="1">
      <alignment horizontal="center" vertical="center"/>
    </xf>
    <xf numFmtId="0" fontId="47" fillId="12" borderId="32" xfId="0" applyFont="1" applyFill="1" applyBorder="1" applyAlignment="1">
      <alignment horizontal="center" vertical="center"/>
    </xf>
    <xf numFmtId="0" fontId="47" fillId="12" borderId="4" xfId="0" applyFont="1" applyFill="1" applyBorder="1" applyAlignment="1">
      <alignment horizontal="center" vertical="center"/>
    </xf>
    <xf numFmtId="0" fontId="47" fillId="12" borderId="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 wrapText="1"/>
    </xf>
    <xf numFmtId="165" fontId="4" fillId="0" borderId="22" xfId="0" applyNumberFormat="1" applyFont="1" applyBorder="1" applyAlignment="1">
      <alignment horizontal="left" vertical="center"/>
    </xf>
    <xf numFmtId="165" fontId="4" fillId="0" borderId="28" xfId="0" applyNumberFormat="1" applyFont="1" applyBorder="1" applyAlignment="1">
      <alignment horizontal="left" vertical="center"/>
    </xf>
    <xf numFmtId="165" fontId="4" fillId="0" borderId="26" xfId="0" applyNumberFormat="1" applyFont="1" applyBorder="1" applyAlignment="1">
      <alignment horizontal="left" vertical="center"/>
    </xf>
    <xf numFmtId="0" fontId="28" fillId="16" borderId="1" xfId="0" applyFont="1" applyFill="1" applyBorder="1" applyAlignment="1">
      <alignment horizontal="center" vertical="center"/>
    </xf>
    <xf numFmtId="0" fontId="30" fillId="17" borderId="27" xfId="0" applyFont="1" applyFill="1" applyBorder="1" applyAlignment="1">
      <alignment horizontal="center" vertical="center"/>
    </xf>
    <xf numFmtId="0" fontId="31" fillId="17" borderId="0" xfId="0" applyFont="1" applyFill="1" applyAlignment="1">
      <alignment horizontal="center" vertical="center"/>
    </xf>
    <xf numFmtId="0" fontId="31" fillId="17" borderId="3" xfId="0" applyFont="1" applyFill="1" applyBorder="1" applyAlignment="1">
      <alignment horizontal="center" vertical="center"/>
    </xf>
    <xf numFmtId="0" fontId="28" fillId="16" borderId="25" xfId="0" applyFont="1" applyFill="1" applyBorder="1" applyAlignment="1">
      <alignment horizontal="center" vertical="center" textRotation="90"/>
    </xf>
    <xf numFmtId="0" fontId="28" fillId="16" borderId="3" xfId="0" applyFont="1" applyFill="1" applyBorder="1" applyAlignment="1">
      <alignment horizontal="center" vertical="center" textRotation="90"/>
    </xf>
    <xf numFmtId="165" fontId="30" fillId="17" borderId="49" xfId="0" applyNumberFormat="1" applyFont="1" applyFill="1" applyBorder="1" applyAlignment="1">
      <alignment horizontal="center" vertical="center"/>
    </xf>
    <xf numFmtId="165" fontId="31" fillId="17" borderId="20" xfId="0" applyNumberFormat="1" applyFont="1" applyFill="1" applyBorder="1" applyAlignment="1">
      <alignment horizontal="center" vertical="center"/>
    </xf>
    <xf numFmtId="165" fontId="31" fillId="17" borderId="50" xfId="0" applyNumberFormat="1" applyFont="1" applyFill="1" applyBorder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28" fillId="16" borderId="3" xfId="0" applyFont="1" applyFill="1" applyBorder="1" applyAlignment="1">
      <alignment horizontal="center" vertical="center"/>
    </xf>
    <xf numFmtId="0" fontId="28" fillId="16" borderId="4" xfId="0" applyFont="1" applyFill="1" applyBorder="1" applyAlignment="1">
      <alignment horizontal="center" vertical="center"/>
    </xf>
    <xf numFmtId="0" fontId="28" fillId="16" borderId="5" xfId="0" applyFont="1" applyFill="1" applyBorder="1" applyAlignment="1">
      <alignment horizontal="center" vertical="center"/>
    </xf>
    <xf numFmtId="0" fontId="28" fillId="16" borderId="32" xfId="0" applyFont="1" applyFill="1" applyBorder="1" applyAlignment="1">
      <alignment horizontal="center" vertical="center" textRotation="90"/>
    </xf>
    <xf numFmtId="0" fontId="28" fillId="16" borderId="25" xfId="0" applyFont="1" applyFill="1" applyBorder="1" applyAlignment="1">
      <alignment horizontal="center" vertical="center"/>
    </xf>
    <xf numFmtId="0" fontId="28" fillId="16" borderId="32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" fillId="16" borderId="24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2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133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ont>
        <b/>
        <i val="0"/>
        <u/>
        <color rgb="FFFFFF00"/>
      </font>
      <fill>
        <patternFill>
          <bgColor rgb="FF7030A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theme="0"/>
      </font>
    </dxf>
    <dxf>
      <font>
        <color theme="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theme="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</dxf>
    <dxf>
      <font>
        <b/>
        <i/>
        <strike val="0"/>
      </font>
      <fill>
        <patternFill>
          <bgColor rgb="FFFFFD78"/>
        </patternFill>
      </fill>
    </dxf>
    <dxf>
      <font>
        <b val="0"/>
        <i val="0"/>
        <strike val="0"/>
        <color rgb="FFFF0000"/>
      </font>
      <fill>
        <patternFill patternType="none">
          <bgColor auto="1"/>
        </patternFill>
      </fill>
    </dxf>
    <dxf>
      <font>
        <b val="0"/>
        <i val="0"/>
        <strike val="0"/>
        <color rgb="FFFF0000"/>
      </font>
      <fill>
        <patternFill patternType="none">
          <bgColor auto="1"/>
        </patternFill>
      </fill>
    </dxf>
    <dxf>
      <font>
        <b/>
        <i/>
        <strike val="0"/>
      </font>
      <fill>
        <patternFill>
          <bgColor rgb="FFFFFD78"/>
        </patternFill>
      </fill>
    </dxf>
    <dxf>
      <font>
        <b val="0"/>
        <i val="0"/>
        <strike val="0"/>
        <color rgb="FFFF0000"/>
      </font>
      <fill>
        <patternFill patternType="none">
          <bgColor auto="1"/>
        </patternFill>
      </fill>
    </dxf>
    <dxf>
      <font>
        <b val="0"/>
        <i val="0"/>
        <strike val="0"/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ont>
        <color theme="0"/>
      </font>
    </dxf>
    <dxf>
      <font>
        <b/>
        <i val="0"/>
        <u/>
        <color rgb="FFFFFF00"/>
      </font>
      <fill>
        <patternFill>
          <bgColor rgb="FF7030A0"/>
        </pattern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ill>
        <patternFill>
          <bgColor theme="8" tint="0.3999450666829432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gradientFill degree="27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 val="0"/>
        <i val="0"/>
        <strike val="0"/>
        <color rgb="FFFF0000"/>
      </font>
      <fill>
        <patternFill patternType="none">
          <bgColor auto="1"/>
        </patternFill>
      </fill>
    </dxf>
    <dxf>
      <font>
        <b/>
        <i/>
        <strike val="0"/>
      </font>
      <fill>
        <patternFill>
          <bgColor rgb="FFFFFD78"/>
        </patternFill>
      </fill>
    </dxf>
    <dxf>
      <font>
        <b val="0"/>
        <i val="0"/>
        <color rgb="FFFF000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</dxf>
    <dxf>
      <font>
        <b val="0"/>
        <i val="0"/>
        <strike val="0"/>
        <color rgb="FFFF0000"/>
      </font>
      <fill>
        <patternFill patternType="none">
          <bgColor auto="1"/>
        </patternFill>
      </fill>
    </dxf>
    <dxf>
      <font>
        <b/>
        <i/>
        <strike val="0"/>
      </font>
      <fill>
        <patternFill>
          <bgColor rgb="FFFFFD78"/>
        </patternFill>
      </fill>
    </dxf>
    <dxf>
      <font>
        <b val="0"/>
        <i val="0"/>
        <color rgb="FFFF0000"/>
      </font>
    </dxf>
    <dxf>
      <font>
        <color theme="0"/>
      </font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theme="0"/>
      </font>
      <fill>
        <patternFill patternType="solid">
          <fgColor auto="1"/>
          <bgColor theme="0"/>
        </patternFill>
      </fill>
    </dxf>
    <dxf>
      <font>
        <b val="0"/>
        <i val="0"/>
        <color theme="0"/>
      </font>
      <fill>
        <patternFill patternType="solid">
          <fgColor auto="1"/>
          <bgColor theme="0"/>
        </patternFill>
      </fill>
    </dxf>
    <dxf>
      <font>
        <b/>
        <i val="0"/>
        <color rgb="FFFF0000"/>
      </font>
      <fill>
        <patternFill patternType="solid">
          <fgColor auto="1"/>
          <bgColor theme="0"/>
        </pattern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auto="1"/>
      </font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CE40-7015-4799-A9D3-AC779D1F8A7C}">
  <sheetPr codeName="Sheet5">
    <tabColor rgb="FF7030A0"/>
    <pageSetUpPr fitToPage="1"/>
  </sheetPr>
  <dimension ref="A1:AD210"/>
  <sheetViews>
    <sheetView showGridLines="0" showRowColHeaders="0" topLeftCell="C1" zoomScale="70" zoomScaleNormal="70" workbookViewId="0">
      <pane ySplit="5" topLeftCell="A6" activePane="bottomLeft" state="frozen"/>
      <selection activeCell="J55" activeCellId="1" sqref="J26 J55"/>
      <selection pane="bottomLeft" activeCell="I42" sqref="H42:I43"/>
    </sheetView>
  </sheetViews>
  <sheetFormatPr defaultColWidth="11" defaultRowHeight="15.5" x14ac:dyDescent="0.35"/>
  <cols>
    <col min="1" max="1" width="11" hidden="1" customWidth="1"/>
    <col min="2" max="2" width="30.08203125" style="146" hidden="1" customWidth="1"/>
    <col min="3" max="3" width="33.08203125" customWidth="1"/>
    <col min="4" max="4" width="28.58203125" hidden="1" customWidth="1"/>
    <col min="5" max="5" width="28.58203125" customWidth="1"/>
    <col min="6" max="6" width="12.08203125" customWidth="1"/>
    <col min="7" max="13" width="26" customWidth="1"/>
    <col min="17" max="19" width="11" style="4" customWidth="1"/>
    <col min="20" max="23" width="11" style="4" hidden="1" customWidth="1"/>
    <col min="24" max="30" width="11" style="4" customWidth="1"/>
  </cols>
  <sheetData>
    <row r="1" spans="1:21" ht="17.25" customHeight="1" x14ac:dyDescent="0.35">
      <c r="B1" s="1"/>
      <c r="C1" s="2"/>
      <c r="D1" s="3"/>
      <c r="E1" s="400" t="s">
        <v>0</v>
      </c>
      <c r="F1" s="401"/>
      <c r="G1" s="401"/>
      <c r="H1" s="401"/>
      <c r="I1" s="401"/>
      <c r="J1" s="401"/>
      <c r="K1" s="401"/>
      <c r="L1" s="401"/>
      <c r="M1" s="402"/>
    </row>
    <row r="2" spans="1:21" ht="13.5" customHeight="1" x14ac:dyDescent="0.35">
      <c r="B2" s="5"/>
      <c r="C2" s="6"/>
      <c r="D2" s="7"/>
      <c r="E2" s="397"/>
      <c r="F2" s="397"/>
      <c r="G2" s="397"/>
      <c r="H2" s="397"/>
      <c r="I2" s="397"/>
      <c r="J2" s="397"/>
      <c r="K2" s="397"/>
      <c r="L2" s="397"/>
      <c r="M2" s="403"/>
    </row>
    <row r="3" spans="1:21" ht="9" customHeight="1" thickBot="1" x14ac:dyDescent="0.4">
      <c r="B3" s="9"/>
      <c r="C3" s="10"/>
      <c r="D3" s="11"/>
      <c r="E3" s="404"/>
      <c r="F3" s="404"/>
      <c r="G3" s="404"/>
      <c r="H3" s="404"/>
      <c r="I3" s="404"/>
      <c r="J3" s="404"/>
      <c r="K3" s="404"/>
      <c r="L3" s="404"/>
      <c r="M3" s="405"/>
    </row>
    <row r="4" spans="1:21" ht="18.5" x14ac:dyDescent="0.35">
      <c r="B4" s="9"/>
      <c r="C4" s="12"/>
      <c r="D4" s="13"/>
      <c r="E4" s="13"/>
      <c r="F4" s="14" t="s">
        <v>1</v>
      </c>
      <c r="G4" s="15" t="str">
        <f t="shared" ref="G4:M4" si="0">TEXT(G5,"dddd")</f>
        <v>Saturday</v>
      </c>
      <c r="H4" s="15" t="str">
        <f t="shared" si="0"/>
        <v>Sunday</v>
      </c>
      <c r="I4" s="15" t="str">
        <f t="shared" si="0"/>
        <v>Monday</v>
      </c>
      <c r="J4" s="15" t="str">
        <f t="shared" si="0"/>
        <v>Tuesday</v>
      </c>
      <c r="K4" s="15" t="str">
        <f t="shared" si="0"/>
        <v>Wednesday</v>
      </c>
      <c r="L4" s="15" t="str">
        <f t="shared" si="0"/>
        <v>Thursday</v>
      </c>
      <c r="M4" s="16" t="str">
        <f t="shared" si="0"/>
        <v>Friday</v>
      </c>
    </row>
    <row r="5" spans="1:21" ht="19" thickBot="1" x14ac:dyDescent="0.4">
      <c r="B5" s="9"/>
      <c r="C5" s="17" t="s">
        <v>2</v>
      </c>
      <c r="D5" s="18"/>
      <c r="E5" s="18" t="s">
        <v>3</v>
      </c>
      <c r="F5" s="19" t="s">
        <v>4</v>
      </c>
      <c r="G5" s="20">
        <f>Sheet1!F1</f>
        <v>45969</v>
      </c>
      <c r="H5" s="20">
        <f t="shared" ref="H5:M5" si="1">+G5+1</f>
        <v>45970</v>
      </c>
      <c r="I5" s="20">
        <f t="shared" si="1"/>
        <v>45971</v>
      </c>
      <c r="J5" s="20">
        <f t="shared" si="1"/>
        <v>45972</v>
      </c>
      <c r="K5" s="20">
        <f t="shared" si="1"/>
        <v>45973</v>
      </c>
      <c r="L5" s="20">
        <f t="shared" si="1"/>
        <v>45974</v>
      </c>
      <c r="M5" s="21">
        <f t="shared" si="1"/>
        <v>45975</v>
      </c>
    </row>
    <row r="6" spans="1:21" ht="23.25" customHeight="1" thickBot="1" x14ac:dyDescent="0.4">
      <c r="A6" s="22"/>
      <c r="B6" s="23"/>
      <c r="C6" s="406" t="s">
        <v>5</v>
      </c>
      <c r="D6" s="406"/>
      <c r="E6" s="406"/>
      <c r="F6" s="406"/>
      <c r="G6" s="406"/>
      <c r="H6" s="406"/>
      <c r="I6" s="406"/>
      <c r="J6" s="406"/>
      <c r="K6" s="406"/>
      <c r="L6" s="406"/>
      <c r="M6" s="407"/>
    </row>
    <row r="7" spans="1:21" ht="23.25" customHeight="1" x14ac:dyDescent="0.45">
      <c r="B7" s="24" t="s">
        <v>6</v>
      </c>
      <c r="C7" s="25" t="str" cm="1">
        <f t="array" ref="C7:E14">_xlfn._xlws.FILTER(Sheet1!$A$2:$C$333,Sheet1!$C$2:$C$333='GAD DISPATCHER SCHEDULE'!$U$13)</f>
        <v>ALLEN, RYAN</v>
      </c>
      <c r="D7" s="25" t="str">
        <v>1026388</v>
      </c>
      <c r="E7" s="26" t="str">
        <v>KEYSTONE -GAD</v>
      </c>
      <c r="F7" s="29">
        <f>_xlfn.IFNA(VLOOKUP($D7,Sheet1!$B$2:$E$333,4,FALSE),"")</f>
        <v>0</v>
      </c>
      <c r="G7" s="30" t="str">
        <f>IFERROR(VLOOKUP($D7,Sheet1!$B$2:$S$333,6,FALSE),"")</f>
        <v>HE-3</v>
      </c>
      <c r="H7" s="30" t="str">
        <f>IFERROR(VLOOKUP($D7,Sheet1!$B$2:$S$333,8,FALSE),"")</f>
        <v>S-SD</v>
      </c>
      <c r="I7" s="30" t="str">
        <f>IFERROR(VLOOKUP($D7,Sheet1!$B$2:$S$333,10,FALSE),"")</f>
        <v>HE-3</v>
      </c>
      <c r="J7" s="30" t="str">
        <f>IFERROR(VLOOKUP($D7,Sheet1!$B$2:$S$333,12,FALSE),"")</f>
        <v>V-SD</v>
      </c>
      <c r="K7" s="30" t="str">
        <f>IFERROR(VLOOKUP($D7,Sheet1!$B$2:$S$333,14,FALSE),"")</f>
        <v>OFF</v>
      </c>
      <c r="L7" s="30" t="str">
        <f>IFERROR(VLOOKUP($D7,Sheet1!$B$2:$S$333,16,FALSE),"")</f>
        <v>OFF</v>
      </c>
      <c r="M7" s="30" t="str">
        <f>IFERROR(VLOOKUP($D7,Sheet1!$B$2:$S$333,18,FALSE),"")</f>
        <v>V-SD</v>
      </c>
    </row>
    <row r="8" spans="1:21" ht="23.25" customHeight="1" x14ac:dyDescent="0.45">
      <c r="B8" s="24" t="s">
        <v>7</v>
      </c>
      <c r="C8" s="27" t="str">
        <v>FLEITES, FRANK</v>
      </c>
      <c r="D8" s="27" t="str">
        <v>1030369</v>
      </c>
      <c r="E8" s="28" t="str">
        <v>KEYSTONE -GAD</v>
      </c>
      <c r="F8" s="31" t="str">
        <f>_xlfn.IFNA(VLOOKUP($D8,Sheet1!$B$2:$E$333,4,FALSE),"")</f>
        <v>CE-R</v>
      </c>
      <c r="G8" s="30" t="str">
        <f>IFERROR(VLOOKUP($D8,Sheet1!$B$2:$S$333,6,FALSE),"")</f>
        <v>CE-1</v>
      </c>
      <c r="H8" s="30" t="str">
        <f>IFERROR(VLOOKUP($D8,Sheet1!$B$2:$S$333,8,FALSE),"")</f>
        <v>CE-1</v>
      </c>
      <c r="I8" s="30" t="str">
        <f>IFERROR(VLOOKUP($D8,Sheet1!$B$2:$S$333,10,FALSE),"")</f>
        <v>CE-2</v>
      </c>
      <c r="J8" s="30" t="str">
        <f>IFERROR(VLOOKUP($D8,Sheet1!$B$2:$S$333,12,FALSE),"")</f>
        <v>CE-2</v>
      </c>
      <c r="K8" s="30" t="str">
        <f>IFERROR(VLOOKUP($D8,Sheet1!$B$2:$S$333,14,FALSE),"")</f>
        <v>CE-3</v>
      </c>
      <c r="L8" s="30" t="str">
        <f>IFERROR(VLOOKUP($D8,Sheet1!$B$2:$S$333,16,FALSE),"")</f>
        <v>OFF</v>
      </c>
      <c r="M8" s="30" t="str">
        <f>IFERROR(VLOOKUP($D8,Sheet1!$B$2:$S$333,18,FALSE),"")</f>
        <v>OFF</v>
      </c>
    </row>
    <row r="9" spans="1:21" ht="23.25" customHeight="1" x14ac:dyDescent="0.45">
      <c r="B9" s="24" t="s">
        <v>8</v>
      </c>
      <c r="C9" s="27" t="str">
        <v>GEE, ASHLEY</v>
      </c>
      <c r="D9" s="27" t="str">
        <v>1029340</v>
      </c>
      <c r="E9" s="28" t="str">
        <v>KEYSTONE -GAD</v>
      </c>
      <c r="F9" s="31">
        <f>_xlfn.IFNA(VLOOKUP($D9,Sheet1!$B$2:$E$333,4,FALSE),"")</f>
        <v>0</v>
      </c>
      <c r="G9" s="30" t="str">
        <f>IFERROR(VLOOKUP($D9,Sheet1!$B$2:$S$333,6,FALSE),"")</f>
        <v>OFF</v>
      </c>
      <c r="H9" s="30" t="str">
        <f>IFERROR(VLOOKUP($D9,Sheet1!$B$2:$S$333,8,FALSE),"")</f>
        <v>OFF</v>
      </c>
      <c r="I9" s="30" t="str">
        <f>IFERROR(VLOOKUP($D9,Sheet1!$B$2:$S$333,10,FALSE),"")</f>
        <v>CT-1-POST</v>
      </c>
      <c r="J9" s="30" t="str">
        <f>IFERROR(VLOOKUP($D9,Sheet1!$B$2:$S$333,12,FALSE),"")</f>
        <v>CT-1-POST</v>
      </c>
      <c r="K9" s="30" t="str">
        <f>IFERROR(VLOOKUP($D9,Sheet1!$B$2:$S$333,14,FALSE),"")</f>
        <v>CT-1-POST</v>
      </c>
      <c r="L9" s="30" t="str">
        <f>IFERROR(VLOOKUP($D9,Sheet1!$B$2:$S$333,16,FALSE),"")</f>
        <v>CT-1-POST</v>
      </c>
      <c r="M9" s="30" t="str">
        <f>IFERROR(VLOOKUP($D9,Sheet1!$B$2:$S$333,18,FALSE),"")</f>
        <v>CT-1-POST</v>
      </c>
    </row>
    <row r="10" spans="1:21" ht="23.25" customHeight="1" x14ac:dyDescent="0.45">
      <c r="B10" s="32" t="s">
        <v>9</v>
      </c>
      <c r="C10" s="27" t="str">
        <v>GRUBBS, TUJUANA</v>
      </c>
      <c r="D10" s="27" t="str">
        <v>1028259</v>
      </c>
      <c r="E10" s="28" t="str">
        <v>KEYSTONE -GAD</v>
      </c>
      <c r="F10" s="31">
        <f>_xlfn.IFNA(VLOOKUP($D10,Sheet1!$B$2:$E$333,4,FALSE),"")</f>
        <v>0</v>
      </c>
      <c r="G10" s="30" t="str">
        <f>IFERROR(VLOOKUP($D10,Sheet1!$B$2:$S$333,6,FALSE),"")</f>
        <v>DH-3</v>
      </c>
      <c r="H10" s="30" t="str">
        <f>IFERROR(VLOOKUP($D10,Sheet1!$B$2:$S$333,8,FALSE),"")</f>
        <v>DH-3</v>
      </c>
      <c r="I10" s="30" t="str">
        <f>IFERROR(VLOOKUP($D10,Sheet1!$B$2:$S$333,10,FALSE),"")</f>
        <v>DH-3</v>
      </c>
      <c r="J10" s="30" t="str">
        <f>IFERROR(VLOOKUP($D10,Sheet1!$B$2:$S$333,12,FALSE),"")</f>
        <v>DT-3</v>
      </c>
      <c r="K10" s="30" t="str">
        <f>IFERROR(VLOOKUP($D10,Sheet1!$B$2:$S$333,14,FALSE),"")</f>
        <v>OFF</v>
      </c>
      <c r="L10" s="30" t="str">
        <f>IFERROR(VLOOKUP($D10,Sheet1!$B$2:$S$333,16,FALSE),"")</f>
        <v>OFF</v>
      </c>
      <c r="M10" s="30" t="str">
        <f>IFERROR(VLOOKUP($D10,Sheet1!$B$2:$S$333,18,FALSE),"")</f>
        <v>DT-1</v>
      </c>
    </row>
    <row r="11" spans="1:21" ht="23.25" customHeight="1" x14ac:dyDescent="0.45">
      <c r="B11" s="24" t="s">
        <v>10</v>
      </c>
      <c r="C11" s="27" t="str">
        <v>REEVES, JULIAN</v>
      </c>
      <c r="D11" s="27" t="str">
        <v>1030405</v>
      </c>
      <c r="E11" s="28" t="str">
        <v>KEYSTONE -GAD</v>
      </c>
      <c r="F11" s="31">
        <f>_xlfn.IFNA(VLOOKUP($D11,Sheet1!$B$2:$E$333,4,FALSE),"")</f>
        <v>0</v>
      </c>
      <c r="G11" s="30" t="str">
        <f>IFERROR(VLOOKUP($D11,Sheet1!$B$2:$S$333,6,FALSE),"")</f>
        <v>OFF</v>
      </c>
      <c r="H11" s="30" t="str">
        <f>IFERROR(VLOOKUP($D11,Sheet1!$B$2:$S$333,8,FALSE),"")</f>
        <v>OFF</v>
      </c>
      <c r="I11" s="30" t="str">
        <f>IFERROR(VLOOKUP($D11,Sheet1!$B$2:$S$333,10,FALSE),"")</f>
        <v>AL-2</v>
      </c>
      <c r="J11" s="30" t="str">
        <f>IFERROR(VLOOKUP($D11,Sheet1!$B$2:$S$333,12,FALSE),"")</f>
        <v>DH-3</v>
      </c>
      <c r="K11" s="30" t="str">
        <f>IFERROR(VLOOKUP($D11,Sheet1!$B$2:$S$333,14,FALSE),"")</f>
        <v>S-SD</v>
      </c>
      <c r="L11" s="30" t="str">
        <f>IFERROR(VLOOKUP($D11,Sheet1!$B$2:$S$333,16,FALSE),"")</f>
        <v>AVAILABLE</v>
      </c>
      <c r="M11" s="30" t="str">
        <f>IFERROR(VLOOKUP($D11,Sheet1!$B$2:$S$333,18,FALSE),"")</f>
        <v>DH-3</v>
      </c>
    </row>
    <row r="12" spans="1:21" ht="23.25" customHeight="1" x14ac:dyDescent="0.45">
      <c r="B12" s="24" t="s">
        <v>11</v>
      </c>
      <c r="C12" s="27" t="str">
        <v>REYNOLDS, RO</v>
      </c>
      <c r="D12" s="27" t="str">
        <v>1031687</v>
      </c>
      <c r="E12" s="28" t="str">
        <v>KEYSTONE -GAD</v>
      </c>
      <c r="F12" s="31">
        <f>_xlfn.IFNA(VLOOKUP($D12,Sheet1!$B$2:$E$333,4,FALSE),"")</f>
        <v>0</v>
      </c>
      <c r="G12" s="30" t="str">
        <f>IFERROR(VLOOKUP($D12,Sheet1!$B$2:$S$333,6,FALSE),"")</f>
        <v>CT-1</v>
      </c>
      <c r="H12" s="30" t="str">
        <f>IFERROR(VLOOKUP($D12,Sheet1!$B$2:$S$333,8,FALSE),"")</f>
        <v>CT-1</v>
      </c>
      <c r="I12" s="30" t="str">
        <f>IFERROR(VLOOKUP($D12,Sheet1!$B$2:$S$333,10,FALSE),"")</f>
        <v>OFF</v>
      </c>
      <c r="J12" s="30" t="str">
        <f>IFERROR(VLOOKUP($D12,Sheet1!$B$2:$S$333,12,FALSE),"")</f>
        <v>OFF</v>
      </c>
      <c r="K12" s="30" t="str">
        <f>IFERROR(VLOOKUP($D12,Sheet1!$B$2:$S$333,14,FALSE),"")</f>
        <v>CT-3</v>
      </c>
      <c r="L12" s="30" t="str">
        <f>IFERROR(VLOOKUP($D12,Sheet1!$B$2:$S$333,16,FALSE),"")</f>
        <v>PE-3</v>
      </c>
      <c r="M12" s="30" t="str">
        <f>IFERROR(VLOOKUP($D12,Sheet1!$B$2:$S$333,18,FALSE),"")</f>
        <v>CE-3</v>
      </c>
    </row>
    <row r="13" spans="1:21" ht="23.25" customHeight="1" x14ac:dyDescent="0.45">
      <c r="B13" s="33"/>
      <c r="C13" s="27" t="str">
        <v>TEKLU, BETH</v>
      </c>
      <c r="D13" s="27" t="str">
        <v>1031123</v>
      </c>
      <c r="E13" s="28" t="str">
        <v>KEYSTONE -GAD</v>
      </c>
      <c r="F13" s="31">
        <f>_xlfn.IFNA(VLOOKUP($D13,Sheet1!$B$2:$E$333,4,FALSE),"")</f>
        <v>0</v>
      </c>
      <c r="G13" s="30" t="str">
        <f>IFERROR(VLOOKUP($D13,Sheet1!$B$2:$S$333,6,FALSE),"")</f>
        <v>PE-2</v>
      </c>
      <c r="H13" s="30" t="str">
        <f>IFERROR(VLOOKUP($D13,Sheet1!$B$2:$S$333,8,FALSE),"")</f>
        <v>PE-3</v>
      </c>
      <c r="I13" s="30" t="str">
        <f>IFERROR(VLOOKUP($D13,Sheet1!$B$2:$S$333,10,FALSE),"")</f>
        <v>PE-3</v>
      </c>
      <c r="J13" s="30" t="str">
        <f>IFERROR(VLOOKUP($D13,Sheet1!$B$2:$S$333,12,FALSE),"")</f>
        <v>AVAILABLE</v>
      </c>
      <c r="K13" s="30" t="str">
        <f>IFERROR(VLOOKUP($D13,Sheet1!$B$2:$S$333,14,FALSE),"")</f>
        <v>OFF</v>
      </c>
      <c r="L13" s="30" t="str">
        <f>IFERROR(VLOOKUP($D13,Sheet1!$B$2:$S$333,16,FALSE),"")</f>
        <v>OFF</v>
      </c>
      <c r="M13" s="30" t="str">
        <f>IFERROR(VLOOKUP($D13,Sheet1!$B$2:$S$333,18,FALSE),"")</f>
        <v>AVAILABLE</v>
      </c>
      <c r="U13" s="4" t="s">
        <v>12</v>
      </c>
    </row>
    <row r="14" spans="1:21" ht="23.25" customHeight="1" x14ac:dyDescent="0.45">
      <c r="B14" s="33"/>
      <c r="C14" s="27" t="str">
        <v>TUCKER, JUSTIN</v>
      </c>
      <c r="D14" s="27" t="str">
        <v>1000910</v>
      </c>
      <c r="E14" s="28" t="str">
        <v>KEYSTONE -GAD</v>
      </c>
      <c r="F14" s="31">
        <f>_xlfn.IFNA(VLOOKUP($D14,Sheet1!$B$2:$E$333,4,FALSE),"")</f>
        <v>0</v>
      </c>
      <c r="G14" s="30" t="str">
        <f>IFERROR(VLOOKUP($D14,Sheet1!$B$2:$S$333,6,FALSE),"")</f>
        <v>RL-1-POST</v>
      </c>
      <c r="H14" s="30" t="str">
        <f>IFERROR(VLOOKUP($D14,Sheet1!$B$2:$S$333,8,FALSE),"")</f>
        <v>HE-1</v>
      </c>
      <c r="I14" s="30" t="str">
        <f>IFERROR(VLOOKUP($D14,Sheet1!$B$2:$S$333,10,FALSE),"")</f>
        <v>OFF</v>
      </c>
      <c r="J14" s="30" t="str">
        <f>IFERROR(VLOOKUP($D14,Sheet1!$B$2:$S$333,12,FALSE),"")</f>
        <v>OFF</v>
      </c>
      <c r="K14" s="30" t="str">
        <f>IFERROR(VLOOKUP($D14,Sheet1!$B$2:$S$333,14,FALSE),"")</f>
        <v>AL-1</v>
      </c>
      <c r="L14" s="30" t="str">
        <f>IFERROR(VLOOKUP($D14,Sheet1!$B$2:$S$333,16,FALSE),"")</f>
        <v>AL-1</v>
      </c>
      <c r="M14" s="30" t="str">
        <f>IFERROR(VLOOKUP($D14,Sheet1!$B$2:$S$333,18,FALSE),"")</f>
        <v>RL-2-POST</v>
      </c>
      <c r="U14" s="34" t="s">
        <v>13</v>
      </c>
    </row>
    <row r="15" spans="1:21" ht="23.25" customHeight="1" x14ac:dyDescent="0.45">
      <c r="B15" s="33"/>
      <c r="C15" s="27"/>
      <c r="D15" s="27"/>
      <c r="E15" s="28"/>
      <c r="F15" s="31" t="str">
        <f>_xlfn.IFNA(VLOOKUP($D15,Sheet1!$B$2:$E$333,4,FALSE),"")</f>
        <v/>
      </c>
      <c r="G15" s="30" t="str">
        <f>IFERROR(VLOOKUP($D15,Sheet1!$B$2:$S$333,6,FALSE),"")</f>
        <v/>
      </c>
      <c r="H15" s="30" t="str">
        <f>IFERROR(VLOOKUP($D15,Sheet1!$B$2:$S$333,8,FALSE),"")</f>
        <v/>
      </c>
      <c r="I15" s="30" t="str">
        <f>IFERROR(VLOOKUP($D15,Sheet1!$B$2:$S$333,10,FALSE),"")</f>
        <v/>
      </c>
      <c r="J15" s="30" t="str">
        <f>IFERROR(VLOOKUP($D15,Sheet1!$B$2:$S$333,12,FALSE),"")</f>
        <v/>
      </c>
      <c r="K15" s="30" t="str">
        <f>IFERROR(VLOOKUP($D15,Sheet1!$B$2:$S$333,14,FALSE),"")</f>
        <v/>
      </c>
      <c r="L15" s="30" t="str">
        <f>IFERROR(VLOOKUP($D15,Sheet1!$B$2:$S$333,16,FALSE),"")</f>
        <v/>
      </c>
      <c r="M15" s="30" t="str">
        <f>IFERROR(VLOOKUP($D15,Sheet1!$B$2:$S$333,18,FALSE),"")</f>
        <v/>
      </c>
      <c r="U15" s="4" t="s">
        <v>14</v>
      </c>
    </row>
    <row r="16" spans="1:21" ht="23.25" customHeight="1" x14ac:dyDescent="0.45">
      <c r="B16" s="33"/>
      <c r="C16" s="27"/>
      <c r="D16" s="27"/>
      <c r="E16" s="28"/>
      <c r="F16" s="31" t="str">
        <f>_xlfn.IFNA(VLOOKUP($D16,Sheet1!$B$2:$E$333,4,FALSE),"")</f>
        <v/>
      </c>
      <c r="G16" s="30" t="str">
        <f>IFERROR(VLOOKUP($D16,Sheet1!$B$2:$S$333,6,FALSE),"")</f>
        <v/>
      </c>
      <c r="H16" s="30" t="str">
        <f>IFERROR(VLOOKUP($D16,Sheet1!$B$2:$S$333,8,FALSE),"")</f>
        <v/>
      </c>
      <c r="I16" s="30" t="str">
        <f>IFERROR(VLOOKUP($D16,Sheet1!$B$2:$S$333,10,FALSE),"")</f>
        <v/>
      </c>
      <c r="J16" s="30" t="str">
        <f>IFERROR(VLOOKUP($D16,Sheet1!$B$2:$S$333,12,FALSE),"")</f>
        <v/>
      </c>
      <c r="K16" s="30" t="str">
        <f>IFERROR(VLOOKUP($D16,Sheet1!$B$2:$S$333,14,FALSE),"")</f>
        <v/>
      </c>
      <c r="L16" s="30" t="str">
        <f>IFERROR(VLOOKUP($D16,Sheet1!$B$2:$S$333,16,FALSE),"")</f>
        <v/>
      </c>
      <c r="M16" s="30" t="str">
        <f>IFERROR(VLOOKUP($D16,Sheet1!$B$2:$S$333,18,FALSE),"")</f>
        <v/>
      </c>
      <c r="U16" s="4" t="s">
        <v>15</v>
      </c>
    </row>
    <row r="17" spans="1:21" ht="23.25" customHeight="1" x14ac:dyDescent="0.45">
      <c r="B17" s="33"/>
      <c r="C17" s="27"/>
      <c r="D17" s="27"/>
      <c r="E17" s="28"/>
      <c r="F17" s="31" t="str">
        <f>_xlfn.IFNA(VLOOKUP($D17,Sheet1!$B$2:$E$333,4,FALSE),"")</f>
        <v/>
      </c>
      <c r="G17" s="30" t="str">
        <f>IFERROR(VLOOKUP($D17,Sheet1!$B$2:$S$333,6,FALSE),"")</f>
        <v/>
      </c>
      <c r="H17" s="30" t="str">
        <f>IFERROR(VLOOKUP($D17,Sheet1!$B$2:$S$333,8,FALSE),"")</f>
        <v/>
      </c>
      <c r="I17" s="30" t="str">
        <f>IFERROR(VLOOKUP($D17,Sheet1!$B$2:$S$333,10,FALSE),"")</f>
        <v/>
      </c>
      <c r="J17" s="30" t="str">
        <f>IFERROR(VLOOKUP($D17,Sheet1!$B$2:$S$333,12,FALSE),"")</f>
        <v/>
      </c>
      <c r="K17" s="30" t="str">
        <f>IFERROR(VLOOKUP($D17,Sheet1!$B$2:$S$333,14,FALSE),"")</f>
        <v/>
      </c>
      <c r="L17" s="30" t="str">
        <f>IFERROR(VLOOKUP($D17,Sheet1!$B$2:$S$333,16,FALSE),"")</f>
        <v/>
      </c>
      <c r="M17" s="30" t="str">
        <f>IFERROR(VLOOKUP($D17,Sheet1!$B$2:$S$333,18,FALSE),"")</f>
        <v/>
      </c>
      <c r="U17" s="4" t="s">
        <v>16</v>
      </c>
    </row>
    <row r="18" spans="1:21" ht="23.25" customHeight="1" x14ac:dyDescent="0.45">
      <c r="B18" s="33"/>
      <c r="C18" s="27"/>
      <c r="D18" s="27"/>
      <c r="E18" s="28"/>
      <c r="F18" s="31" t="str">
        <f>_xlfn.IFNA(VLOOKUP($D18,Sheet1!$B$2:$E$333,4,FALSE),"")</f>
        <v/>
      </c>
      <c r="G18" s="30" t="str">
        <f>IFERROR(VLOOKUP($D18,Sheet1!$B$2:$S$333,6,FALSE),"")</f>
        <v/>
      </c>
      <c r="H18" s="30" t="str">
        <f>IFERROR(VLOOKUP($D18,Sheet1!$B$2:$S$333,8,FALSE),"")</f>
        <v/>
      </c>
      <c r="I18" s="30" t="str">
        <f>IFERROR(VLOOKUP($D18,Sheet1!$B$2:$S$333,10,FALSE),"")</f>
        <v/>
      </c>
      <c r="J18" s="30" t="str">
        <f>IFERROR(VLOOKUP($D18,Sheet1!$B$2:$S$333,12,FALSE),"")</f>
        <v/>
      </c>
      <c r="K18" s="30" t="str">
        <f>IFERROR(VLOOKUP($D18,Sheet1!$B$2:$S$333,14,FALSE),"")</f>
        <v/>
      </c>
      <c r="L18" s="30" t="str">
        <f>IFERROR(VLOOKUP($D18,Sheet1!$B$2:$S$333,16,FALSE),"")</f>
        <v/>
      </c>
      <c r="M18" s="30" t="str">
        <f>IFERROR(VLOOKUP($D18,Sheet1!$B$2:$S$333,18,FALSE),"")</f>
        <v/>
      </c>
    </row>
    <row r="19" spans="1:21" ht="23.25" customHeight="1" x14ac:dyDescent="0.45">
      <c r="B19" s="33"/>
      <c r="C19" s="27"/>
      <c r="D19" s="27"/>
      <c r="E19" s="28"/>
      <c r="F19" s="31" t="str">
        <f>_xlfn.IFNA(VLOOKUP($D19,Sheet1!$B$2:$E$333,4,FALSE),"")</f>
        <v/>
      </c>
      <c r="G19" s="30" t="str">
        <f>IFERROR(VLOOKUP($D19,Sheet1!$B$2:$S$333,6,FALSE),"")</f>
        <v/>
      </c>
      <c r="H19" s="30" t="str">
        <f>IFERROR(VLOOKUP($D19,Sheet1!$B$2:$S$333,8,FALSE),"")</f>
        <v/>
      </c>
      <c r="I19" s="30" t="str">
        <f>IFERROR(VLOOKUP($D19,Sheet1!$B$2:$S$333,10,FALSE),"")</f>
        <v/>
      </c>
      <c r="J19" s="30" t="str">
        <f>IFERROR(VLOOKUP($D19,Sheet1!$B$2:$S$333,12,FALSE),"")</f>
        <v/>
      </c>
      <c r="K19" s="30" t="str">
        <f>IFERROR(VLOOKUP($D19,Sheet1!$B$2:$S$333,14,FALSE),"")</f>
        <v/>
      </c>
      <c r="L19" s="30" t="str">
        <f>IFERROR(VLOOKUP($D19,Sheet1!$B$2:$S$333,16,FALSE),"")</f>
        <v/>
      </c>
      <c r="M19" s="30" t="str">
        <f>IFERROR(VLOOKUP($D19,Sheet1!$B$2:$S$333,18,FALSE),"")</f>
        <v/>
      </c>
    </row>
    <row r="20" spans="1:21" ht="23.25" customHeight="1" x14ac:dyDescent="0.45">
      <c r="B20" s="33"/>
      <c r="C20" s="27"/>
      <c r="D20" s="27"/>
      <c r="E20" s="28"/>
      <c r="F20" s="31" t="str">
        <f>_xlfn.IFNA(VLOOKUP($D20,Sheet1!$B$2:$E$333,4,FALSE),"")</f>
        <v/>
      </c>
      <c r="G20" s="30" t="str">
        <f>IFERROR(VLOOKUP($D20,Sheet1!$B$2:$S$333,6,FALSE),"")</f>
        <v/>
      </c>
      <c r="H20" s="30" t="str">
        <f>IFERROR(VLOOKUP($D20,Sheet1!$B$2:$S$333,8,FALSE),"")</f>
        <v/>
      </c>
      <c r="I20" s="30" t="str">
        <f>IFERROR(VLOOKUP($D20,Sheet1!$B$2:$S$333,10,FALSE),"")</f>
        <v/>
      </c>
      <c r="J20" s="30" t="str">
        <f>IFERROR(VLOOKUP($D20,Sheet1!$B$2:$S$333,12,FALSE),"")</f>
        <v/>
      </c>
      <c r="K20" s="30" t="str">
        <f>IFERROR(VLOOKUP($D20,Sheet1!$B$2:$S$333,14,FALSE),"")</f>
        <v/>
      </c>
      <c r="L20" s="30" t="str">
        <f>IFERROR(VLOOKUP($D20,Sheet1!$B$2:$S$333,16,FALSE),"")</f>
        <v/>
      </c>
      <c r="M20" s="30" t="str">
        <f>IFERROR(VLOOKUP($D20,Sheet1!$B$2:$S$333,18,FALSE),"")</f>
        <v/>
      </c>
    </row>
    <row r="21" spans="1:21" ht="23.25" customHeight="1" x14ac:dyDescent="0.45">
      <c r="B21" s="33"/>
      <c r="C21" s="27"/>
      <c r="D21" s="27"/>
      <c r="E21" s="28"/>
      <c r="F21" s="31" t="str">
        <f>_xlfn.IFNA(VLOOKUP($D21,Sheet1!$B$2:$E$333,4,FALSE),"")</f>
        <v/>
      </c>
      <c r="G21" s="30" t="str">
        <f>IFERROR(VLOOKUP($D21,Sheet1!$B$2:$S$333,6,FALSE),"")</f>
        <v/>
      </c>
      <c r="H21" s="30" t="str">
        <f>IFERROR(VLOOKUP($D21,Sheet1!$B$2:$S$333,8,FALSE),"")</f>
        <v/>
      </c>
      <c r="I21" s="30" t="str">
        <f>IFERROR(VLOOKUP($D21,Sheet1!$B$2:$S$333,10,FALSE),"")</f>
        <v/>
      </c>
      <c r="J21" s="30" t="str">
        <f>IFERROR(VLOOKUP($D21,Sheet1!$B$2:$S$333,12,FALSE),"")</f>
        <v/>
      </c>
      <c r="K21" s="30" t="str">
        <f>IFERROR(VLOOKUP($D21,Sheet1!$B$2:$S$333,14,FALSE),"")</f>
        <v/>
      </c>
      <c r="L21" s="30" t="str">
        <f>IFERROR(VLOOKUP($D21,Sheet1!$B$2:$S$333,16,FALSE),"")</f>
        <v/>
      </c>
      <c r="M21" s="30" t="str">
        <f>IFERROR(VLOOKUP($D21,Sheet1!$B$2:$S$333,18,FALSE),"")</f>
        <v/>
      </c>
    </row>
    <row r="22" spans="1:21" ht="23.25" customHeight="1" x14ac:dyDescent="0.45">
      <c r="B22" s="33"/>
      <c r="C22" s="27"/>
      <c r="D22" s="27"/>
      <c r="E22" s="28"/>
      <c r="F22" s="31" t="str">
        <f>_xlfn.IFNA(VLOOKUP($D22,Sheet1!$B$2:$E$333,4,FALSE),"")</f>
        <v/>
      </c>
      <c r="G22" s="30" t="str">
        <f>IFERROR(VLOOKUP($D22,Sheet1!$B$2:$S$333,6,FALSE),"")</f>
        <v/>
      </c>
      <c r="H22" s="30" t="str">
        <f>IFERROR(VLOOKUP($D22,Sheet1!$B$2:$S$333,8,FALSE),"")</f>
        <v/>
      </c>
      <c r="I22" s="30" t="str">
        <f>IFERROR(VLOOKUP($D22,Sheet1!$B$2:$S$333,10,FALSE),"")</f>
        <v/>
      </c>
      <c r="J22" s="30" t="str">
        <f>IFERROR(VLOOKUP($D22,Sheet1!$B$2:$S$333,12,FALSE),"")</f>
        <v/>
      </c>
      <c r="K22" s="30" t="str">
        <f>IFERROR(VLOOKUP($D22,Sheet1!$B$2:$S$333,14,FALSE),"")</f>
        <v/>
      </c>
      <c r="L22" s="30" t="str">
        <f>IFERROR(VLOOKUP($D22,Sheet1!$B$2:$S$333,16,FALSE),"")</f>
        <v/>
      </c>
      <c r="M22" s="30" t="str">
        <f>IFERROR(VLOOKUP($D22,Sheet1!$B$2:$S$333,18,FALSE),"")</f>
        <v/>
      </c>
    </row>
    <row r="23" spans="1:21" ht="23.25" customHeight="1" x14ac:dyDescent="0.45">
      <c r="B23" s="33"/>
      <c r="C23" s="27"/>
      <c r="D23" s="27"/>
      <c r="E23" s="28"/>
      <c r="F23" s="31" t="str">
        <f>_xlfn.IFNA(VLOOKUP($D23,Sheet1!$B$2:$E$333,4,FALSE),"")</f>
        <v/>
      </c>
      <c r="G23" s="30" t="str">
        <f>IFERROR(VLOOKUP($D23,Sheet1!$B$2:$S$333,6,FALSE),"")</f>
        <v/>
      </c>
      <c r="H23" s="30" t="str">
        <f>IFERROR(VLOOKUP($D23,Sheet1!$B$2:$S$333,8,FALSE),"")</f>
        <v/>
      </c>
      <c r="I23" s="30" t="str">
        <f>IFERROR(VLOOKUP($D23,Sheet1!$B$2:$S$333,10,FALSE),"")</f>
        <v/>
      </c>
      <c r="J23" s="30" t="str">
        <f>IFERROR(VLOOKUP($D23,Sheet1!$B$2:$S$333,12,FALSE),"")</f>
        <v/>
      </c>
      <c r="K23" s="30" t="str">
        <f>IFERROR(VLOOKUP($D23,Sheet1!$B$2:$S$333,14,FALSE),"")</f>
        <v/>
      </c>
      <c r="L23" s="30" t="str">
        <f>IFERROR(VLOOKUP($D23,Sheet1!$B$2:$S$333,16,FALSE),"")</f>
        <v/>
      </c>
      <c r="M23" s="30" t="str">
        <f>IFERROR(VLOOKUP($D23,Sheet1!$B$2:$S$333,18,FALSE),"")</f>
        <v/>
      </c>
    </row>
    <row r="24" spans="1:21" ht="23.25" customHeight="1" x14ac:dyDescent="0.45">
      <c r="B24" s="33"/>
      <c r="C24" s="27"/>
      <c r="D24" s="27"/>
      <c r="E24" s="28"/>
      <c r="F24" s="31" t="str">
        <f>_xlfn.IFNA(VLOOKUP($D24,Sheet1!$B$2:$E$333,4,FALSE),"")</f>
        <v/>
      </c>
      <c r="G24" s="30" t="str">
        <f>IFERROR(VLOOKUP($D24,Sheet1!$B$2:$S$333,6,FALSE),"")</f>
        <v/>
      </c>
      <c r="H24" s="30" t="str">
        <f>IFERROR(VLOOKUP($D24,Sheet1!$B$2:$S$333,8,FALSE),"")</f>
        <v/>
      </c>
      <c r="I24" s="30" t="str">
        <f>IFERROR(VLOOKUP($D24,Sheet1!$B$2:$S$333,10,FALSE),"")</f>
        <v/>
      </c>
      <c r="J24" s="30" t="str">
        <f>IFERROR(VLOOKUP($D24,Sheet1!$B$2:$S$333,12,FALSE),"")</f>
        <v/>
      </c>
      <c r="K24" s="30" t="str">
        <f>IFERROR(VLOOKUP($D24,Sheet1!$B$2:$S$333,14,FALSE),"")</f>
        <v/>
      </c>
      <c r="L24" s="30" t="str">
        <f>IFERROR(VLOOKUP($D24,Sheet1!$B$2:$S$333,16,FALSE),"")</f>
        <v/>
      </c>
      <c r="M24" s="30" t="str">
        <f>IFERROR(VLOOKUP($D24,Sheet1!$B$2:$S$333,18,FALSE),"")</f>
        <v/>
      </c>
    </row>
    <row r="25" spans="1:21" ht="23.25" customHeight="1" x14ac:dyDescent="0.45">
      <c r="B25" s="33"/>
      <c r="C25" s="27"/>
      <c r="D25" s="27"/>
      <c r="E25" s="28"/>
      <c r="F25" s="31" t="str">
        <f>_xlfn.IFNA(VLOOKUP($D25,Sheet1!$B$2:$E$333,4,FALSE),"")</f>
        <v/>
      </c>
      <c r="G25" s="30" t="str">
        <f>IFERROR(VLOOKUP($D25,Sheet1!$B$2:$S$333,6,FALSE),"")</f>
        <v/>
      </c>
      <c r="H25" s="30" t="str">
        <f>IFERROR(VLOOKUP($D25,Sheet1!$B$2:$S$333,8,FALSE),"")</f>
        <v/>
      </c>
      <c r="I25" s="30" t="str">
        <f>IFERROR(VLOOKUP($D25,Sheet1!$B$2:$S$333,10,FALSE),"")</f>
        <v/>
      </c>
      <c r="J25" s="30" t="str">
        <f>IFERROR(VLOOKUP($D25,Sheet1!$B$2:$S$333,12,FALSE),"")</f>
        <v/>
      </c>
      <c r="K25" s="30" t="str">
        <f>IFERROR(VLOOKUP($D25,Sheet1!$B$2:$S$333,14,FALSE),"")</f>
        <v/>
      </c>
      <c r="L25" s="30" t="str">
        <f>IFERROR(VLOOKUP($D25,Sheet1!$B$2:$S$333,16,FALSE),"")</f>
        <v/>
      </c>
      <c r="M25" s="30" t="str">
        <f>IFERROR(VLOOKUP($D25,Sheet1!$B$2:$S$333,18,FALSE),"")</f>
        <v/>
      </c>
      <c r="U25" s="4" t="s">
        <v>17</v>
      </c>
    </row>
    <row r="26" spans="1:21" ht="23.25" customHeight="1" x14ac:dyDescent="0.45">
      <c r="B26" s="33"/>
      <c r="C26" s="27"/>
      <c r="D26" s="27"/>
      <c r="E26" s="28"/>
      <c r="F26" s="31" t="str">
        <f>_xlfn.IFNA(VLOOKUP($D26,Sheet1!$B$2:$E$333,4,FALSE),"")</f>
        <v/>
      </c>
      <c r="G26" s="30" t="str">
        <f>IFERROR(VLOOKUP($D26,Sheet1!$B$2:$S$333,6,FALSE),"")</f>
        <v/>
      </c>
      <c r="H26" s="30" t="str">
        <f>IFERROR(VLOOKUP($D26,Sheet1!$B$2:$S$333,8,FALSE),"")</f>
        <v/>
      </c>
      <c r="I26" s="30" t="str">
        <f>IFERROR(VLOOKUP($D26,Sheet1!$B$2:$S$333,10,FALSE),"")</f>
        <v/>
      </c>
      <c r="J26" s="30" t="str">
        <f>IFERROR(VLOOKUP($D26,Sheet1!$B$2:$S$333,12,FALSE),"")</f>
        <v/>
      </c>
      <c r="K26" s="30" t="str">
        <f>IFERROR(VLOOKUP($D26,Sheet1!$B$2:$S$333,14,FALSE),"")</f>
        <v/>
      </c>
      <c r="L26" s="30" t="str">
        <f>IFERROR(VLOOKUP($D26,Sheet1!$B$2:$S$333,16,FALSE),"")</f>
        <v/>
      </c>
      <c r="M26" s="30" t="str">
        <f>IFERROR(VLOOKUP($D26,Sheet1!$B$2:$S$333,18,FALSE),"")</f>
        <v/>
      </c>
      <c r="U26" s="4" t="s">
        <v>18</v>
      </c>
    </row>
    <row r="27" spans="1:21" ht="23.25" customHeight="1" thickBot="1" x14ac:dyDescent="0.5">
      <c r="B27" s="35"/>
      <c r="C27" s="36"/>
      <c r="D27" s="36"/>
      <c r="E27" s="37"/>
      <c r="F27" s="38" t="str">
        <f>_xlfn.IFNA(VLOOKUP($D27,Sheet1!$B$2:$E$333,4,FALSE),"")</f>
        <v/>
      </c>
      <c r="G27" s="30" t="str">
        <f>IFERROR(VLOOKUP($D27,Sheet1!$B$2:$S$333,6,FALSE),"")</f>
        <v/>
      </c>
      <c r="H27" s="30" t="str">
        <f>IFERROR(VLOOKUP($D27,Sheet1!$B$2:$S$333,8,FALSE),"")</f>
        <v/>
      </c>
      <c r="I27" s="30" t="str">
        <f>IFERROR(VLOOKUP($D27,Sheet1!$B$2:$S$333,10,FALSE),"")</f>
        <v/>
      </c>
      <c r="J27" s="30" t="str">
        <f>IFERROR(VLOOKUP($D27,Sheet1!$B$2:$S$333,12,FALSE),"")</f>
        <v/>
      </c>
      <c r="K27" s="30" t="str">
        <f>IFERROR(VLOOKUP($D27,Sheet1!$B$2:$S$333,14,FALSE),"")</f>
        <v/>
      </c>
      <c r="L27" s="30" t="str">
        <f>IFERROR(VLOOKUP($D27,Sheet1!$B$2:$S$333,16,FALSE),"")</f>
        <v/>
      </c>
      <c r="M27" s="30" t="str">
        <f>IFERROR(VLOOKUP($D27,Sheet1!$B$2:$S$333,18,FALSE),"")</f>
        <v/>
      </c>
    </row>
    <row r="28" spans="1:21" ht="23.25" customHeight="1" thickBot="1" x14ac:dyDescent="0.4">
      <c r="A28" s="22"/>
      <c r="B28" s="23"/>
      <c r="C28" s="406" t="s">
        <v>19</v>
      </c>
      <c r="D28" s="406"/>
      <c r="E28" s="406"/>
      <c r="F28" s="406"/>
      <c r="G28" s="406"/>
      <c r="H28" s="406"/>
      <c r="I28" s="406"/>
      <c r="J28" s="406"/>
      <c r="K28" s="406"/>
      <c r="L28" s="406"/>
      <c r="M28" s="407"/>
    </row>
    <row r="29" spans="1:21" ht="23.25" customHeight="1" x14ac:dyDescent="0.45">
      <c r="B29" s="39" t="s">
        <v>20</v>
      </c>
      <c r="C29" s="40" t="str" cm="1">
        <f t="array" ref="C29:E37">_xlfn._xlws.FILTER(Sheet1!$A$2:$C$333,Sheet1!$C$2:$C$333='GAD DISPATCHER SCHEDULE'!$U$14)</f>
        <v>BONNER, DEVIAN</v>
      </c>
      <c r="D29" s="40" t="str">
        <v>1030404</v>
      </c>
      <c r="E29" s="41" t="str">
        <v>GREATLAKES - GAD</v>
      </c>
      <c r="F29" s="29">
        <f>_xlfn.IFNA(VLOOKUP($D29,Sheet1!$B$2:$E$333,4,FALSE),"")</f>
        <v>0</v>
      </c>
      <c r="G29" s="44" t="str">
        <f>IFERROR(VLOOKUP($D29,Sheet1!$B$2:$S$333,6,FALSE),"")</f>
        <v>SA-1</v>
      </c>
      <c r="H29" s="44" t="str">
        <f>IFERROR(VLOOKUP($D29,Sheet1!$B$2:$S$333,8,FALSE),"")</f>
        <v>SA-2</v>
      </c>
      <c r="I29" s="44" t="str">
        <f>IFERROR(VLOOKUP($D29,Sheet1!$B$2:$S$333,10,FALSE),"")</f>
        <v>SA-2</v>
      </c>
      <c r="J29" s="44" t="str">
        <f>IFERROR(VLOOKUP($D29,Sheet1!$B$2:$S$333,12,FALSE),"")</f>
        <v>SA-3</v>
      </c>
      <c r="K29" s="44" t="str">
        <f>IFERROR(VLOOKUP($D29,Sheet1!$B$2:$S$333,14,FALSE),"")</f>
        <v>OFF</v>
      </c>
      <c r="L29" s="44" t="str">
        <f>IFERROR(VLOOKUP($D29,Sheet1!$B$2:$S$333,16,FALSE),"")</f>
        <v>OFF</v>
      </c>
      <c r="M29" s="44" t="str">
        <f>IFERROR(VLOOKUP($D29,Sheet1!$B$2:$S$333,18,FALSE),"")</f>
        <v>MT-3</v>
      </c>
    </row>
    <row r="30" spans="1:21" ht="23.25" customHeight="1" x14ac:dyDescent="0.6">
      <c r="B30" s="45" t="s">
        <v>21</v>
      </c>
      <c r="C30" s="42" t="str">
        <v>HESSELTINE, BRAEDEN</v>
      </c>
      <c r="D30" s="42" t="str">
        <v>1024137</v>
      </c>
      <c r="E30" s="43" t="str">
        <v>GREATLAKES - GAD</v>
      </c>
      <c r="F30" s="31">
        <f>_xlfn.IFNA(VLOOKUP($D30,Sheet1!$B$2:$E$333,4,FALSE),"")</f>
        <v>0</v>
      </c>
      <c r="G30" s="44" t="str">
        <f>IFERROR(VLOOKUP($D30,Sheet1!$B$2:$S$333,6,FALSE),"")</f>
        <v>LF-2</v>
      </c>
      <c r="H30" s="44" t="str">
        <f>IFERROR(VLOOKUP($D30,Sheet1!$B$2:$S$333,8,FALSE),"")</f>
        <v>LF-2</v>
      </c>
      <c r="I30" s="44" t="str">
        <f>IFERROR(VLOOKUP($D30,Sheet1!$B$2:$S$333,10,FALSE),"")</f>
        <v>CG-3</v>
      </c>
      <c r="J30" s="44" t="str">
        <f>IFERROR(VLOOKUP($D30,Sheet1!$B$2:$S$333,12,FALSE),"")</f>
        <v>AVAILABLE</v>
      </c>
      <c r="K30" s="44" t="str">
        <f>IFERROR(VLOOKUP($D30,Sheet1!$B$2:$S$333,14,FALSE),"")</f>
        <v>OFF</v>
      </c>
      <c r="L30" s="44" t="str">
        <f>IFERROR(VLOOKUP($D30,Sheet1!$B$2:$S$333,16,FALSE),"")</f>
        <v>OFF</v>
      </c>
      <c r="M30" s="44" t="str">
        <f>IFERROR(VLOOKUP($D30,Sheet1!$B$2:$S$333,18,FALSE),"")</f>
        <v>LF-3</v>
      </c>
    </row>
    <row r="31" spans="1:21" ht="23.25" customHeight="1" x14ac:dyDescent="0.45">
      <c r="B31" s="39" t="s">
        <v>22</v>
      </c>
      <c r="C31" s="42" t="str">
        <v>JOHNSON, EMILY</v>
      </c>
      <c r="D31" s="42" t="str">
        <v>1014067</v>
      </c>
      <c r="E31" s="43" t="str">
        <v>GREATLAKES - GAD</v>
      </c>
      <c r="F31" s="31">
        <f>_xlfn.IFNA(VLOOKUP($D31,Sheet1!$B$2:$E$333,4,FALSE),"")</f>
        <v>0</v>
      </c>
      <c r="G31" s="44" t="str">
        <f>IFERROR(VLOOKUP($D31,Sheet1!$B$2:$S$333,6,FALSE),"")</f>
        <v>TT-3</v>
      </c>
      <c r="H31" s="44" t="str">
        <f>IFERROR(VLOOKUP($D31,Sheet1!$B$2:$S$333,8,FALSE),"")</f>
        <v>TT-3</v>
      </c>
      <c r="I31" s="44" t="str">
        <f>IFERROR(VLOOKUP($D31,Sheet1!$B$2:$S$333,10,FALSE),"")</f>
        <v>OFF</v>
      </c>
      <c r="J31" s="44" t="str">
        <f>IFERROR(VLOOKUP($D31,Sheet1!$B$2:$S$333,12,FALSE),"")</f>
        <v>OFF</v>
      </c>
      <c r="K31" s="44" t="str">
        <f>IFERROR(VLOOKUP($D31,Sheet1!$B$2:$S$333,14,FALSE),"")</f>
        <v>EL-3</v>
      </c>
      <c r="L31" s="44" t="str">
        <f>IFERROR(VLOOKUP($D31,Sheet1!$B$2:$S$333,16,FALSE),"")</f>
        <v>S-SD</v>
      </c>
      <c r="M31" s="44" t="str">
        <f>IFERROR(VLOOKUP($D31,Sheet1!$B$2:$S$333,18,FALSE),"")</f>
        <v>EL-3</v>
      </c>
    </row>
    <row r="32" spans="1:21" ht="23.25" customHeight="1" x14ac:dyDescent="0.45">
      <c r="B32" s="46" t="s">
        <v>23</v>
      </c>
      <c r="C32" s="42" t="str">
        <v>MCGOLDRICK, MATT</v>
      </c>
      <c r="D32" s="42" t="str">
        <v>1031115</v>
      </c>
      <c r="E32" s="43" t="str">
        <v>GREATLAKES - GAD</v>
      </c>
      <c r="F32" s="31">
        <f>_xlfn.IFNA(VLOOKUP($D32,Sheet1!$B$2:$E$333,4,FALSE),"")</f>
        <v>0</v>
      </c>
      <c r="G32" s="44" t="str">
        <f>IFERROR(VLOOKUP($D32,Sheet1!$B$2:$S$333,6,FALSE),"")</f>
        <v>OFF</v>
      </c>
      <c r="H32" s="44" t="str">
        <f>IFERROR(VLOOKUP($D32,Sheet1!$B$2:$S$333,8,FALSE),"")</f>
        <v>OFF</v>
      </c>
      <c r="I32" s="44" t="str">
        <f>IFERROR(VLOOKUP($D32,Sheet1!$B$2:$S$333,10,FALSE),"")</f>
        <v>CD-2</v>
      </c>
      <c r="J32" s="44" t="str">
        <f>IFERROR(VLOOKUP($D32,Sheet1!$B$2:$S$333,12,FALSE),"")</f>
        <v>CD-3</v>
      </c>
      <c r="K32" s="44" t="str">
        <f>IFERROR(VLOOKUP($D32,Sheet1!$B$2:$S$333,14,FALSE),"")</f>
        <v>CD-3</v>
      </c>
      <c r="L32" s="44" t="str">
        <f>IFERROR(VLOOKUP($D32,Sheet1!$B$2:$S$333,16,FALSE),"")</f>
        <v>AVAILABLE</v>
      </c>
      <c r="M32" s="44" t="str">
        <f>IFERROR(VLOOKUP($D32,Sheet1!$B$2:$S$333,18,FALSE),"")</f>
        <v>CD-1</v>
      </c>
    </row>
    <row r="33" spans="2:13" ht="23.25" customHeight="1" x14ac:dyDescent="0.45">
      <c r="B33" s="39" t="s">
        <v>24</v>
      </c>
      <c r="C33" s="42" t="str">
        <v>MCINTYRE, SHAE</v>
      </c>
      <c r="D33" s="42" t="str">
        <v>1028383</v>
      </c>
      <c r="E33" s="43" t="str">
        <v>GREATLAKES - GAD</v>
      </c>
      <c r="F33" s="31">
        <f>_xlfn.IFNA(VLOOKUP($D33,Sheet1!$B$2:$E$333,4,FALSE),"")</f>
        <v>0</v>
      </c>
      <c r="G33" s="44" t="str">
        <f>IFERROR(VLOOKUP($D33,Sheet1!$B$2:$S$333,6,FALSE),"")</f>
        <v>FMLA</v>
      </c>
      <c r="H33" s="44" t="str">
        <f>IFERROR(VLOOKUP($D33,Sheet1!$B$2:$S$333,8,FALSE),"")</f>
        <v>FMLA</v>
      </c>
      <c r="I33" s="44" t="str">
        <f>IFERROR(VLOOKUP($D33,Sheet1!$B$2:$S$333,10,FALSE),"")</f>
        <v>FMLA</v>
      </c>
      <c r="J33" s="44" t="str">
        <f>IFERROR(VLOOKUP($D33,Sheet1!$B$2:$S$333,12,FALSE),"")</f>
        <v>FMLA</v>
      </c>
      <c r="K33" s="44" t="str">
        <f>IFERROR(VLOOKUP($D33,Sheet1!$B$2:$S$333,14,FALSE),"")</f>
        <v>FMLA</v>
      </c>
      <c r="L33" s="44" t="str">
        <f>IFERROR(VLOOKUP($D33,Sheet1!$B$2:$S$333,16,FALSE),"")</f>
        <v>FMLA</v>
      </c>
      <c r="M33" s="44" t="str">
        <f>IFERROR(VLOOKUP($D33,Sheet1!$B$2:$S$333,18,FALSE),"")</f>
        <v>FMLA</v>
      </c>
    </row>
    <row r="34" spans="2:13" ht="23.25" customHeight="1" x14ac:dyDescent="0.45">
      <c r="B34" s="47" t="s">
        <v>25</v>
      </c>
      <c r="C34" s="42" t="str">
        <v>MIMS, CHRISTOPHER</v>
      </c>
      <c r="D34" s="42" t="str">
        <v>1030366</v>
      </c>
      <c r="E34" s="43" t="str">
        <v>GREATLAKES - GAD</v>
      </c>
      <c r="F34" s="31">
        <f>_xlfn.IFNA(VLOOKUP($D34,Sheet1!$B$2:$E$333,4,FALSE),"")</f>
        <v>0</v>
      </c>
      <c r="G34" s="44" t="str">
        <f>IFERROR(VLOOKUP($D34,Sheet1!$B$2:$S$333,6,FALSE),"")</f>
        <v>RL-3</v>
      </c>
      <c r="H34" s="44" t="str">
        <f>IFERROR(VLOOKUP($D34,Sheet1!$B$2:$S$333,8,FALSE),"")</f>
        <v>RL-3</v>
      </c>
      <c r="I34" s="44" t="str">
        <f>IFERROR(VLOOKUP($D34,Sheet1!$B$2:$S$333,10,FALSE),"")</f>
        <v>OFF</v>
      </c>
      <c r="J34" s="44" t="str">
        <f>IFERROR(VLOOKUP($D34,Sheet1!$B$2:$S$333,12,FALSE),"")</f>
        <v>OFF</v>
      </c>
      <c r="K34" s="44" t="str">
        <f>IFERROR(VLOOKUP($D34,Sheet1!$B$2:$S$333,14,FALSE),"")</f>
        <v>AVAILABLE</v>
      </c>
      <c r="L34" s="44" t="str">
        <f>IFERROR(VLOOKUP($D34,Sheet1!$B$2:$S$333,16,FALSE),"")</f>
        <v>AVAILABLE</v>
      </c>
      <c r="M34" s="44" t="str">
        <f>IFERROR(VLOOKUP($D34,Sheet1!$B$2:$S$333,18,FALSE),"")</f>
        <v>MT-2</v>
      </c>
    </row>
    <row r="35" spans="2:13" ht="23.25" customHeight="1" x14ac:dyDescent="0.45">
      <c r="B35" s="48"/>
      <c r="C35" s="42" t="str">
        <v>SLANEY, MATTHEW</v>
      </c>
      <c r="D35" s="42" t="str">
        <v>1026431</v>
      </c>
      <c r="E35" s="43" t="str">
        <v>GREATLAKES - GAD</v>
      </c>
      <c r="F35" s="31">
        <f>_xlfn.IFNA(VLOOKUP($D35,Sheet1!$B$2:$E$333,4,FALSE),"")</f>
        <v>0</v>
      </c>
      <c r="G35" s="44" t="str">
        <f>IFERROR(VLOOKUP($D35,Sheet1!$B$2:$S$333,6,FALSE),"")</f>
        <v>OFF</v>
      </c>
      <c r="H35" s="44" t="str">
        <f>IFERROR(VLOOKUP($D35,Sheet1!$B$2:$S$333,8,FALSE),"")</f>
        <v>OFF</v>
      </c>
      <c r="I35" s="44" t="str">
        <f>IFERROR(VLOOKUP($D35,Sheet1!$B$2:$S$333,10,FALSE),"")</f>
        <v>HE-1</v>
      </c>
      <c r="J35" s="44" t="str">
        <f>IFERROR(VLOOKUP($D35,Sheet1!$B$2:$S$333,12,FALSE),"")</f>
        <v>MV-1</v>
      </c>
      <c r="K35" s="44" t="str">
        <f>IFERROR(VLOOKUP($D35,Sheet1!$B$2:$S$333,14,FALSE),"")</f>
        <v>HE-3</v>
      </c>
      <c r="L35" s="44" t="str">
        <f>IFERROR(VLOOKUP($D35,Sheet1!$B$2:$S$333,16,FALSE),"")</f>
        <v>EL-3</v>
      </c>
      <c r="M35" s="44" t="str">
        <f>IFERROR(VLOOKUP($D35,Sheet1!$B$2:$S$333,18,FALSE),"")</f>
        <v>AVAILABLE</v>
      </c>
    </row>
    <row r="36" spans="2:13" ht="23.25" customHeight="1" x14ac:dyDescent="0.45">
      <c r="B36" s="49"/>
      <c r="C36" s="42" t="str">
        <v>TAYLOR, JASMINE</v>
      </c>
      <c r="D36" s="42" t="str">
        <v>1026382</v>
      </c>
      <c r="E36" s="43" t="str">
        <v>GREATLAKES - GAD</v>
      </c>
      <c r="F36" s="31">
        <f>_xlfn.IFNA(VLOOKUP($D36,Sheet1!$B$2:$E$333,4,FALSE),"")</f>
        <v>0</v>
      </c>
      <c r="G36" s="44" t="str">
        <f>IFERROR(VLOOKUP($D36,Sheet1!$B$2:$S$333,6,FALSE),"")</f>
        <v>OFF</v>
      </c>
      <c r="H36" s="44" t="str">
        <f>IFERROR(VLOOKUP($D36,Sheet1!$B$2:$S$333,8,FALSE),"")</f>
        <v>KN-2</v>
      </c>
      <c r="I36" s="44" t="str">
        <f>IFERROR(VLOOKUP($D36,Sheet1!$B$2:$S$333,10,FALSE),"")</f>
        <v>SA-3</v>
      </c>
      <c r="J36" s="44" t="str">
        <f>IFERROR(VLOOKUP($D36,Sheet1!$B$2:$S$333,12,FALSE),"")</f>
        <v>KN-3</v>
      </c>
      <c r="K36" s="44" t="str">
        <f>IFERROR(VLOOKUP($D36,Sheet1!$B$2:$S$333,14,FALSE),"")</f>
        <v>SA-3</v>
      </c>
      <c r="L36" s="44" t="str">
        <f>IFERROR(VLOOKUP($D36,Sheet1!$B$2:$S$333,16,FALSE),"")</f>
        <v>AVAILABLE</v>
      </c>
      <c r="M36" s="44" t="str">
        <f>IFERROR(VLOOKUP($D36,Sheet1!$B$2:$S$333,18,FALSE),"")</f>
        <v>SA-1</v>
      </c>
    </row>
    <row r="37" spans="2:13" ht="23.25" customHeight="1" x14ac:dyDescent="0.45">
      <c r="B37" s="49"/>
      <c r="C37" s="42" t="str">
        <v>WAGUESPACK, SAMMY</v>
      </c>
      <c r="D37" s="42" t="str">
        <v>1025503</v>
      </c>
      <c r="E37" s="43" t="str">
        <v>GREATLAKES - GAD</v>
      </c>
      <c r="F37" s="31">
        <f>_xlfn.IFNA(VLOOKUP($D37,Sheet1!$B$2:$E$333,4,FALSE),"")</f>
        <v>0</v>
      </c>
      <c r="G37" s="44" t="str">
        <f>IFERROR(VLOOKUP($D37,Sheet1!$B$2:$S$333,6,FALSE),"")</f>
        <v>CG-1</v>
      </c>
      <c r="H37" s="44" t="str">
        <f>IFERROR(VLOOKUP($D37,Sheet1!$B$2:$S$333,8,FALSE),"")</f>
        <v>SO-2</v>
      </c>
      <c r="I37" s="44" t="str">
        <f>IFERROR(VLOOKUP($D37,Sheet1!$B$2:$S$333,10,FALSE),"")</f>
        <v>TT-3</v>
      </c>
      <c r="J37" s="44" t="str">
        <f>IFERROR(VLOOKUP($D37,Sheet1!$B$2:$S$333,12,FALSE),"")</f>
        <v>TT-3</v>
      </c>
      <c r="K37" s="44" t="str">
        <f>IFERROR(VLOOKUP($D37,Sheet1!$B$2:$S$333,14,FALSE),"")</f>
        <v>OFF</v>
      </c>
      <c r="L37" s="44" t="str">
        <f>IFERROR(VLOOKUP($D37,Sheet1!$B$2:$S$333,16,FALSE),"")</f>
        <v>OFF</v>
      </c>
      <c r="M37" s="44" t="str">
        <f>IFERROR(VLOOKUP($D37,Sheet1!$B$2:$S$333,18,FALSE),"")</f>
        <v>MT-1-POST</v>
      </c>
    </row>
    <row r="38" spans="2:13" ht="23.25" customHeight="1" x14ac:dyDescent="0.45">
      <c r="B38" s="49"/>
      <c r="C38" s="42"/>
      <c r="D38" s="42"/>
      <c r="E38" s="43"/>
      <c r="F38" s="31" t="str">
        <f>_xlfn.IFNA(VLOOKUP($D38,Sheet1!$B$2:$E$333,4,FALSE),"")</f>
        <v/>
      </c>
      <c r="G38" s="44" t="str">
        <f>IFERROR(VLOOKUP($D38,Sheet1!$B$2:$S$333,6,FALSE),"")</f>
        <v/>
      </c>
      <c r="H38" s="44" t="str">
        <f>IFERROR(VLOOKUP($D38,Sheet1!$B$2:$S$333,8,FALSE),"")</f>
        <v/>
      </c>
      <c r="I38" s="44" t="str">
        <f>IFERROR(VLOOKUP($D38,Sheet1!$B$2:$S$333,10,FALSE),"")</f>
        <v/>
      </c>
      <c r="J38" s="44" t="str">
        <f>IFERROR(VLOOKUP($D38,Sheet1!$B$2:$S$333,12,FALSE),"")</f>
        <v/>
      </c>
      <c r="K38" s="44" t="str">
        <f>IFERROR(VLOOKUP($D38,Sheet1!$B$2:$S$333,14,FALSE),"")</f>
        <v/>
      </c>
      <c r="L38" s="44" t="str">
        <f>IFERROR(VLOOKUP($D38,Sheet1!$B$2:$S$333,16,FALSE),"")</f>
        <v/>
      </c>
      <c r="M38" s="44" t="str">
        <f>IFERROR(VLOOKUP($D38,Sheet1!$B$2:$S$333,18,FALSE),"")</f>
        <v/>
      </c>
    </row>
    <row r="39" spans="2:13" ht="23.25" customHeight="1" x14ac:dyDescent="0.45">
      <c r="B39" s="49"/>
      <c r="C39" s="42"/>
      <c r="D39" s="42"/>
      <c r="E39" s="43"/>
      <c r="F39" s="31" t="str">
        <f>_xlfn.IFNA(VLOOKUP($D39,Sheet1!$B$2:$E$333,4,FALSE),"")</f>
        <v/>
      </c>
      <c r="G39" s="44" t="str">
        <f>IFERROR(VLOOKUP($D39,Sheet1!$B$2:$S$333,6,FALSE),"")</f>
        <v/>
      </c>
      <c r="H39" s="44" t="str">
        <f>IFERROR(VLOOKUP($D39,Sheet1!$B$2:$S$333,8,FALSE),"")</f>
        <v/>
      </c>
      <c r="I39" s="44" t="str">
        <f>IFERROR(VLOOKUP($D39,Sheet1!$B$2:$S$333,10,FALSE),"")</f>
        <v/>
      </c>
      <c r="J39" s="44" t="str">
        <f>IFERROR(VLOOKUP($D39,Sheet1!$B$2:$S$333,12,FALSE),"")</f>
        <v/>
      </c>
      <c r="K39" s="44" t="str">
        <f>IFERROR(VLOOKUP($D39,Sheet1!$B$2:$S$333,14,FALSE),"")</f>
        <v/>
      </c>
      <c r="L39" s="44" t="str">
        <f>IFERROR(VLOOKUP($D39,Sheet1!$B$2:$S$333,16,FALSE),"")</f>
        <v/>
      </c>
      <c r="M39" s="44" t="str">
        <f>IFERROR(VLOOKUP($D39,Sheet1!$B$2:$S$333,18,FALSE),"")</f>
        <v/>
      </c>
    </row>
    <row r="40" spans="2:13" ht="23.25" customHeight="1" x14ac:dyDescent="0.45">
      <c r="B40" s="49"/>
      <c r="C40" s="42"/>
      <c r="D40" s="42"/>
      <c r="E40" s="43"/>
      <c r="F40" s="31" t="str">
        <f>_xlfn.IFNA(VLOOKUP($D40,Sheet1!$B$2:$E$333,4,FALSE),"")</f>
        <v/>
      </c>
      <c r="G40" s="44" t="str">
        <f>IFERROR(VLOOKUP($D40,Sheet1!$B$2:$S$333,6,FALSE),"")</f>
        <v/>
      </c>
      <c r="H40" s="44" t="str">
        <f>IFERROR(VLOOKUP($D40,Sheet1!$B$2:$S$333,8,FALSE),"")</f>
        <v/>
      </c>
      <c r="I40" s="44" t="str">
        <f>IFERROR(VLOOKUP($D40,Sheet1!$B$2:$S$333,10,FALSE),"")</f>
        <v/>
      </c>
      <c r="J40" s="44" t="str">
        <f>IFERROR(VLOOKUP($D40,Sheet1!$B$2:$S$333,12,FALSE),"")</f>
        <v/>
      </c>
      <c r="K40" s="44" t="str">
        <f>IFERROR(VLOOKUP($D40,Sheet1!$B$2:$S$333,14,FALSE),"")</f>
        <v/>
      </c>
      <c r="L40" s="44" t="str">
        <f>IFERROR(VLOOKUP($D40,Sheet1!$B$2:$S$333,16,FALSE),"")</f>
        <v/>
      </c>
      <c r="M40" s="44" t="str">
        <f>IFERROR(VLOOKUP($D40,Sheet1!$B$2:$S$333,18,FALSE),"")</f>
        <v/>
      </c>
    </row>
    <row r="41" spans="2:13" ht="23.25" customHeight="1" x14ac:dyDescent="0.45">
      <c r="B41" s="49"/>
      <c r="C41" s="42"/>
      <c r="D41" s="42"/>
      <c r="E41" s="43"/>
      <c r="F41" s="31" t="str">
        <f>_xlfn.IFNA(VLOOKUP($D41,Sheet1!$B$2:$E$333,4,FALSE),"")</f>
        <v/>
      </c>
      <c r="G41" s="44" t="str">
        <f>IFERROR(VLOOKUP($D41,Sheet1!$B$2:$S$333,6,FALSE),"")</f>
        <v/>
      </c>
      <c r="H41" s="44" t="str">
        <f>IFERROR(VLOOKUP($D41,Sheet1!$B$2:$S$333,8,FALSE),"")</f>
        <v/>
      </c>
      <c r="I41" s="44" t="str">
        <f>IFERROR(VLOOKUP($D41,Sheet1!$B$2:$S$333,10,FALSE),"")</f>
        <v/>
      </c>
      <c r="J41" s="44" t="str">
        <f>IFERROR(VLOOKUP($D41,Sheet1!$B$2:$S$333,12,FALSE),"")</f>
        <v/>
      </c>
      <c r="K41" s="44" t="str">
        <f>IFERROR(VLOOKUP($D41,Sheet1!$B$2:$S$333,14,FALSE),"")</f>
        <v/>
      </c>
      <c r="L41" s="44" t="str">
        <f>IFERROR(VLOOKUP($D41,Sheet1!$B$2:$S$333,16,FALSE),"")</f>
        <v/>
      </c>
      <c r="M41" s="44" t="str">
        <f>IFERROR(VLOOKUP($D41,Sheet1!$B$2:$S$333,18,FALSE),"")</f>
        <v/>
      </c>
    </row>
    <row r="42" spans="2:13" ht="23.25" customHeight="1" x14ac:dyDescent="0.45">
      <c r="B42" s="49"/>
      <c r="C42" s="42"/>
      <c r="D42" s="42"/>
      <c r="E42" s="43"/>
      <c r="F42" s="31" t="str">
        <f>_xlfn.IFNA(VLOOKUP($D42,Sheet1!$B$2:$E$333,4,FALSE),"")</f>
        <v/>
      </c>
      <c r="G42" s="44" t="str">
        <f>IFERROR(VLOOKUP($D42,Sheet1!$B$2:$S$333,6,FALSE),"")</f>
        <v/>
      </c>
      <c r="H42" s="44" t="str">
        <f>IFERROR(VLOOKUP($D42,Sheet1!$B$2:$S$333,8,FALSE),"")</f>
        <v/>
      </c>
      <c r="I42" s="44" t="str">
        <f>IFERROR(VLOOKUP($D42,Sheet1!$B$2:$S$333,10,FALSE),"")</f>
        <v/>
      </c>
      <c r="J42" s="44" t="str">
        <f>IFERROR(VLOOKUP($D42,Sheet1!$B$2:$S$333,12,FALSE),"")</f>
        <v/>
      </c>
      <c r="K42" s="44" t="str">
        <f>IFERROR(VLOOKUP($D42,Sheet1!$B$2:$S$333,14,FALSE),"")</f>
        <v/>
      </c>
      <c r="L42" s="44" t="str">
        <f>IFERROR(VLOOKUP($D42,Sheet1!$B$2:$S$333,16,FALSE),"")</f>
        <v/>
      </c>
      <c r="M42" s="44" t="str">
        <f>IFERROR(VLOOKUP($D42,Sheet1!$B$2:$S$333,18,FALSE),"")</f>
        <v/>
      </c>
    </row>
    <row r="43" spans="2:13" ht="23.25" customHeight="1" x14ac:dyDescent="0.45">
      <c r="B43" s="49"/>
      <c r="C43" s="42"/>
      <c r="D43" s="42"/>
      <c r="E43" s="43"/>
      <c r="F43" s="31" t="str">
        <f>_xlfn.IFNA(VLOOKUP($D43,Sheet1!$B$2:$E$333,4,FALSE),"")</f>
        <v/>
      </c>
      <c r="G43" s="44" t="str">
        <f>IFERROR(VLOOKUP($D43,Sheet1!$B$2:$S$333,6,FALSE),"")</f>
        <v/>
      </c>
      <c r="H43" s="44" t="str">
        <f>IFERROR(VLOOKUP($D43,Sheet1!$B$2:$S$333,8,FALSE),"")</f>
        <v/>
      </c>
      <c r="I43" s="44" t="str">
        <f>IFERROR(VLOOKUP($D43,Sheet1!$B$2:$S$333,10,FALSE),"")</f>
        <v/>
      </c>
      <c r="J43" s="44" t="str">
        <f>IFERROR(VLOOKUP($D43,Sheet1!$B$2:$S$333,12,FALSE),"")</f>
        <v/>
      </c>
      <c r="K43" s="44" t="str">
        <f>IFERROR(VLOOKUP($D43,Sheet1!$B$2:$S$333,14,FALSE),"")</f>
        <v/>
      </c>
      <c r="L43" s="44" t="str">
        <f>IFERROR(VLOOKUP($D43,Sheet1!$B$2:$S$333,16,FALSE),"")</f>
        <v/>
      </c>
      <c r="M43" s="44" t="str">
        <f>IFERROR(VLOOKUP($D43,Sheet1!$B$2:$S$333,18,FALSE),"")</f>
        <v/>
      </c>
    </row>
    <row r="44" spans="2:13" ht="23.25" customHeight="1" x14ac:dyDescent="0.45">
      <c r="B44" s="49"/>
      <c r="C44" s="42"/>
      <c r="D44" s="42"/>
      <c r="E44" s="43"/>
      <c r="F44" s="31" t="str">
        <f>_xlfn.IFNA(VLOOKUP($D44,Sheet1!$B$2:$E$333,4,FALSE),"")</f>
        <v/>
      </c>
      <c r="G44" s="44" t="str">
        <f>IFERROR(VLOOKUP($D44,Sheet1!$B$2:$S$333,6,FALSE),"")</f>
        <v/>
      </c>
      <c r="H44" s="44" t="str">
        <f>IFERROR(VLOOKUP($D44,Sheet1!$B$2:$S$333,8,FALSE),"")</f>
        <v/>
      </c>
      <c r="I44" s="44" t="str">
        <f>IFERROR(VLOOKUP($D44,Sheet1!$B$2:$S$333,10,FALSE),"")</f>
        <v/>
      </c>
      <c r="J44" s="44" t="str">
        <f>IFERROR(VLOOKUP($D44,Sheet1!$B$2:$S$333,12,FALSE),"")</f>
        <v/>
      </c>
      <c r="K44" s="44" t="str">
        <f>IFERROR(VLOOKUP($D44,Sheet1!$B$2:$S$333,14,FALSE),"")</f>
        <v/>
      </c>
      <c r="L44" s="44" t="str">
        <f>IFERROR(VLOOKUP($D44,Sheet1!$B$2:$S$333,16,FALSE),"")</f>
        <v/>
      </c>
      <c r="M44" s="44" t="str">
        <f>IFERROR(VLOOKUP($D44,Sheet1!$B$2:$S$333,18,FALSE),"")</f>
        <v/>
      </c>
    </row>
    <row r="45" spans="2:13" ht="23.25" customHeight="1" x14ac:dyDescent="0.45">
      <c r="B45" s="49"/>
      <c r="C45" s="42"/>
      <c r="D45" s="42"/>
      <c r="E45" s="43"/>
      <c r="F45" s="31" t="str">
        <f>_xlfn.IFNA(VLOOKUP($D45,Sheet1!$B$2:$E$333,4,FALSE),"")</f>
        <v/>
      </c>
      <c r="G45" s="44" t="str">
        <f>IFERROR(VLOOKUP($D45,Sheet1!$B$2:$S$333,6,FALSE),"")</f>
        <v/>
      </c>
      <c r="H45" s="44" t="str">
        <f>IFERROR(VLOOKUP($D45,Sheet1!$B$2:$S$333,8,FALSE),"")</f>
        <v/>
      </c>
      <c r="I45" s="44" t="str">
        <f>IFERROR(VLOOKUP($D45,Sheet1!$B$2:$S$333,10,FALSE),"")</f>
        <v/>
      </c>
      <c r="J45" s="44" t="str">
        <f>IFERROR(VLOOKUP($D45,Sheet1!$B$2:$S$333,12,FALSE),"")</f>
        <v/>
      </c>
      <c r="K45" s="44" t="str">
        <f>IFERROR(VLOOKUP($D45,Sheet1!$B$2:$S$333,14,FALSE),"")</f>
        <v/>
      </c>
      <c r="L45" s="44" t="str">
        <f>IFERROR(VLOOKUP($D45,Sheet1!$B$2:$S$333,16,FALSE),"")</f>
        <v/>
      </c>
      <c r="M45" s="44" t="str">
        <f>IFERROR(VLOOKUP($D45,Sheet1!$B$2:$S$333,18,FALSE),"")</f>
        <v/>
      </c>
    </row>
    <row r="46" spans="2:13" ht="23.25" customHeight="1" x14ac:dyDescent="0.45">
      <c r="B46" s="49"/>
      <c r="C46" s="42"/>
      <c r="D46" s="42"/>
      <c r="E46" s="43"/>
      <c r="F46" s="31" t="str">
        <f>_xlfn.IFNA(VLOOKUP($D46,Sheet1!$B$2:$E$333,4,FALSE),"")</f>
        <v/>
      </c>
      <c r="G46" s="44" t="str">
        <f>IFERROR(VLOOKUP($D46,Sheet1!$B$2:$S$333,6,FALSE),"")</f>
        <v/>
      </c>
      <c r="H46" s="44" t="str">
        <f>IFERROR(VLOOKUP($D46,Sheet1!$B$2:$S$333,8,FALSE),"")</f>
        <v/>
      </c>
      <c r="I46" s="44" t="str">
        <f>IFERROR(VLOOKUP($D46,Sheet1!$B$2:$S$333,10,FALSE),"")</f>
        <v/>
      </c>
      <c r="J46" s="44" t="str">
        <f>IFERROR(VLOOKUP($D46,Sheet1!$B$2:$S$333,12,FALSE),"")</f>
        <v/>
      </c>
      <c r="K46" s="44" t="str">
        <f>IFERROR(VLOOKUP($D46,Sheet1!$B$2:$S$333,14,FALSE),"")</f>
        <v/>
      </c>
      <c r="L46" s="44" t="str">
        <f>IFERROR(VLOOKUP($D46,Sheet1!$B$2:$S$333,16,FALSE),"")</f>
        <v/>
      </c>
      <c r="M46" s="44" t="str">
        <f>IFERROR(VLOOKUP($D46,Sheet1!$B$2:$S$333,18,FALSE),"")</f>
        <v/>
      </c>
    </row>
    <row r="47" spans="2:13" ht="23.25" customHeight="1" x14ac:dyDescent="0.45">
      <c r="B47" s="49"/>
      <c r="C47" s="42"/>
      <c r="D47" s="42"/>
      <c r="E47" s="43"/>
      <c r="F47" s="31" t="str">
        <f>_xlfn.IFNA(VLOOKUP($D47,Sheet1!$B$2:$E$333,4,FALSE),"")</f>
        <v/>
      </c>
      <c r="G47" s="44" t="str">
        <f>IFERROR(VLOOKUP($D47,Sheet1!$B$2:$S$333,6,FALSE),"")</f>
        <v/>
      </c>
      <c r="H47" s="44" t="str">
        <f>IFERROR(VLOOKUP($D47,Sheet1!$B$2:$S$333,8,FALSE),"")</f>
        <v/>
      </c>
      <c r="I47" s="44" t="str">
        <f>IFERROR(VLOOKUP($D47,Sheet1!$B$2:$S$333,10,FALSE),"")</f>
        <v/>
      </c>
      <c r="J47" s="44" t="str">
        <f>IFERROR(VLOOKUP($D47,Sheet1!$B$2:$S$333,12,FALSE),"")</f>
        <v/>
      </c>
      <c r="K47" s="44" t="str">
        <f>IFERROR(VLOOKUP($D47,Sheet1!$B$2:$S$333,14,FALSE),"")</f>
        <v/>
      </c>
      <c r="L47" s="44" t="str">
        <f>IFERROR(VLOOKUP($D47,Sheet1!$B$2:$S$333,16,FALSE),"")</f>
        <v/>
      </c>
      <c r="M47" s="44" t="str">
        <f>IFERROR(VLOOKUP($D47,Sheet1!$B$2:$S$333,18,FALSE),"")</f>
        <v/>
      </c>
    </row>
    <row r="48" spans="2:13" ht="23.25" customHeight="1" x14ac:dyDescent="0.45">
      <c r="B48" s="49"/>
      <c r="C48" s="42"/>
      <c r="D48" s="42"/>
      <c r="E48" s="43"/>
      <c r="F48" s="31" t="str">
        <f>_xlfn.IFNA(VLOOKUP($D48,Sheet1!$B$2:$E$333,4,FALSE),"")</f>
        <v/>
      </c>
      <c r="G48" s="44" t="str">
        <f>IFERROR(VLOOKUP($D48,Sheet1!$B$2:$S$333,6,FALSE),"")</f>
        <v/>
      </c>
      <c r="H48" s="44" t="str">
        <f>IFERROR(VLOOKUP($D48,Sheet1!$B$2:$S$333,8,FALSE),"")</f>
        <v/>
      </c>
      <c r="I48" s="44" t="str">
        <f>IFERROR(VLOOKUP($D48,Sheet1!$B$2:$S$333,10,FALSE),"")</f>
        <v/>
      </c>
      <c r="J48" s="44" t="str">
        <f>IFERROR(VLOOKUP($D48,Sheet1!$B$2:$S$333,12,FALSE),"")</f>
        <v/>
      </c>
      <c r="K48" s="44" t="str">
        <f>IFERROR(VLOOKUP($D48,Sheet1!$B$2:$S$333,14,FALSE),"")</f>
        <v/>
      </c>
      <c r="L48" s="44" t="str">
        <f>IFERROR(VLOOKUP($D48,Sheet1!$B$2:$S$333,16,FALSE),"")</f>
        <v/>
      </c>
      <c r="M48" s="44" t="str">
        <f>IFERROR(VLOOKUP($D48,Sheet1!$B$2:$S$333,18,FALSE),"")</f>
        <v/>
      </c>
    </row>
    <row r="49" spans="1:13" ht="23.25" customHeight="1" thickBot="1" x14ac:dyDescent="0.5">
      <c r="B49" s="50"/>
      <c r="C49" s="51"/>
      <c r="D49" s="51"/>
      <c r="E49" s="52"/>
      <c r="F49" s="38" t="str">
        <f>_xlfn.IFNA(VLOOKUP($D49,Sheet1!$B$2:$E$333,4,FALSE),"")</f>
        <v/>
      </c>
      <c r="G49" s="44" t="str">
        <f>IFERROR(VLOOKUP($D49,Sheet1!$B$2:$S$333,6,FALSE),"")</f>
        <v/>
      </c>
      <c r="H49" s="44" t="str">
        <f>IFERROR(VLOOKUP($D49,Sheet1!$B$2:$S$333,8,FALSE),"")</f>
        <v/>
      </c>
      <c r="I49" s="44" t="str">
        <f>IFERROR(VLOOKUP($D49,Sheet1!$B$2:$S$333,10,FALSE),"")</f>
        <v/>
      </c>
      <c r="J49" s="44" t="str">
        <f>IFERROR(VLOOKUP($D49,Sheet1!$B$2:$S$333,12,FALSE),"")</f>
        <v/>
      </c>
      <c r="K49" s="44" t="str">
        <f>IFERROR(VLOOKUP($D49,Sheet1!$B$2:$S$333,14,FALSE),"")</f>
        <v/>
      </c>
      <c r="L49" s="44" t="str">
        <f>IFERROR(VLOOKUP($D49,Sheet1!$B$2:$S$333,16,FALSE),"")</f>
        <v/>
      </c>
      <c r="M49" s="44" t="str">
        <f>IFERROR(VLOOKUP($D49,Sheet1!$B$2:$S$333,18,FALSE),"")</f>
        <v/>
      </c>
    </row>
    <row r="50" spans="1:13" ht="23.25" customHeight="1" thickBot="1" x14ac:dyDescent="0.4">
      <c r="A50" s="22"/>
      <c r="B50" s="23"/>
      <c r="C50" s="406" t="s">
        <v>26</v>
      </c>
      <c r="D50" s="406"/>
      <c r="E50" s="406"/>
      <c r="F50" s="406"/>
      <c r="G50" s="406"/>
      <c r="H50" s="406"/>
      <c r="I50" s="406"/>
      <c r="J50" s="406"/>
      <c r="K50" s="406"/>
      <c r="L50" s="406"/>
      <c r="M50" s="407"/>
    </row>
    <row r="51" spans="1:13" ht="23.25" customHeight="1" x14ac:dyDescent="0.45">
      <c r="B51" s="53" t="s">
        <v>27</v>
      </c>
      <c r="C51" s="54" t="str" cm="1">
        <f t="array" ref="C51:E55">_xlfn._xlws.FILTER(Sheet1!$A$2:$C$333,Sheet1!$C$2:$C$333='GAD DISPATCHER SCHEDULE'!$U$15)</f>
        <v>BREITKREUZ, DUSTIN</v>
      </c>
      <c r="D51" s="54" t="str">
        <v>1023892</v>
      </c>
      <c r="E51" s="55" t="str">
        <v>MIDWEST - GAD</v>
      </c>
      <c r="F51" s="29">
        <f>_xlfn.IFNA(VLOOKUP($D51,Sheet1!$B$2:$E$333,4,FALSE),"")</f>
        <v>0</v>
      </c>
      <c r="G51" s="58" t="str">
        <f>IFERROR(VLOOKUP($D51,Sheet1!$B$2:$S$333,6,FALSE),"")</f>
        <v>QC-2</v>
      </c>
      <c r="H51" s="58" t="str">
        <f>IFERROR(VLOOKUP($D51,Sheet1!$B$2:$S$333,8,FALSE),"")</f>
        <v>QC-2</v>
      </c>
      <c r="I51" s="58" t="str">
        <f>IFERROR(VLOOKUP($D51,Sheet1!$B$2:$S$333,10,FALSE),"")</f>
        <v>AVAILABLE</v>
      </c>
      <c r="J51" s="58" t="str">
        <f>IFERROR(VLOOKUP($D51,Sheet1!$B$2:$S$333,12,FALSE),"")</f>
        <v>KY-2</v>
      </c>
      <c r="K51" s="58" t="str">
        <f>IFERROR(VLOOKUP($D51,Sheet1!$B$2:$S$333,14,FALSE),"")</f>
        <v>OFF</v>
      </c>
      <c r="L51" s="58" t="str">
        <f>IFERROR(VLOOKUP($D51,Sheet1!$B$2:$S$333,16,FALSE),"")</f>
        <v>OFF</v>
      </c>
      <c r="M51" s="58" t="str">
        <f>IFERROR(VLOOKUP($D51,Sheet1!$B$2:$S$333,18,FALSE),"")</f>
        <v>QC-2</v>
      </c>
    </row>
    <row r="52" spans="1:13" ht="23.25" customHeight="1" x14ac:dyDescent="0.45">
      <c r="B52" s="53" t="s">
        <v>28</v>
      </c>
      <c r="C52" s="56" t="str">
        <v>DIPRIMA, JASON</v>
      </c>
      <c r="D52" s="56" t="str">
        <v>1027201</v>
      </c>
      <c r="E52" s="57" t="str">
        <v>MIDWEST - GAD</v>
      </c>
      <c r="F52" s="31">
        <f>_xlfn.IFNA(VLOOKUP($D52,Sheet1!$B$2:$E$333,4,FALSE),"")</f>
        <v>0</v>
      </c>
      <c r="G52" s="58" t="str">
        <f>IFERROR(VLOOKUP($D52,Sheet1!$B$2:$S$333,6,FALSE),"")</f>
        <v>OFF</v>
      </c>
      <c r="H52" s="58" t="str">
        <f>IFERROR(VLOOKUP($D52,Sheet1!$B$2:$S$333,8,FALSE),"")</f>
        <v>OFF</v>
      </c>
      <c r="I52" s="58" t="str">
        <f>IFERROR(VLOOKUP($D52,Sheet1!$B$2:$S$333,10,FALSE),"")</f>
        <v>LF-3</v>
      </c>
      <c r="J52" s="58" t="str">
        <f>IFERROR(VLOOKUP($D52,Sheet1!$B$2:$S$333,12,FALSE),"")</f>
        <v>LF-3</v>
      </c>
      <c r="K52" s="58" t="str">
        <f>IFERROR(VLOOKUP($D52,Sheet1!$B$2:$S$333,14,FALSE),"")</f>
        <v>SW-3-POST</v>
      </c>
      <c r="L52" s="58" t="str">
        <f>IFERROR(VLOOKUP($D52,Sheet1!$B$2:$S$333,16,FALSE),"")</f>
        <v>QC-3</v>
      </c>
      <c r="M52" s="58" t="str">
        <f>IFERROR(VLOOKUP($D52,Sheet1!$B$2:$S$333,18,FALSE),"")</f>
        <v>SW-3-POST</v>
      </c>
    </row>
    <row r="53" spans="1:13" ht="23.25" customHeight="1" x14ac:dyDescent="0.6">
      <c r="B53" s="59" t="s">
        <v>29</v>
      </c>
      <c r="C53" s="56" t="str">
        <v>FALLINGS-AMIS, JAMISON</v>
      </c>
      <c r="D53" s="56" t="str">
        <v>1028876</v>
      </c>
      <c r="E53" s="57" t="str">
        <v>MIDWEST - GAD</v>
      </c>
      <c r="F53" s="31">
        <f>_xlfn.IFNA(VLOOKUP($D53,Sheet1!$B$2:$E$333,4,FALSE),"")</f>
        <v>0</v>
      </c>
      <c r="G53" s="58" t="str">
        <f>IFERROR(VLOOKUP($D53,Sheet1!$B$2:$S$333,6,FALSE),"")</f>
        <v>OFF</v>
      </c>
      <c r="H53" s="58" t="str">
        <f>IFERROR(VLOOKUP($D53,Sheet1!$B$2:$S$333,8,FALSE),"")</f>
        <v>OFF</v>
      </c>
      <c r="I53" s="58" t="str">
        <f>IFERROR(VLOOKUP($D53,Sheet1!$B$2:$S$333,10,FALSE),"")</f>
        <v>AVAILABLE</v>
      </c>
      <c r="J53" s="58" t="str">
        <f>IFERROR(VLOOKUP($D53,Sheet1!$B$2:$S$333,12,FALSE),"")</f>
        <v>AVAILABLE</v>
      </c>
      <c r="K53" s="58" t="str">
        <f>IFERROR(VLOOKUP($D53,Sheet1!$B$2:$S$333,14,FALSE),"")</f>
        <v>QC-1</v>
      </c>
      <c r="L53" s="58" t="str">
        <f>IFERROR(VLOOKUP($D53,Sheet1!$B$2:$S$333,16,FALSE),"")</f>
        <v>SP-1</v>
      </c>
      <c r="M53" s="58" t="str">
        <f>IFERROR(VLOOKUP($D53,Sheet1!$B$2:$S$333,18,FALSE),"")</f>
        <v>QC-3</v>
      </c>
    </row>
    <row r="54" spans="1:13" ht="23.25" customHeight="1" x14ac:dyDescent="0.6">
      <c r="B54" s="59" t="s">
        <v>30</v>
      </c>
      <c r="C54" s="56" t="str">
        <v>GARRETT, DARREN</v>
      </c>
      <c r="D54" s="56" t="str">
        <v>1031679</v>
      </c>
      <c r="E54" s="57" t="str">
        <v>MIDWEST - GAD</v>
      </c>
      <c r="F54" s="31">
        <f>_xlfn.IFNA(VLOOKUP($D54,Sheet1!$B$2:$E$333,4,FALSE),"")</f>
        <v>0</v>
      </c>
      <c r="G54" s="58" t="str">
        <f>IFERROR(VLOOKUP($D54,Sheet1!$B$2:$S$333,6,FALSE),"")</f>
        <v>AVAILABLE</v>
      </c>
      <c r="H54" s="58" t="str">
        <f>IFERROR(VLOOKUP($D54,Sheet1!$B$2:$S$333,8,FALSE),"")</f>
        <v>KC-1</v>
      </c>
      <c r="I54" s="58" t="str">
        <f>IFERROR(VLOOKUP($D54,Sheet1!$B$2:$S$333,10,FALSE),"")</f>
        <v>KC-1</v>
      </c>
      <c r="J54" s="58" t="str">
        <f>IFERROR(VLOOKUP($D54,Sheet1!$B$2:$S$333,12,FALSE),"")</f>
        <v>SO-2</v>
      </c>
      <c r="K54" s="58" t="str">
        <f>IFERROR(VLOOKUP($D54,Sheet1!$B$2:$S$333,14,FALSE),"")</f>
        <v>OFF</v>
      </c>
      <c r="L54" s="58" t="str">
        <f>IFERROR(VLOOKUP($D54,Sheet1!$B$2:$S$333,16,FALSE),"")</f>
        <v>OFF</v>
      </c>
      <c r="M54" s="58" t="str">
        <f>IFERROR(VLOOKUP($D54,Sheet1!$B$2:$S$333,18,FALSE),"")</f>
        <v>SO-2</v>
      </c>
    </row>
    <row r="55" spans="1:13" ht="23.25" customHeight="1" x14ac:dyDescent="0.45">
      <c r="B55" s="60"/>
      <c r="C55" s="56" t="str">
        <v>WASHINGTON, JOHN</v>
      </c>
      <c r="D55" s="56" t="str">
        <v>1031683</v>
      </c>
      <c r="E55" s="57" t="str">
        <v>MIDWEST - GAD</v>
      </c>
      <c r="F55" s="31">
        <f>_xlfn.IFNA(VLOOKUP($D55,Sheet1!$B$2:$E$333,4,FALSE),"")</f>
        <v>0</v>
      </c>
      <c r="G55" s="58" t="str">
        <f>IFERROR(VLOOKUP($D55,Sheet1!$B$2:$S$333,6,FALSE),"")</f>
        <v>SP-3</v>
      </c>
      <c r="H55" s="58" t="str">
        <f>IFERROR(VLOOKUP($D55,Sheet1!$B$2:$S$333,8,FALSE),"")</f>
        <v>AVAILABLE</v>
      </c>
      <c r="I55" s="58" t="str">
        <f>IFERROR(VLOOKUP($D55,Sheet1!$B$2:$S$333,10,FALSE),"")</f>
        <v>SW-1</v>
      </c>
      <c r="J55" s="58" t="str">
        <f>IFERROR(VLOOKUP($D55,Sheet1!$B$2:$S$333,12,FALSE),"")</f>
        <v>AVAILABLE</v>
      </c>
      <c r="K55" s="58" t="str">
        <f>IFERROR(VLOOKUP($D55,Sheet1!$B$2:$S$333,14,FALSE),"")</f>
        <v>SO-2</v>
      </c>
      <c r="L55" s="58" t="str">
        <f>IFERROR(VLOOKUP($D55,Sheet1!$B$2:$S$333,16,FALSE),"")</f>
        <v>SO-2</v>
      </c>
      <c r="M55" s="58" t="str">
        <f>IFERROR(VLOOKUP($D55,Sheet1!$B$2:$S$333,18,FALSE),"")</f>
        <v>AVAILABLE</v>
      </c>
    </row>
    <row r="56" spans="1:13" ht="23.25" customHeight="1" x14ac:dyDescent="0.45">
      <c r="B56" s="61"/>
      <c r="C56" s="56"/>
      <c r="D56" s="56"/>
      <c r="E56" s="57"/>
      <c r="F56" s="31" t="str">
        <f>_xlfn.IFNA(VLOOKUP($D56,Sheet1!$B$2:$E$333,4,FALSE),"")</f>
        <v/>
      </c>
      <c r="G56" s="58" t="str">
        <f>IFERROR(VLOOKUP($D56,Sheet1!$B$2:$S$333,6,FALSE),"")</f>
        <v/>
      </c>
      <c r="H56" s="58" t="str">
        <f>IFERROR(VLOOKUP($D56,Sheet1!$B$2:$S$333,8,FALSE),"")</f>
        <v/>
      </c>
      <c r="I56" s="58" t="str">
        <f>IFERROR(VLOOKUP($D56,Sheet1!$B$2:$S$333,10,FALSE),"")</f>
        <v/>
      </c>
      <c r="J56" s="58" t="str">
        <f>IFERROR(VLOOKUP($D56,Sheet1!$B$2:$S$333,12,FALSE),"")</f>
        <v/>
      </c>
      <c r="K56" s="58" t="str">
        <f>IFERROR(VLOOKUP($D56,Sheet1!$B$2:$S$333,14,FALSE),"")</f>
        <v/>
      </c>
      <c r="L56" s="58" t="str">
        <f>IFERROR(VLOOKUP($D56,Sheet1!$B$2:$S$333,16,FALSE),"")</f>
        <v/>
      </c>
      <c r="M56" s="58" t="str">
        <f>IFERROR(VLOOKUP($D56,Sheet1!$B$2:$S$333,18,FALSE),"")</f>
        <v/>
      </c>
    </row>
    <row r="57" spans="1:13" ht="23.25" customHeight="1" x14ac:dyDescent="0.45">
      <c r="B57" s="61"/>
      <c r="C57" s="56"/>
      <c r="D57" s="56"/>
      <c r="E57" s="57"/>
      <c r="F57" s="31" t="str">
        <f>_xlfn.IFNA(VLOOKUP($D57,Sheet1!$B$2:$E$333,4,FALSE),"")</f>
        <v/>
      </c>
      <c r="G57" s="58" t="str">
        <f>IFERROR(VLOOKUP($D57,Sheet1!$B$2:$S$333,6,FALSE),"")</f>
        <v/>
      </c>
      <c r="H57" s="58" t="str">
        <f>IFERROR(VLOOKUP($D57,Sheet1!$B$2:$S$333,8,FALSE),"")</f>
        <v/>
      </c>
      <c r="I57" s="58" t="str">
        <f>IFERROR(VLOOKUP($D57,Sheet1!$B$2:$S$333,10,FALSE),"")</f>
        <v/>
      </c>
      <c r="J57" s="58" t="str">
        <f>IFERROR(VLOOKUP($D57,Sheet1!$B$2:$S$333,12,FALSE),"")</f>
        <v/>
      </c>
      <c r="K57" s="58" t="str">
        <f>IFERROR(VLOOKUP($D57,Sheet1!$B$2:$S$333,14,FALSE),"")</f>
        <v/>
      </c>
      <c r="L57" s="58" t="str">
        <f>IFERROR(VLOOKUP($D57,Sheet1!$B$2:$S$333,16,FALSE),"")</f>
        <v/>
      </c>
      <c r="M57" s="58" t="str">
        <f>IFERROR(VLOOKUP($D57,Sheet1!$B$2:$S$333,18,FALSE),"")</f>
        <v/>
      </c>
    </row>
    <row r="58" spans="1:13" ht="23.25" customHeight="1" x14ac:dyDescent="0.45">
      <c r="B58" s="61"/>
      <c r="C58" s="56"/>
      <c r="D58" s="56"/>
      <c r="E58" s="57"/>
      <c r="F58" s="31" t="str">
        <f>_xlfn.IFNA(VLOOKUP($D58,Sheet1!$B$2:$E$333,4,FALSE),"")</f>
        <v/>
      </c>
      <c r="G58" s="58" t="str">
        <f>IFERROR(VLOOKUP($D58,Sheet1!$B$2:$S$333,6,FALSE),"")</f>
        <v/>
      </c>
      <c r="H58" s="58" t="str">
        <f>IFERROR(VLOOKUP($D58,Sheet1!$B$2:$S$333,8,FALSE),"")</f>
        <v/>
      </c>
      <c r="I58" s="58" t="str">
        <f>IFERROR(VLOOKUP($D58,Sheet1!$B$2:$S$333,10,FALSE),"")</f>
        <v/>
      </c>
      <c r="J58" s="58" t="str">
        <f>IFERROR(VLOOKUP($D58,Sheet1!$B$2:$S$333,12,FALSE),"")</f>
        <v/>
      </c>
      <c r="K58" s="58" t="str">
        <f>IFERROR(VLOOKUP($D58,Sheet1!$B$2:$S$333,14,FALSE),"")</f>
        <v/>
      </c>
      <c r="L58" s="58" t="str">
        <f>IFERROR(VLOOKUP($D58,Sheet1!$B$2:$S$333,16,FALSE),"")</f>
        <v/>
      </c>
      <c r="M58" s="58" t="str">
        <f>IFERROR(VLOOKUP($D58,Sheet1!$B$2:$S$333,18,FALSE),"")</f>
        <v/>
      </c>
    </row>
    <row r="59" spans="1:13" ht="23.25" customHeight="1" x14ac:dyDescent="0.45">
      <c r="B59" s="393"/>
      <c r="C59" s="394"/>
      <c r="D59" s="394"/>
      <c r="E59" s="395"/>
      <c r="F59" s="238" t="str">
        <f>_xlfn.IFNA(VLOOKUP($D59,Sheet1!$B$2:$E$333,4,FALSE),"")</f>
        <v/>
      </c>
      <c r="G59" s="58" t="str">
        <f>IFERROR(VLOOKUP($D59,Sheet1!$B$2:$S$333,6,FALSE),"")</f>
        <v/>
      </c>
      <c r="H59" s="58" t="str">
        <f>IFERROR(VLOOKUP($D59,Sheet1!$B$2:$S$333,8,FALSE),"")</f>
        <v/>
      </c>
      <c r="I59" s="58" t="str">
        <f>IFERROR(VLOOKUP($D59,Sheet1!$B$2:$S$333,10,FALSE),"")</f>
        <v/>
      </c>
      <c r="J59" s="58" t="str">
        <f>IFERROR(VLOOKUP($D59,Sheet1!$B$2:$S$333,12,FALSE),"")</f>
        <v/>
      </c>
      <c r="K59" s="58" t="str">
        <f>IFERROR(VLOOKUP($D59,Sheet1!$B$2:$S$333,14,FALSE),"")</f>
        <v/>
      </c>
      <c r="L59" s="58" t="str">
        <f>IFERROR(VLOOKUP($D59,Sheet1!$B$2:$S$333,16,FALSE),"")</f>
        <v/>
      </c>
      <c r="M59" s="58" t="str">
        <f>IFERROR(VLOOKUP($D59,Sheet1!$B$2:$S$333,18,FALSE),"")</f>
        <v/>
      </c>
    </row>
    <row r="60" spans="1:13" ht="23.25" customHeight="1" x14ac:dyDescent="0.45">
      <c r="B60" s="393"/>
      <c r="C60" s="394"/>
      <c r="D60" s="394"/>
      <c r="E60" s="395"/>
      <c r="F60" s="238" t="str">
        <f>_xlfn.IFNA(VLOOKUP($D60,Sheet1!$B$2:$E$333,4,FALSE),"")</f>
        <v/>
      </c>
      <c r="G60" s="58" t="str">
        <f>IFERROR(VLOOKUP($D60,Sheet1!$B$2:$S$333,6,FALSE),"")</f>
        <v/>
      </c>
      <c r="H60" s="58" t="str">
        <f>IFERROR(VLOOKUP($D60,Sheet1!$B$2:$S$333,8,FALSE),"")</f>
        <v/>
      </c>
      <c r="I60" s="58" t="str">
        <f>IFERROR(VLOOKUP($D60,Sheet1!$B$2:$S$333,10,FALSE),"")</f>
        <v/>
      </c>
      <c r="J60" s="58" t="str">
        <f>IFERROR(VLOOKUP($D60,Sheet1!$B$2:$S$333,12,FALSE),"")</f>
        <v/>
      </c>
      <c r="K60" s="58" t="str">
        <f>IFERROR(VLOOKUP($D60,Sheet1!$B$2:$S$333,14,FALSE),"")</f>
        <v/>
      </c>
      <c r="L60" s="58" t="str">
        <f>IFERROR(VLOOKUP($D60,Sheet1!$B$2:$S$333,16,FALSE),"")</f>
        <v/>
      </c>
      <c r="M60" s="58" t="str">
        <f>IFERROR(VLOOKUP($D60,Sheet1!$B$2:$S$333,18,FALSE),"")</f>
        <v/>
      </c>
    </row>
    <row r="61" spans="1:13" ht="23.25" customHeight="1" x14ac:dyDescent="0.45">
      <c r="B61" s="393"/>
      <c r="C61" s="394"/>
      <c r="D61" s="394"/>
      <c r="E61" s="395"/>
      <c r="F61" s="238" t="str">
        <f>_xlfn.IFNA(VLOOKUP($D61,Sheet1!$B$2:$E$333,4,FALSE),"")</f>
        <v/>
      </c>
      <c r="G61" s="58" t="str">
        <f>IFERROR(VLOOKUP($D61,Sheet1!$B$2:$S$333,6,FALSE),"")</f>
        <v/>
      </c>
      <c r="H61" s="58" t="str">
        <f>IFERROR(VLOOKUP($D61,Sheet1!$B$2:$S$333,8,FALSE),"")</f>
        <v/>
      </c>
      <c r="I61" s="58" t="str">
        <f>IFERROR(VLOOKUP($D61,Sheet1!$B$2:$S$333,10,FALSE),"")</f>
        <v/>
      </c>
      <c r="J61" s="58" t="str">
        <f>IFERROR(VLOOKUP($D61,Sheet1!$B$2:$S$333,12,FALSE),"")</f>
        <v/>
      </c>
      <c r="K61" s="58" t="str">
        <f>IFERROR(VLOOKUP($D61,Sheet1!$B$2:$S$333,14,FALSE),"")</f>
        <v/>
      </c>
      <c r="L61" s="58" t="str">
        <f>IFERROR(VLOOKUP($D61,Sheet1!$B$2:$S$333,16,FALSE),"")</f>
        <v/>
      </c>
      <c r="M61" s="58" t="str">
        <f>IFERROR(VLOOKUP($D61,Sheet1!$B$2:$S$333,18,FALSE),"")</f>
        <v/>
      </c>
    </row>
    <row r="62" spans="1:13" ht="23.25" customHeight="1" x14ac:dyDescent="0.45">
      <c r="B62" s="393"/>
      <c r="C62" s="394"/>
      <c r="D62" s="394"/>
      <c r="E62" s="395"/>
      <c r="F62" s="238" t="str">
        <f>_xlfn.IFNA(VLOOKUP($D62,Sheet1!$B$2:$E$333,4,FALSE),"")</f>
        <v/>
      </c>
      <c r="G62" s="58" t="str">
        <f>IFERROR(VLOOKUP($D62,Sheet1!$B$2:$S$333,6,FALSE),"")</f>
        <v/>
      </c>
      <c r="H62" s="58" t="str">
        <f>IFERROR(VLOOKUP($D62,Sheet1!$B$2:$S$333,8,FALSE),"")</f>
        <v/>
      </c>
      <c r="I62" s="58" t="str">
        <f>IFERROR(VLOOKUP($D62,Sheet1!$B$2:$S$333,10,FALSE),"")</f>
        <v/>
      </c>
      <c r="J62" s="58" t="str">
        <f>IFERROR(VLOOKUP($D62,Sheet1!$B$2:$S$333,12,FALSE),"")</f>
        <v/>
      </c>
      <c r="K62" s="58" t="str">
        <f>IFERROR(VLOOKUP($D62,Sheet1!$B$2:$S$333,14,FALSE),"")</f>
        <v/>
      </c>
      <c r="L62" s="58" t="str">
        <f>IFERROR(VLOOKUP($D62,Sheet1!$B$2:$S$333,16,FALSE),"")</f>
        <v/>
      </c>
      <c r="M62" s="58" t="str">
        <f>IFERROR(VLOOKUP($D62,Sheet1!$B$2:$S$333,18,FALSE),"")</f>
        <v/>
      </c>
    </row>
    <row r="63" spans="1:13" ht="23.25" customHeight="1" x14ac:dyDescent="0.45">
      <c r="B63" s="393"/>
      <c r="C63" s="394"/>
      <c r="D63" s="394"/>
      <c r="E63" s="395"/>
      <c r="F63" s="238" t="str">
        <f>_xlfn.IFNA(VLOOKUP($D63,Sheet1!$B$2:$E$333,4,FALSE),"")</f>
        <v/>
      </c>
      <c r="G63" s="58" t="str">
        <f>IFERROR(VLOOKUP($D63,Sheet1!$B$2:$S$333,6,FALSE),"")</f>
        <v/>
      </c>
      <c r="H63" s="58" t="str">
        <f>IFERROR(VLOOKUP($D63,Sheet1!$B$2:$S$333,8,FALSE),"")</f>
        <v/>
      </c>
      <c r="I63" s="58" t="str">
        <f>IFERROR(VLOOKUP($D63,Sheet1!$B$2:$S$333,10,FALSE),"")</f>
        <v/>
      </c>
      <c r="J63" s="58" t="str">
        <f>IFERROR(VLOOKUP($D63,Sheet1!$B$2:$S$333,12,FALSE),"")</f>
        <v/>
      </c>
      <c r="K63" s="58" t="str">
        <f>IFERROR(VLOOKUP($D63,Sheet1!$B$2:$S$333,14,FALSE),"")</f>
        <v/>
      </c>
      <c r="L63" s="58" t="str">
        <f>IFERROR(VLOOKUP($D63,Sheet1!$B$2:$S$333,16,FALSE),"")</f>
        <v/>
      </c>
      <c r="M63" s="58" t="str">
        <f>IFERROR(VLOOKUP($D63,Sheet1!$B$2:$S$333,18,FALSE),"")</f>
        <v/>
      </c>
    </row>
    <row r="64" spans="1:13" ht="23.25" customHeight="1" x14ac:dyDescent="0.45">
      <c r="B64" s="393"/>
      <c r="C64" s="394"/>
      <c r="D64" s="394"/>
      <c r="E64" s="395"/>
      <c r="F64" s="238" t="str">
        <f>_xlfn.IFNA(VLOOKUP($D64,Sheet1!$B$2:$E$333,4,FALSE),"")</f>
        <v/>
      </c>
      <c r="G64" s="58" t="str">
        <f>IFERROR(VLOOKUP($D64,Sheet1!$B$2:$S$333,6,FALSE),"")</f>
        <v/>
      </c>
      <c r="H64" s="58" t="str">
        <f>IFERROR(VLOOKUP($D64,Sheet1!$B$2:$S$333,8,FALSE),"")</f>
        <v/>
      </c>
      <c r="I64" s="58" t="str">
        <f>IFERROR(VLOOKUP($D64,Sheet1!$B$2:$S$333,10,FALSE),"")</f>
        <v/>
      </c>
      <c r="J64" s="58" t="str">
        <f>IFERROR(VLOOKUP($D64,Sheet1!$B$2:$S$333,12,FALSE),"")</f>
        <v/>
      </c>
      <c r="K64" s="58" t="str">
        <f>IFERROR(VLOOKUP($D64,Sheet1!$B$2:$S$333,14,FALSE),"")</f>
        <v/>
      </c>
      <c r="L64" s="58" t="str">
        <f>IFERROR(VLOOKUP($D64,Sheet1!$B$2:$S$333,16,FALSE),"")</f>
        <v/>
      </c>
      <c r="M64" s="58" t="str">
        <f>IFERROR(VLOOKUP($D64,Sheet1!$B$2:$S$333,18,FALSE),"")</f>
        <v/>
      </c>
    </row>
    <row r="65" spans="1:20" ht="23.25" customHeight="1" x14ac:dyDescent="0.45">
      <c r="B65" s="393"/>
      <c r="C65" s="394"/>
      <c r="D65" s="394"/>
      <c r="E65" s="395"/>
      <c r="F65" s="238" t="str">
        <f>_xlfn.IFNA(VLOOKUP($D65,Sheet1!$B$2:$E$333,4,FALSE),"")</f>
        <v/>
      </c>
      <c r="G65" s="58" t="str">
        <f>IFERROR(VLOOKUP($D65,Sheet1!$B$2:$S$333,6,FALSE),"")</f>
        <v/>
      </c>
      <c r="H65" s="58" t="str">
        <f>IFERROR(VLOOKUP($D65,Sheet1!$B$2:$S$333,8,FALSE),"")</f>
        <v/>
      </c>
      <c r="I65" s="58" t="str">
        <f>IFERROR(VLOOKUP($D65,Sheet1!$B$2:$S$333,10,FALSE),"")</f>
        <v/>
      </c>
      <c r="J65" s="58" t="str">
        <f>IFERROR(VLOOKUP($D65,Sheet1!$B$2:$S$333,12,FALSE),"")</f>
        <v/>
      </c>
      <c r="K65" s="58" t="str">
        <f>IFERROR(VLOOKUP($D65,Sheet1!$B$2:$S$333,14,FALSE),"")</f>
        <v/>
      </c>
      <c r="L65" s="58" t="str">
        <f>IFERROR(VLOOKUP($D65,Sheet1!$B$2:$S$333,16,FALSE),"")</f>
        <v/>
      </c>
      <c r="M65" s="58" t="str">
        <f>IFERROR(VLOOKUP($D65,Sheet1!$B$2:$S$333,18,FALSE),"")</f>
        <v/>
      </c>
    </row>
    <row r="66" spans="1:20" ht="23.25" customHeight="1" x14ac:dyDescent="0.45">
      <c r="B66" s="393"/>
      <c r="C66" s="394"/>
      <c r="D66" s="394"/>
      <c r="E66" s="395"/>
      <c r="F66" s="238" t="str">
        <f>_xlfn.IFNA(VLOOKUP($D66,Sheet1!$B$2:$E$333,4,FALSE),"")</f>
        <v/>
      </c>
      <c r="G66" s="58" t="str">
        <f>IFERROR(VLOOKUP($D66,Sheet1!$B$2:$S$333,6,FALSE),"")</f>
        <v/>
      </c>
      <c r="H66" s="58" t="str">
        <f>IFERROR(VLOOKUP($D66,Sheet1!$B$2:$S$333,8,FALSE),"")</f>
        <v/>
      </c>
      <c r="I66" s="58" t="str">
        <f>IFERROR(VLOOKUP($D66,Sheet1!$B$2:$S$333,10,FALSE),"")</f>
        <v/>
      </c>
      <c r="J66" s="58" t="str">
        <f>IFERROR(VLOOKUP($D66,Sheet1!$B$2:$S$333,12,FALSE),"")</f>
        <v/>
      </c>
      <c r="K66" s="58" t="str">
        <f>IFERROR(VLOOKUP($D66,Sheet1!$B$2:$S$333,14,FALSE),"")</f>
        <v/>
      </c>
      <c r="L66" s="58" t="str">
        <f>IFERROR(VLOOKUP($D66,Sheet1!$B$2:$S$333,16,FALSE),"")</f>
        <v/>
      </c>
      <c r="M66" s="58" t="str">
        <f>IFERROR(VLOOKUP($D66,Sheet1!$B$2:$S$333,18,FALSE),"")</f>
        <v/>
      </c>
    </row>
    <row r="67" spans="1:20" ht="23.25" customHeight="1" x14ac:dyDescent="0.45">
      <c r="B67" s="393"/>
      <c r="C67" s="394"/>
      <c r="D67" s="394"/>
      <c r="E67" s="395"/>
      <c r="F67" s="238" t="str">
        <f>_xlfn.IFNA(VLOOKUP($D67,Sheet1!$B$2:$E$333,4,FALSE),"")</f>
        <v/>
      </c>
      <c r="G67" s="58" t="str">
        <f>IFERROR(VLOOKUP($D67,Sheet1!$B$2:$S$333,6,FALSE),"")</f>
        <v/>
      </c>
      <c r="H67" s="58" t="str">
        <f>IFERROR(VLOOKUP($D67,Sheet1!$B$2:$S$333,8,FALSE),"")</f>
        <v/>
      </c>
      <c r="I67" s="58" t="str">
        <f>IFERROR(VLOOKUP($D67,Sheet1!$B$2:$S$333,10,FALSE),"")</f>
        <v/>
      </c>
      <c r="J67" s="58" t="str">
        <f>IFERROR(VLOOKUP($D67,Sheet1!$B$2:$S$333,12,FALSE),"")</f>
        <v/>
      </c>
      <c r="K67" s="58" t="str">
        <f>IFERROR(VLOOKUP($D67,Sheet1!$B$2:$S$333,14,FALSE),"")</f>
        <v/>
      </c>
      <c r="L67" s="58" t="str">
        <f>IFERROR(VLOOKUP($D67,Sheet1!$B$2:$S$333,16,FALSE),"")</f>
        <v/>
      </c>
      <c r="M67" s="58" t="str">
        <f>IFERROR(VLOOKUP($D67,Sheet1!$B$2:$S$333,18,FALSE),"")</f>
        <v/>
      </c>
    </row>
    <row r="68" spans="1:20" ht="23.25" customHeight="1" x14ac:dyDescent="0.45">
      <c r="B68" s="393"/>
      <c r="C68" s="394"/>
      <c r="D68" s="394"/>
      <c r="E68" s="395"/>
      <c r="F68" s="238" t="str">
        <f>_xlfn.IFNA(VLOOKUP($D68,Sheet1!$B$2:$E$333,4,FALSE),"")</f>
        <v/>
      </c>
      <c r="G68" s="58" t="str">
        <f>IFERROR(VLOOKUP($D68,Sheet1!$B$2:$S$333,6,FALSE),"")</f>
        <v/>
      </c>
      <c r="H68" s="58" t="str">
        <f>IFERROR(VLOOKUP($D68,Sheet1!$B$2:$S$333,8,FALSE),"")</f>
        <v/>
      </c>
      <c r="I68" s="58" t="str">
        <f>IFERROR(VLOOKUP($D68,Sheet1!$B$2:$S$333,10,FALSE),"")</f>
        <v/>
      </c>
      <c r="J68" s="58" t="str">
        <f>IFERROR(VLOOKUP($D68,Sheet1!$B$2:$S$333,12,FALSE),"")</f>
        <v/>
      </c>
      <c r="K68" s="58" t="str">
        <f>IFERROR(VLOOKUP($D68,Sheet1!$B$2:$S$333,14,FALSE),"")</f>
        <v/>
      </c>
      <c r="L68" s="58" t="str">
        <f>IFERROR(VLOOKUP($D68,Sheet1!$B$2:$S$333,16,FALSE),"")</f>
        <v/>
      </c>
      <c r="M68" s="58" t="str">
        <f>IFERROR(VLOOKUP($D68,Sheet1!$B$2:$S$333,18,FALSE),"")</f>
        <v/>
      </c>
    </row>
    <row r="69" spans="1:20" ht="23.25" customHeight="1" x14ac:dyDescent="0.45">
      <c r="B69" s="393"/>
      <c r="C69" s="394"/>
      <c r="D69" s="394"/>
      <c r="E69" s="395"/>
      <c r="F69" s="238" t="str">
        <f>_xlfn.IFNA(VLOOKUP($D69,Sheet1!$B$2:$E$333,4,FALSE),"")</f>
        <v/>
      </c>
      <c r="G69" s="58" t="str">
        <f>IFERROR(VLOOKUP($D69,Sheet1!$B$2:$S$333,6,FALSE),"")</f>
        <v/>
      </c>
      <c r="H69" s="58" t="str">
        <f>IFERROR(VLOOKUP($D69,Sheet1!$B$2:$S$333,8,FALSE),"")</f>
        <v/>
      </c>
      <c r="I69" s="58" t="str">
        <f>IFERROR(VLOOKUP($D69,Sheet1!$B$2:$S$333,10,FALSE),"")</f>
        <v/>
      </c>
      <c r="J69" s="58" t="str">
        <f>IFERROR(VLOOKUP($D69,Sheet1!$B$2:$S$333,12,FALSE),"")</f>
        <v/>
      </c>
      <c r="K69" s="58" t="str">
        <f>IFERROR(VLOOKUP($D69,Sheet1!$B$2:$S$333,14,FALSE),"")</f>
        <v/>
      </c>
      <c r="L69" s="58" t="str">
        <f>IFERROR(VLOOKUP($D69,Sheet1!$B$2:$S$333,16,FALSE),"")</f>
        <v/>
      </c>
      <c r="M69" s="58" t="str">
        <f>IFERROR(VLOOKUP($D69,Sheet1!$B$2:$S$333,18,FALSE),"")</f>
        <v/>
      </c>
    </row>
    <row r="70" spans="1:20" ht="23.25" customHeight="1" x14ac:dyDescent="0.45">
      <c r="B70" s="393"/>
      <c r="C70" s="394"/>
      <c r="D70" s="394"/>
      <c r="E70" s="395"/>
      <c r="F70" s="238" t="str">
        <f>_xlfn.IFNA(VLOOKUP($D70,Sheet1!$B$2:$E$333,4,FALSE),"")</f>
        <v/>
      </c>
      <c r="G70" s="58" t="str">
        <f>IFERROR(VLOOKUP($D70,Sheet1!$B$2:$S$333,6,FALSE),"")</f>
        <v/>
      </c>
      <c r="H70" s="58" t="str">
        <f>IFERROR(VLOOKUP($D70,Sheet1!$B$2:$S$333,8,FALSE),"")</f>
        <v/>
      </c>
      <c r="I70" s="58" t="str">
        <f>IFERROR(VLOOKUP($D70,Sheet1!$B$2:$S$333,10,FALSE),"")</f>
        <v/>
      </c>
      <c r="J70" s="58" t="str">
        <f>IFERROR(VLOOKUP($D70,Sheet1!$B$2:$S$333,12,FALSE),"")</f>
        <v/>
      </c>
      <c r="K70" s="58" t="str">
        <f>IFERROR(VLOOKUP($D70,Sheet1!$B$2:$S$333,14,FALSE),"")</f>
        <v/>
      </c>
      <c r="L70" s="58" t="str">
        <f>IFERROR(VLOOKUP($D70,Sheet1!$B$2:$S$333,16,FALSE),"")</f>
        <v/>
      </c>
      <c r="M70" s="58" t="str">
        <f>IFERROR(VLOOKUP($D70,Sheet1!$B$2:$S$333,18,FALSE),"")</f>
        <v/>
      </c>
    </row>
    <row r="71" spans="1:20" ht="23.25" customHeight="1" thickBot="1" x14ac:dyDescent="0.5">
      <c r="B71" s="62"/>
      <c r="C71" s="63"/>
      <c r="D71" s="63"/>
      <c r="E71" s="64"/>
      <c r="F71" s="38" t="str">
        <f>_xlfn.IFNA(VLOOKUP($D71,Sheet1!$B$2:$E$333,4,FALSE),"")</f>
        <v/>
      </c>
      <c r="G71" s="58" t="str">
        <f>IFERROR(VLOOKUP($D71,Sheet1!$B$2:$S$333,6,FALSE),"")</f>
        <v/>
      </c>
      <c r="H71" s="58" t="str">
        <f>IFERROR(VLOOKUP($D71,Sheet1!$B$2:$S$333,8,FALSE),"")</f>
        <v/>
      </c>
      <c r="I71" s="58" t="str">
        <f>IFERROR(VLOOKUP($D71,Sheet1!$B$2:$S$333,10,FALSE),"")</f>
        <v/>
      </c>
      <c r="J71" s="58" t="str">
        <f>IFERROR(VLOOKUP($D71,Sheet1!$B$2:$S$333,12,FALSE),"")</f>
        <v/>
      </c>
      <c r="K71" s="58" t="str">
        <f>IFERROR(VLOOKUP($D71,Sheet1!$B$2:$S$333,14,FALSE),"")</f>
        <v/>
      </c>
      <c r="L71" s="58" t="str">
        <f>IFERROR(VLOOKUP($D71,Sheet1!$B$2:$S$333,16,FALSE),"")</f>
        <v/>
      </c>
      <c r="M71" s="58" t="str">
        <f>IFERROR(VLOOKUP($D71,Sheet1!$B$2:$S$333,18,FALSE),"")</f>
        <v/>
      </c>
    </row>
    <row r="72" spans="1:20" ht="23.25" customHeight="1" thickBot="1" x14ac:dyDescent="0.4">
      <c r="A72" s="22"/>
      <c r="B72" s="23"/>
      <c r="C72" s="406" t="s">
        <v>31</v>
      </c>
      <c r="D72" s="406"/>
      <c r="E72" s="406"/>
      <c r="F72" s="406"/>
      <c r="G72" s="406"/>
      <c r="H72" s="406"/>
      <c r="I72" s="406"/>
      <c r="J72" s="406"/>
      <c r="K72" s="406"/>
      <c r="L72" s="406"/>
      <c r="M72" s="407"/>
    </row>
    <row r="73" spans="1:20" ht="23.25" customHeight="1" x14ac:dyDescent="0.5">
      <c r="B73" s="65" t="s">
        <v>32</v>
      </c>
      <c r="C73" s="66" t="str" cm="1">
        <f t="array" ref="C73:E79">_xlfn._xlws.FILTER(Sheet1!$A$2:$C$333,Sheet1!$C$2:$C$333='GAD DISPATCHER SCHEDULE'!$U$25)</f>
        <v>CURRY, CASEY</v>
      </c>
      <c r="D73" s="25" t="str">
        <v>1030402</v>
      </c>
      <c r="E73" s="26" t="str">
        <v>COASTAL - GAD</v>
      </c>
      <c r="F73" s="29">
        <f>_xlfn.IFNA(VLOOKUP($D73,Sheet1!$B$2:$E$333,4,FALSE),"")</f>
        <v>0</v>
      </c>
      <c r="G73" s="58" t="str">
        <f>IFERROR(VLOOKUP($D73,Sheet1!$B$2:$S$333,6,FALSE),"")</f>
        <v>OFF</v>
      </c>
      <c r="H73" s="58" t="str">
        <f>IFERROR(VLOOKUP($D73,Sheet1!$B$2:$S$333,8,FALSE),"")</f>
        <v>OFF</v>
      </c>
      <c r="I73" s="58" t="str">
        <f>IFERROR(VLOOKUP($D73,Sheet1!$B$2:$S$333,10,FALSE),"")</f>
        <v>AS-3</v>
      </c>
      <c r="J73" s="58" t="str">
        <f>IFERROR(VLOOKUP($D73,Sheet1!$B$2:$S$333,12,FALSE),"")</f>
        <v>AVAILABLE</v>
      </c>
      <c r="K73" s="58" t="str">
        <f>IFERROR(VLOOKUP($D73,Sheet1!$B$2:$S$333,14,FALSE),"")</f>
        <v>SV-2</v>
      </c>
      <c r="L73" s="58" t="str">
        <f>IFERROR(VLOOKUP($D73,Sheet1!$B$2:$S$333,16,FALSE),"")</f>
        <v>NO-2</v>
      </c>
      <c r="M73" s="58" t="str">
        <f>IFERROR(VLOOKUP($D73,Sheet1!$B$2:$S$333,18,FALSE),"")</f>
        <v>AVAILABLE</v>
      </c>
    </row>
    <row r="74" spans="1:20" ht="23.25" customHeight="1" x14ac:dyDescent="0.6">
      <c r="B74" s="70" t="s">
        <v>33</v>
      </c>
      <c r="C74" s="67" t="str">
        <v>DENNIS, JOHN</v>
      </c>
      <c r="D74" s="27" t="str">
        <v>1027200</v>
      </c>
      <c r="E74" s="28" t="str">
        <v>COASTAL - GAD</v>
      </c>
      <c r="F74" s="31">
        <f>_xlfn.IFNA(VLOOKUP($D74,Sheet1!$B$2:$E$333,4,FALSE),"")</f>
        <v>0</v>
      </c>
      <c r="G74" s="58" t="str">
        <f>IFERROR(VLOOKUP($D74,Sheet1!$B$2:$S$333,6,FALSE),"")</f>
        <v>OFF</v>
      </c>
      <c r="H74" s="58" t="str">
        <f>IFERROR(VLOOKUP($D74,Sheet1!$B$2:$S$333,8,FALSE),"")</f>
        <v>OFF</v>
      </c>
      <c r="I74" s="58" t="str">
        <f>IFERROR(VLOOKUP($D74,Sheet1!$B$2:$S$333,10,FALSE),"")</f>
        <v>IN-2</v>
      </c>
      <c r="J74" s="58" t="str">
        <f>IFERROR(VLOOKUP($D74,Sheet1!$B$2:$S$333,12,FALSE),"")</f>
        <v>IN-2</v>
      </c>
      <c r="K74" s="58" t="str">
        <f>IFERROR(VLOOKUP($D74,Sheet1!$B$2:$S$333,14,FALSE),"")</f>
        <v>NE-2</v>
      </c>
      <c r="L74" s="58" t="str">
        <f>IFERROR(VLOOKUP($D74,Sheet1!$B$2:$S$333,16,FALSE),"")</f>
        <v>EE-2</v>
      </c>
      <c r="M74" s="58" t="str">
        <f>IFERROR(VLOOKUP($D74,Sheet1!$B$2:$S$333,18,FALSE),"")</f>
        <v>AVAILABLE</v>
      </c>
    </row>
    <row r="75" spans="1:20" ht="23.25" customHeight="1" x14ac:dyDescent="0.45">
      <c r="B75" s="32" t="s">
        <v>34</v>
      </c>
      <c r="C75" s="67" t="str">
        <v>DOBBS, JEREMY</v>
      </c>
      <c r="D75" s="27" t="str">
        <v>1028867</v>
      </c>
      <c r="E75" s="28" t="str">
        <v>COASTAL - GAD</v>
      </c>
      <c r="F75" s="31">
        <f>_xlfn.IFNA(VLOOKUP($D75,Sheet1!$B$2:$E$333,4,FALSE),"")</f>
        <v>0</v>
      </c>
      <c r="G75" s="58" t="str">
        <f>IFERROR(VLOOKUP($D75,Sheet1!$B$2:$S$333,6,FALSE),"")</f>
        <v>CH-1</v>
      </c>
      <c r="H75" s="58" t="str">
        <f>IFERROR(VLOOKUP($D75,Sheet1!$B$2:$S$333,8,FALSE),"")</f>
        <v>SE-2</v>
      </c>
      <c r="I75" s="58" t="str">
        <f>IFERROR(VLOOKUP($D75,Sheet1!$B$2:$S$333,10,FALSE),"")</f>
        <v>CH-3</v>
      </c>
      <c r="J75" s="58" t="str">
        <f>IFERROR(VLOOKUP($D75,Sheet1!$B$2:$S$333,12,FALSE),"")</f>
        <v>CH-3</v>
      </c>
      <c r="K75" s="58" t="str">
        <f>IFERROR(VLOOKUP($D75,Sheet1!$B$2:$S$333,14,FALSE),"")</f>
        <v>OFF</v>
      </c>
      <c r="L75" s="58" t="str">
        <f>IFERROR(VLOOKUP($D75,Sheet1!$B$2:$S$333,16,FALSE),"")</f>
        <v>OFF</v>
      </c>
      <c r="M75" s="58" t="str">
        <f>IFERROR(VLOOKUP($D75,Sheet1!$B$2:$S$333,18,FALSE),"")</f>
        <v>AVAILABLE</v>
      </c>
    </row>
    <row r="76" spans="1:20" ht="23.25" customHeight="1" x14ac:dyDescent="0.45">
      <c r="B76" s="32" t="s">
        <v>35</v>
      </c>
      <c r="C76" s="67" t="str">
        <v>GOSS, PHOENIX</v>
      </c>
      <c r="D76" s="27" t="str">
        <v>1031097</v>
      </c>
      <c r="E76" s="28" t="str">
        <v>COASTAL - GAD</v>
      </c>
      <c r="F76" s="31">
        <f>_xlfn.IFNA(VLOOKUP($D76,Sheet1!$B$2:$E$333,4,FALSE),"")</f>
        <v>0</v>
      </c>
      <c r="G76" s="58" t="str">
        <f>IFERROR(VLOOKUP($D76,Sheet1!$B$2:$S$333,6,FALSE),"")</f>
        <v>FMLA</v>
      </c>
      <c r="H76" s="58" t="str">
        <f>IFERROR(VLOOKUP($D76,Sheet1!$B$2:$S$333,8,FALSE),"")</f>
        <v>SE-3-POST</v>
      </c>
      <c r="I76" s="58" t="str">
        <f>IFERROR(VLOOKUP($D76,Sheet1!$B$2:$S$333,10,FALSE),"")</f>
        <v>OFF</v>
      </c>
      <c r="J76" s="58" t="str">
        <f>IFERROR(VLOOKUP($D76,Sheet1!$B$2:$S$333,12,FALSE),"")</f>
        <v>OFF</v>
      </c>
      <c r="K76" s="58" t="str">
        <f>IFERROR(VLOOKUP($D76,Sheet1!$B$2:$S$333,14,FALSE),"")</f>
        <v>SV-1</v>
      </c>
      <c r="L76" s="58" t="str">
        <f>IFERROR(VLOOKUP($D76,Sheet1!$B$2:$S$333,16,FALSE),"")</f>
        <v>IN-3</v>
      </c>
      <c r="M76" s="58" t="str">
        <f>IFERROR(VLOOKUP($D76,Sheet1!$B$2:$S$333,18,FALSE),"")</f>
        <v>IN-3</v>
      </c>
    </row>
    <row r="77" spans="1:20" ht="23.25" customHeight="1" x14ac:dyDescent="0.35">
      <c r="B77" s="33"/>
      <c r="C77" s="68" t="str">
        <v>IBN RABAH, BILAL</v>
      </c>
      <c r="D77" s="69" t="str">
        <v>1028855</v>
      </c>
      <c r="E77" s="69" t="str">
        <v>COASTAL - GAD</v>
      </c>
      <c r="F77" s="31">
        <f>_xlfn.IFNA(VLOOKUP($D77,Sheet1!$B$2:$E$333,4,FALSE),"")</f>
        <v>0</v>
      </c>
      <c r="G77" s="58" t="str">
        <f>IFERROR(VLOOKUP($D77,Sheet1!$B$2:$S$333,6,FALSE),"")</f>
        <v>SE-3</v>
      </c>
      <c r="H77" s="58" t="str">
        <f>IFERROR(VLOOKUP($D77,Sheet1!$B$2:$S$333,8,FALSE),"")</f>
        <v>AVAILABLE</v>
      </c>
      <c r="I77" s="58" t="str">
        <f>IFERROR(VLOOKUP($D77,Sheet1!$B$2:$S$333,10,FALSE),"")</f>
        <v>OFF</v>
      </c>
      <c r="J77" s="58" t="str">
        <f>IFERROR(VLOOKUP($D77,Sheet1!$B$2:$S$333,12,FALSE),"")</f>
        <v>OFF</v>
      </c>
      <c r="K77" s="58" t="str">
        <f>IFERROR(VLOOKUP($D77,Sheet1!$B$2:$S$333,14,FALSE),"")</f>
        <v>SV-1-POST</v>
      </c>
      <c r="L77" s="58" t="str">
        <f>IFERROR(VLOOKUP($D77,Sheet1!$B$2:$S$333,16,FALSE),"")</f>
        <v>SE-1</v>
      </c>
      <c r="M77" s="58" t="str">
        <f>IFERROR(VLOOKUP($D77,Sheet1!$B$2:$S$333,18,FALSE),"")</f>
        <v>SV-2-POST</v>
      </c>
      <c r="N77" s="71"/>
      <c r="O77" s="71"/>
      <c r="P77" s="71"/>
      <c r="Q77" s="72"/>
      <c r="R77" s="72"/>
      <c r="S77" s="72"/>
      <c r="T77" s="72"/>
    </row>
    <row r="78" spans="1:20" ht="23.25" customHeight="1" x14ac:dyDescent="0.35">
      <c r="B78" s="33"/>
      <c r="C78" s="68" t="str">
        <v>WALLER, CHARLES</v>
      </c>
      <c r="D78" s="69" t="str">
        <v>1030381</v>
      </c>
      <c r="E78" s="69" t="str">
        <v>COASTAL - GAD</v>
      </c>
      <c r="F78" s="31">
        <f>_xlfn.IFNA(VLOOKUP($D78,Sheet1!$B$2:$E$333,4,FALSE),"")</f>
        <v>0</v>
      </c>
      <c r="G78" s="58" t="str">
        <f>IFERROR(VLOOKUP($D78,Sheet1!$B$2:$S$333,6,FALSE),"")</f>
        <v>OFF</v>
      </c>
      <c r="H78" s="58" t="str">
        <f>IFERROR(VLOOKUP($D78,Sheet1!$B$2:$S$333,8,FALSE),"")</f>
        <v>OFF</v>
      </c>
      <c r="I78" s="58" t="str">
        <f>IFERROR(VLOOKUP($D78,Sheet1!$B$2:$S$333,10,FALSE),"")</f>
        <v>IN-1-POST</v>
      </c>
      <c r="J78" s="58" t="str">
        <f>IFERROR(VLOOKUP($D78,Sheet1!$B$2:$S$333,12,FALSE),"")</f>
        <v>IN-1-POST</v>
      </c>
      <c r="K78" s="58" t="str">
        <f>IFERROR(VLOOKUP($D78,Sheet1!$B$2:$S$333,14,FALSE),"")</f>
        <v>GS-1</v>
      </c>
      <c r="L78" s="58" t="str">
        <f>IFERROR(VLOOKUP($D78,Sheet1!$B$2:$S$333,16,FALSE),"")</f>
        <v>GS-2</v>
      </c>
      <c r="M78" s="58" t="str">
        <f>IFERROR(VLOOKUP($D78,Sheet1!$B$2:$S$333,18,FALSE),"")</f>
        <v>AVAILABLE</v>
      </c>
      <c r="N78" s="71"/>
      <c r="O78" s="71"/>
      <c r="P78" s="71"/>
      <c r="Q78" s="72"/>
      <c r="R78" s="72"/>
      <c r="S78" s="72"/>
      <c r="T78" s="72"/>
    </row>
    <row r="79" spans="1:20" ht="23.25" customHeight="1" x14ac:dyDescent="0.35">
      <c r="B79" s="33"/>
      <c r="C79" s="68" t="str">
        <v>WRIGHT, SHAMARA</v>
      </c>
      <c r="D79" s="69" t="str">
        <v>1031684</v>
      </c>
      <c r="E79" s="69" t="str">
        <v>COASTAL - GAD</v>
      </c>
      <c r="F79" s="31">
        <f>_xlfn.IFNA(VLOOKUP($D79,Sheet1!$B$2:$E$333,4,FALSE),"")</f>
        <v>0</v>
      </c>
      <c r="G79" s="58" t="str">
        <f>IFERROR(VLOOKUP($D79,Sheet1!$B$2:$S$333,6,FALSE),"")</f>
        <v>IN-1</v>
      </c>
      <c r="H79" s="58" t="str">
        <f>IFERROR(VLOOKUP($D79,Sheet1!$B$2:$S$333,8,FALSE),"")</f>
        <v>IN-1</v>
      </c>
      <c r="I79" s="58" t="str">
        <f>IFERROR(VLOOKUP($D79,Sheet1!$B$2:$S$333,10,FALSE),"")</f>
        <v>IN-1</v>
      </c>
      <c r="J79" s="58" t="str">
        <f>IFERROR(VLOOKUP($D79,Sheet1!$B$2:$S$333,12,FALSE),"")</f>
        <v>SV-1</v>
      </c>
      <c r="K79" s="58" t="str">
        <f>IFERROR(VLOOKUP($D79,Sheet1!$B$2:$S$333,14,FALSE),"")</f>
        <v>IN-3</v>
      </c>
      <c r="L79" s="58" t="str">
        <f>IFERROR(VLOOKUP($D79,Sheet1!$B$2:$S$333,16,FALSE),"")</f>
        <v>OFF</v>
      </c>
      <c r="M79" s="58" t="str">
        <f>IFERROR(VLOOKUP($D79,Sheet1!$B$2:$S$333,18,FALSE),"")</f>
        <v>AVAILABLE</v>
      </c>
      <c r="N79" s="396"/>
      <c r="O79" s="397"/>
      <c r="P79" s="73"/>
      <c r="Q79" s="74"/>
      <c r="R79" s="75"/>
      <c r="S79" s="74"/>
      <c r="T79" s="75"/>
    </row>
    <row r="80" spans="1:20" ht="23.25" customHeight="1" x14ac:dyDescent="0.35">
      <c r="B80" s="33"/>
      <c r="C80" s="68"/>
      <c r="D80" s="69"/>
      <c r="E80" s="69"/>
      <c r="F80" s="31" t="str">
        <f>_xlfn.IFNA(VLOOKUP($D80,Sheet1!$B$2:$E$333,4,FALSE),"")</f>
        <v/>
      </c>
      <c r="G80" s="58" t="str">
        <f>IFERROR(VLOOKUP($D80,Sheet1!$B$2:$S$333,6,FALSE),"")</f>
        <v/>
      </c>
      <c r="H80" s="58" t="str">
        <f>IFERROR(VLOOKUP($D80,Sheet1!$B$2:$S$333,8,FALSE),"")</f>
        <v/>
      </c>
      <c r="I80" s="58" t="str">
        <f>IFERROR(VLOOKUP($D80,Sheet1!$B$2:$S$333,10,FALSE),"")</f>
        <v/>
      </c>
      <c r="J80" s="58" t="str">
        <f>IFERROR(VLOOKUP($D80,Sheet1!$B$2:$S$333,12,FALSE),"")</f>
        <v/>
      </c>
      <c r="K80" s="58" t="str">
        <f>IFERROR(VLOOKUP($D80,Sheet1!$B$2:$S$333,14,FALSE),"")</f>
        <v/>
      </c>
      <c r="L80" s="58" t="str">
        <f>IFERROR(VLOOKUP($D80,Sheet1!$B$2:$S$333,16,FALSE),"")</f>
        <v/>
      </c>
      <c r="M80" s="58" t="str">
        <f>IFERROR(VLOOKUP($D80,Sheet1!$B$2:$S$333,18,FALSE),"")</f>
        <v/>
      </c>
      <c r="N80" s="408"/>
      <c r="O80" s="397"/>
      <c r="P80" s="76"/>
      <c r="Q80" s="74"/>
      <c r="R80" s="77"/>
      <c r="S80" s="74"/>
      <c r="T80" s="77"/>
    </row>
    <row r="81" spans="1:22" ht="23.25" customHeight="1" x14ac:dyDescent="0.45">
      <c r="B81" s="33"/>
      <c r="C81" s="67"/>
      <c r="D81" s="27"/>
      <c r="E81" s="78"/>
      <c r="F81" s="31" t="str">
        <f>_xlfn.IFNA(VLOOKUP($D81,Sheet1!$B$2:$E$333,4,FALSE),"")</f>
        <v/>
      </c>
      <c r="G81" s="58" t="str">
        <f>IFERROR(VLOOKUP($D81,Sheet1!$B$2:$S$333,6,FALSE),"")</f>
        <v/>
      </c>
      <c r="H81" s="58" t="str">
        <f>IFERROR(VLOOKUP($D81,Sheet1!$B$2:$S$333,8,FALSE),"")</f>
        <v/>
      </c>
      <c r="I81" s="58" t="str">
        <f>IFERROR(VLOOKUP($D81,Sheet1!$B$2:$S$333,10,FALSE),"")</f>
        <v/>
      </c>
      <c r="J81" s="58" t="str">
        <f>IFERROR(VLOOKUP($D81,Sheet1!$B$2:$S$333,12,FALSE),"")</f>
        <v/>
      </c>
      <c r="K81" s="58" t="str">
        <f>IFERROR(VLOOKUP($D81,Sheet1!$B$2:$S$333,14,FALSE),"")</f>
        <v/>
      </c>
      <c r="L81" s="58" t="str">
        <f>IFERROR(VLOOKUP($D81,Sheet1!$B$2:$S$333,16,FALSE),"")</f>
        <v/>
      </c>
      <c r="M81" s="58" t="str">
        <f>IFERROR(VLOOKUP($D81,Sheet1!$B$2:$S$333,18,FALSE),"")</f>
        <v/>
      </c>
      <c r="N81" s="79"/>
      <c r="O81" s="79"/>
      <c r="P81" s="79"/>
      <c r="Q81" s="80"/>
      <c r="R81" s="80"/>
      <c r="S81" s="80"/>
      <c r="T81" s="80"/>
      <c r="V81" s="4" t="s">
        <v>36</v>
      </c>
    </row>
    <row r="82" spans="1:22" ht="23.25" customHeight="1" x14ac:dyDescent="0.45">
      <c r="B82" s="33"/>
      <c r="C82" s="67"/>
      <c r="D82" s="27"/>
      <c r="E82" s="78"/>
      <c r="F82" s="31" t="str">
        <f>_xlfn.IFNA(VLOOKUP($D82,Sheet1!$B$2:$E$333,4,FALSE),"")</f>
        <v/>
      </c>
      <c r="G82" s="58" t="str">
        <f>IFERROR(VLOOKUP($D82,Sheet1!$B$2:$S$333,6,FALSE),"")</f>
        <v/>
      </c>
      <c r="H82" s="58" t="str">
        <f>IFERROR(VLOOKUP($D82,Sheet1!$B$2:$S$333,8,FALSE),"")</f>
        <v/>
      </c>
      <c r="I82" s="58" t="str">
        <f>IFERROR(VLOOKUP($D82,Sheet1!$B$2:$S$333,10,FALSE),"")</f>
        <v/>
      </c>
      <c r="J82" s="58" t="str">
        <f>IFERROR(VLOOKUP($D82,Sheet1!$B$2:$S$333,12,FALSE),"")</f>
        <v/>
      </c>
      <c r="K82" s="58" t="str">
        <f>IFERROR(VLOOKUP($D82,Sheet1!$B$2:$S$333,14,FALSE),"")</f>
        <v/>
      </c>
      <c r="L82" s="58" t="str">
        <f>IFERROR(VLOOKUP($D82,Sheet1!$B$2:$S$333,16,FALSE),"")</f>
        <v/>
      </c>
      <c r="M82" s="58" t="str">
        <f>IFERROR(VLOOKUP($D82,Sheet1!$B$2:$S$333,18,FALSE),"")</f>
        <v/>
      </c>
      <c r="N82" s="79"/>
      <c r="O82" s="79"/>
      <c r="P82" s="79"/>
      <c r="Q82" s="80"/>
      <c r="R82" s="80"/>
      <c r="S82" s="80"/>
      <c r="T82" s="80"/>
    </row>
    <row r="83" spans="1:22" ht="23.25" customHeight="1" x14ac:dyDescent="0.45">
      <c r="B83" s="33"/>
      <c r="C83" s="67"/>
      <c r="D83" s="27"/>
      <c r="E83" s="78"/>
      <c r="F83" s="31" t="str">
        <f>_xlfn.IFNA(VLOOKUP($D83,Sheet1!$B$2:$E$333,4,FALSE),"")</f>
        <v/>
      </c>
      <c r="G83" s="58" t="str">
        <f>IFERROR(VLOOKUP($D83,Sheet1!$B$2:$S$333,6,FALSE),"")</f>
        <v/>
      </c>
      <c r="H83" s="58" t="str">
        <f>IFERROR(VLOOKUP($D83,Sheet1!$B$2:$S$333,8,FALSE),"")</f>
        <v/>
      </c>
      <c r="I83" s="58" t="str">
        <f>IFERROR(VLOOKUP($D83,Sheet1!$B$2:$S$333,10,FALSE),"")</f>
        <v/>
      </c>
      <c r="J83" s="58" t="str">
        <f>IFERROR(VLOOKUP($D83,Sheet1!$B$2:$S$333,12,FALSE),"")</f>
        <v/>
      </c>
      <c r="K83" s="58" t="str">
        <f>IFERROR(VLOOKUP($D83,Sheet1!$B$2:$S$333,14,FALSE),"")</f>
        <v/>
      </c>
      <c r="L83" s="58" t="str">
        <f>IFERROR(VLOOKUP($D83,Sheet1!$B$2:$S$333,16,FALSE),"")</f>
        <v/>
      </c>
      <c r="M83" s="58" t="str">
        <f>IFERROR(VLOOKUP($D83,Sheet1!$B$2:$S$333,18,FALSE),"")</f>
        <v/>
      </c>
      <c r="N83" s="79"/>
      <c r="O83" s="79"/>
      <c r="P83" s="79"/>
      <c r="Q83" s="80"/>
      <c r="R83" s="80"/>
      <c r="S83" s="80"/>
      <c r="T83" s="80"/>
    </row>
    <row r="84" spans="1:22" ht="23.25" customHeight="1" x14ac:dyDescent="0.45">
      <c r="B84" s="33"/>
      <c r="C84" s="67"/>
      <c r="D84" s="27"/>
      <c r="E84" s="78"/>
      <c r="F84" s="31" t="str">
        <f>_xlfn.IFNA(VLOOKUP($D84,Sheet1!$B$2:$E$333,4,FALSE),"")</f>
        <v/>
      </c>
      <c r="G84" s="58" t="str">
        <f>IFERROR(VLOOKUP($D84,Sheet1!$B$2:$S$333,6,FALSE),"")</f>
        <v/>
      </c>
      <c r="H84" s="58" t="str">
        <f>IFERROR(VLOOKUP($D84,Sheet1!$B$2:$S$333,8,FALSE),"")</f>
        <v/>
      </c>
      <c r="I84" s="58" t="str">
        <f>IFERROR(VLOOKUP($D84,Sheet1!$B$2:$S$333,10,FALSE),"")</f>
        <v/>
      </c>
      <c r="J84" s="58" t="str">
        <f>IFERROR(VLOOKUP($D84,Sheet1!$B$2:$S$333,12,FALSE),"")</f>
        <v/>
      </c>
      <c r="K84" s="58" t="str">
        <f>IFERROR(VLOOKUP($D84,Sheet1!$B$2:$S$333,14,FALSE),"")</f>
        <v/>
      </c>
      <c r="L84" s="58" t="str">
        <f>IFERROR(VLOOKUP($D84,Sheet1!$B$2:$S$333,16,FALSE),"")</f>
        <v/>
      </c>
      <c r="M84" s="58" t="str">
        <f>IFERROR(VLOOKUP($D84,Sheet1!$B$2:$S$333,18,FALSE),"")</f>
        <v/>
      </c>
      <c r="N84" s="79"/>
      <c r="O84" s="79"/>
      <c r="P84" s="79"/>
      <c r="Q84" s="80"/>
      <c r="R84" s="80"/>
      <c r="S84" s="80"/>
      <c r="T84" s="80"/>
    </row>
    <row r="85" spans="1:22" ht="23.25" customHeight="1" x14ac:dyDescent="0.45">
      <c r="B85" s="33"/>
      <c r="C85" s="67"/>
      <c r="D85" s="27"/>
      <c r="E85" s="78"/>
      <c r="F85" s="31" t="str">
        <f>_xlfn.IFNA(VLOOKUP($D85,Sheet1!$B$2:$E$333,4,FALSE),"")</f>
        <v/>
      </c>
      <c r="G85" s="58" t="str">
        <f>IFERROR(VLOOKUP($D85,Sheet1!$B$2:$S$333,6,FALSE),"")</f>
        <v/>
      </c>
      <c r="H85" s="58" t="str">
        <f>IFERROR(VLOOKUP($D85,Sheet1!$B$2:$S$333,8,FALSE),"")</f>
        <v/>
      </c>
      <c r="I85" s="58" t="str">
        <f>IFERROR(VLOOKUP($D85,Sheet1!$B$2:$S$333,10,FALSE),"")</f>
        <v/>
      </c>
      <c r="J85" s="58" t="str">
        <f>IFERROR(VLOOKUP($D85,Sheet1!$B$2:$S$333,12,FALSE),"")</f>
        <v/>
      </c>
      <c r="K85" s="58" t="str">
        <f>IFERROR(VLOOKUP($D85,Sheet1!$B$2:$S$333,14,FALSE),"")</f>
        <v/>
      </c>
      <c r="L85" s="58" t="str">
        <f>IFERROR(VLOOKUP($D85,Sheet1!$B$2:$S$333,16,FALSE),"")</f>
        <v/>
      </c>
      <c r="M85" s="58" t="str">
        <f>IFERROR(VLOOKUP($D85,Sheet1!$B$2:$S$333,18,FALSE),"")</f>
        <v/>
      </c>
      <c r="N85" s="79"/>
      <c r="O85" s="79"/>
      <c r="P85" s="79"/>
      <c r="Q85" s="80"/>
      <c r="R85" s="80"/>
      <c r="S85" s="80"/>
      <c r="T85" s="80"/>
    </row>
    <row r="86" spans="1:22" ht="23.25" customHeight="1" x14ac:dyDescent="0.45">
      <c r="B86" s="33"/>
      <c r="C86" s="67"/>
      <c r="D86" s="27"/>
      <c r="E86" s="78"/>
      <c r="F86" s="31" t="str">
        <f>_xlfn.IFNA(VLOOKUP($D86,Sheet1!$B$2:$E$333,4,FALSE),"")</f>
        <v/>
      </c>
      <c r="G86" s="58" t="str">
        <f>IFERROR(VLOOKUP($D86,Sheet1!$B$2:$S$333,6,FALSE),"")</f>
        <v/>
      </c>
      <c r="H86" s="58" t="str">
        <f>IFERROR(VLOOKUP($D86,Sheet1!$B$2:$S$333,8,FALSE),"")</f>
        <v/>
      </c>
      <c r="I86" s="58" t="str">
        <f>IFERROR(VLOOKUP($D86,Sheet1!$B$2:$S$333,10,FALSE),"")</f>
        <v/>
      </c>
      <c r="J86" s="58" t="str">
        <f>IFERROR(VLOOKUP($D86,Sheet1!$B$2:$S$333,12,FALSE),"")</f>
        <v/>
      </c>
      <c r="K86" s="58" t="str">
        <f>IFERROR(VLOOKUP($D86,Sheet1!$B$2:$S$333,14,FALSE),"")</f>
        <v/>
      </c>
      <c r="L86" s="58" t="str">
        <f>IFERROR(VLOOKUP($D86,Sheet1!$B$2:$S$333,16,FALSE),"")</f>
        <v/>
      </c>
      <c r="M86" s="58" t="str">
        <f>IFERROR(VLOOKUP($D86,Sheet1!$B$2:$S$333,18,FALSE),"")</f>
        <v/>
      </c>
      <c r="N86" s="79"/>
      <c r="O86" s="79"/>
      <c r="P86" s="79"/>
      <c r="Q86" s="80"/>
      <c r="R86" s="80"/>
      <c r="S86" s="80"/>
      <c r="T86" s="80"/>
    </row>
    <row r="87" spans="1:22" ht="23.25" customHeight="1" x14ac:dyDescent="0.45">
      <c r="B87" s="33"/>
      <c r="C87" s="67"/>
      <c r="D87" s="27"/>
      <c r="E87" s="78"/>
      <c r="F87" s="31" t="str">
        <f>_xlfn.IFNA(VLOOKUP($D87,Sheet1!$B$2:$E$333,4,FALSE),"")</f>
        <v/>
      </c>
      <c r="G87" s="58" t="str">
        <f>IFERROR(VLOOKUP($D87,Sheet1!$B$2:$S$333,6,FALSE),"")</f>
        <v/>
      </c>
      <c r="H87" s="58" t="str">
        <f>IFERROR(VLOOKUP($D87,Sheet1!$B$2:$S$333,8,FALSE),"")</f>
        <v/>
      </c>
      <c r="I87" s="58" t="str">
        <f>IFERROR(VLOOKUP($D87,Sheet1!$B$2:$S$333,10,FALSE),"")</f>
        <v/>
      </c>
      <c r="J87" s="58" t="str">
        <f>IFERROR(VLOOKUP($D87,Sheet1!$B$2:$S$333,12,FALSE),"")</f>
        <v/>
      </c>
      <c r="K87" s="58" t="str">
        <f>IFERROR(VLOOKUP($D87,Sheet1!$B$2:$S$333,14,FALSE),"")</f>
        <v/>
      </c>
      <c r="L87" s="58" t="str">
        <f>IFERROR(VLOOKUP($D87,Sheet1!$B$2:$S$333,16,FALSE),"")</f>
        <v/>
      </c>
      <c r="M87" s="58" t="str">
        <f>IFERROR(VLOOKUP($D87,Sheet1!$B$2:$S$333,18,FALSE),"")</f>
        <v/>
      </c>
      <c r="N87" s="79"/>
      <c r="O87" s="79"/>
      <c r="P87" s="79"/>
      <c r="Q87" s="80"/>
      <c r="R87" s="80"/>
      <c r="S87" s="80"/>
      <c r="T87" s="80"/>
    </row>
    <row r="88" spans="1:22" ht="23.25" customHeight="1" x14ac:dyDescent="0.45">
      <c r="B88" s="33"/>
      <c r="C88" s="67"/>
      <c r="D88" s="27"/>
      <c r="E88" s="78"/>
      <c r="F88" s="31" t="str">
        <f>_xlfn.IFNA(VLOOKUP($D88,Sheet1!$B$2:$E$333,4,FALSE),"")</f>
        <v/>
      </c>
      <c r="G88" s="58" t="str">
        <f>IFERROR(VLOOKUP($D88,Sheet1!$B$2:$S$333,6,FALSE),"")</f>
        <v/>
      </c>
      <c r="H88" s="58" t="str">
        <f>IFERROR(VLOOKUP($D88,Sheet1!$B$2:$S$333,8,FALSE),"")</f>
        <v/>
      </c>
      <c r="I88" s="58" t="str">
        <f>IFERROR(VLOOKUP($D88,Sheet1!$B$2:$S$333,10,FALSE),"")</f>
        <v/>
      </c>
      <c r="J88" s="58" t="str">
        <f>IFERROR(VLOOKUP($D88,Sheet1!$B$2:$S$333,12,FALSE),"")</f>
        <v/>
      </c>
      <c r="K88" s="58" t="str">
        <f>IFERROR(VLOOKUP($D88,Sheet1!$B$2:$S$333,14,FALSE),"")</f>
        <v/>
      </c>
      <c r="L88" s="58" t="str">
        <f>IFERROR(VLOOKUP($D88,Sheet1!$B$2:$S$333,16,FALSE),"")</f>
        <v/>
      </c>
      <c r="M88" s="58" t="str">
        <f>IFERROR(VLOOKUP($D88,Sheet1!$B$2:$S$333,18,FALSE),"")</f>
        <v/>
      </c>
      <c r="N88" s="79"/>
      <c r="O88" s="79"/>
      <c r="P88" s="79"/>
      <c r="Q88" s="80"/>
      <c r="R88" s="80"/>
      <c r="S88" s="80"/>
      <c r="T88" s="80"/>
    </row>
    <row r="89" spans="1:22" ht="23.25" customHeight="1" x14ac:dyDescent="0.45">
      <c r="B89" s="33"/>
      <c r="C89" s="67"/>
      <c r="D89" s="27"/>
      <c r="E89" s="78"/>
      <c r="F89" s="31" t="str">
        <f>_xlfn.IFNA(VLOOKUP($D89,Sheet1!$B$2:$E$333,4,FALSE),"")</f>
        <v/>
      </c>
      <c r="G89" s="58" t="str">
        <f>IFERROR(VLOOKUP($D89,Sheet1!$B$2:$S$333,6,FALSE),"")</f>
        <v/>
      </c>
      <c r="H89" s="58" t="str">
        <f>IFERROR(VLOOKUP($D89,Sheet1!$B$2:$S$333,8,FALSE),"")</f>
        <v/>
      </c>
      <c r="I89" s="58" t="str">
        <f>IFERROR(VLOOKUP($D89,Sheet1!$B$2:$S$333,10,FALSE),"")</f>
        <v/>
      </c>
      <c r="J89" s="58" t="str">
        <f>IFERROR(VLOOKUP($D89,Sheet1!$B$2:$S$333,12,FALSE),"")</f>
        <v/>
      </c>
      <c r="K89" s="58" t="str">
        <f>IFERROR(VLOOKUP($D89,Sheet1!$B$2:$S$333,14,FALSE),"")</f>
        <v/>
      </c>
      <c r="L89" s="58" t="str">
        <f>IFERROR(VLOOKUP($D89,Sheet1!$B$2:$S$333,16,FALSE),"")</f>
        <v/>
      </c>
      <c r="M89" s="58" t="str">
        <f>IFERROR(VLOOKUP($D89,Sheet1!$B$2:$S$333,18,FALSE),"")</f>
        <v/>
      </c>
      <c r="N89" s="79"/>
      <c r="O89" s="79"/>
      <c r="P89" s="79"/>
      <c r="Q89" s="80"/>
      <c r="R89" s="80"/>
      <c r="S89" s="80"/>
      <c r="T89" s="80"/>
    </row>
    <row r="90" spans="1:22" ht="23.25" customHeight="1" x14ac:dyDescent="0.45">
      <c r="B90" s="33"/>
      <c r="C90" s="67"/>
      <c r="D90" s="27"/>
      <c r="E90" s="78"/>
      <c r="F90" s="31" t="str">
        <f>_xlfn.IFNA(VLOOKUP($D90,Sheet1!$B$2:$E$333,4,FALSE),"")</f>
        <v/>
      </c>
      <c r="G90" s="58" t="str">
        <f>IFERROR(VLOOKUP($D90,Sheet1!$B$2:$S$333,6,FALSE),"")</f>
        <v/>
      </c>
      <c r="H90" s="58" t="str">
        <f>IFERROR(VLOOKUP($D90,Sheet1!$B$2:$S$333,8,FALSE),"")</f>
        <v/>
      </c>
      <c r="I90" s="58" t="str">
        <f>IFERROR(VLOOKUP($D90,Sheet1!$B$2:$S$333,10,FALSE),"")</f>
        <v/>
      </c>
      <c r="J90" s="58" t="str">
        <f>IFERROR(VLOOKUP($D90,Sheet1!$B$2:$S$333,12,FALSE),"")</f>
        <v/>
      </c>
      <c r="K90" s="58" t="str">
        <f>IFERROR(VLOOKUP($D90,Sheet1!$B$2:$S$333,14,FALSE),"")</f>
        <v/>
      </c>
      <c r="L90" s="58" t="str">
        <f>IFERROR(VLOOKUP($D90,Sheet1!$B$2:$S$333,16,FALSE),"")</f>
        <v/>
      </c>
      <c r="M90" s="58" t="str">
        <f>IFERROR(VLOOKUP($D90,Sheet1!$B$2:$S$333,18,FALSE),"")</f>
        <v/>
      </c>
      <c r="N90" s="79"/>
      <c r="O90" s="79"/>
      <c r="P90" s="79"/>
      <c r="Q90" s="80"/>
      <c r="R90" s="80"/>
      <c r="S90" s="80"/>
      <c r="T90" s="80"/>
    </row>
    <row r="91" spans="1:22" ht="23.25" customHeight="1" x14ac:dyDescent="0.45">
      <c r="B91" s="33"/>
      <c r="C91" s="67"/>
      <c r="D91" s="27"/>
      <c r="E91" s="78"/>
      <c r="F91" s="31" t="str">
        <f>_xlfn.IFNA(VLOOKUP($D91,Sheet1!$B$2:$E$333,4,FALSE),"")</f>
        <v/>
      </c>
      <c r="G91" s="58" t="str">
        <f>IFERROR(VLOOKUP($D91,Sheet1!$B$2:$S$333,6,FALSE),"")</f>
        <v/>
      </c>
      <c r="H91" s="58" t="str">
        <f>IFERROR(VLOOKUP($D91,Sheet1!$B$2:$S$333,8,FALSE),"")</f>
        <v/>
      </c>
      <c r="I91" s="58" t="str">
        <f>IFERROR(VLOOKUP($D91,Sheet1!$B$2:$S$333,10,FALSE),"")</f>
        <v/>
      </c>
      <c r="J91" s="58" t="str">
        <f>IFERROR(VLOOKUP($D91,Sheet1!$B$2:$S$333,12,FALSE),"")</f>
        <v/>
      </c>
      <c r="K91" s="58" t="str">
        <f>IFERROR(VLOOKUP($D91,Sheet1!$B$2:$S$333,14,FALSE),"")</f>
        <v/>
      </c>
      <c r="L91" s="58" t="str">
        <f>IFERROR(VLOOKUP($D91,Sheet1!$B$2:$S$333,16,FALSE),"")</f>
        <v/>
      </c>
      <c r="M91" s="58" t="str">
        <f>IFERROR(VLOOKUP($D91,Sheet1!$B$2:$S$333,18,FALSE),"")</f>
        <v/>
      </c>
      <c r="N91" s="79"/>
      <c r="O91" s="79"/>
      <c r="P91" s="79"/>
      <c r="Q91" s="80"/>
      <c r="R91" s="80"/>
      <c r="S91" s="80"/>
      <c r="T91" s="80"/>
    </row>
    <row r="92" spans="1:22" ht="23.25" customHeight="1" x14ac:dyDescent="0.45">
      <c r="B92" s="33"/>
      <c r="C92" s="67"/>
      <c r="D92" s="27"/>
      <c r="E92" s="78"/>
      <c r="F92" s="31" t="str">
        <f>_xlfn.IFNA(VLOOKUP($D92,Sheet1!$B$2:$E$333,4,FALSE),"")</f>
        <v/>
      </c>
      <c r="G92" s="58" t="str">
        <f>IFERROR(VLOOKUP($D92,Sheet1!$B$2:$S$333,6,FALSE),"")</f>
        <v/>
      </c>
      <c r="H92" s="58" t="str">
        <f>IFERROR(VLOOKUP($D92,Sheet1!$B$2:$S$333,8,FALSE),"")</f>
        <v/>
      </c>
      <c r="I92" s="58" t="str">
        <f>IFERROR(VLOOKUP($D92,Sheet1!$B$2:$S$333,10,FALSE),"")</f>
        <v/>
      </c>
      <c r="J92" s="58" t="str">
        <f>IFERROR(VLOOKUP($D92,Sheet1!$B$2:$S$333,12,FALSE),"")</f>
        <v/>
      </c>
      <c r="K92" s="58" t="str">
        <f>IFERROR(VLOOKUP($D92,Sheet1!$B$2:$S$333,14,FALSE),"")</f>
        <v/>
      </c>
      <c r="L92" s="58" t="str">
        <f>IFERROR(VLOOKUP($D92,Sheet1!$B$2:$S$333,16,FALSE),"")</f>
        <v/>
      </c>
      <c r="M92" s="58" t="str">
        <f>IFERROR(VLOOKUP($D92,Sheet1!$B$2:$S$333,18,FALSE),"")</f>
        <v/>
      </c>
      <c r="N92" s="79"/>
      <c r="O92" s="79"/>
      <c r="P92" s="79"/>
      <c r="Q92" s="80"/>
      <c r="R92" s="80"/>
      <c r="S92" s="80"/>
      <c r="T92" s="80"/>
      <c r="V92" s="4" t="s">
        <v>13</v>
      </c>
    </row>
    <row r="93" spans="1:22" ht="23.25" customHeight="1" thickBot="1" x14ac:dyDescent="0.5">
      <c r="B93" s="35"/>
      <c r="C93" s="81"/>
      <c r="D93" s="36"/>
      <c r="E93" s="82"/>
      <c r="F93" s="38" t="str">
        <f>_xlfn.IFNA(VLOOKUP($D93,Sheet1!$B$2:$E$333,4,FALSE),"")</f>
        <v/>
      </c>
      <c r="G93" s="58" t="str">
        <f>IFERROR(VLOOKUP($D93,Sheet1!$B$2:$S$333,6,FALSE),"")</f>
        <v/>
      </c>
      <c r="H93" s="58" t="str">
        <f>IFERROR(VLOOKUP($D93,Sheet1!$B$2:$S$333,8,FALSE),"")</f>
        <v/>
      </c>
      <c r="I93" s="58" t="str">
        <f>IFERROR(VLOOKUP($D93,Sheet1!$B$2:$S$333,10,FALSE),"")</f>
        <v/>
      </c>
      <c r="J93" s="58" t="str">
        <f>IFERROR(VLOOKUP($D93,Sheet1!$B$2:$S$333,12,FALSE),"")</f>
        <v/>
      </c>
      <c r="K93" s="58" t="str">
        <f>IFERROR(VLOOKUP($D93,Sheet1!$B$2:$S$333,14,FALSE),"")</f>
        <v/>
      </c>
      <c r="L93" s="58" t="str">
        <f>IFERROR(VLOOKUP($D93,Sheet1!$B$2:$S$333,16,FALSE),"")</f>
        <v/>
      </c>
      <c r="M93" s="58" t="str">
        <f>IFERROR(VLOOKUP($D93,Sheet1!$B$2:$S$333,18,FALSE),"")</f>
        <v/>
      </c>
      <c r="N93" s="79"/>
      <c r="O93" s="79"/>
      <c r="P93" s="79"/>
      <c r="Q93" s="80"/>
      <c r="R93" s="80"/>
      <c r="S93" s="80"/>
      <c r="T93" s="80"/>
      <c r="V93" s="4" t="s">
        <v>14</v>
      </c>
    </row>
    <row r="94" spans="1:22" ht="23.25" customHeight="1" thickBot="1" x14ac:dyDescent="0.4">
      <c r="A94" s="22"/>
      <c r="B94" s="23"/>
      <c r="C94" s="409" t="s">
        <v>37</v>
      </c>
      <c r="D94" s="409"/>
      <c r="E94" s="409"/>
      <c r="F94" s="409"/>
      <c r="G94" s="409"/>
      <c r="H94" s="409"/>
      <c r="I94" s="409"/>
      <c r="J94" s="409"/>
      <c r="K94" s="409"/>
      <c r="L94" s="409"/>
      <c r="M94" s="409"/>
      <c r="N94" s="79"/>
      <c r="O94" s="79"/>
      <c r="P94" s="79"/>
      <c r="Q94" s="80"/>
      <c r="R94" s="80"/>
      <c r="S94" s="80"/>
      <c r="T94" s="80"/>
      <c r="V94" s="4" t="s">
        <v>15</v>
      </c>
    </row>
    <row r="95" spans="1:22" ht="23.25" customHeight="1" x14ac:dyDescent="0.45">
      <c r="B95" s="53" t="s">
        <v>38</v>
      </c>
      <c r="C95" s="83" t="str" cm="1">
        <f t="array" ref="C95:E101">_xlfn._xlws.FILTER(Sheet1!$A$2:$C$333,Sheet1!$C$2:$C$333='GAD DISPATCHER SCHEDULE'!$U$16)</f>
        <v>ALICIE, BRANDON</v>
      </c>
      <c r="D95" s="84" t="str">
        <v>0100010</v>
      </c>
      <c r="E95" s="85" t="str">
        <v>GULF - GAD</v>
      </c>
      <c r="F95" s="29">
        <f>_xlfn.IFNA(VLOOKUP($D95,Sheet1!$B$2:$E$333,4,FALSE),"")</f>
        <v>0</v>
      </c>
      <c r="G95" s="58" t="str">
        <f>IFERROR(VLOOKUP($D95,Sheet1!$B$2:$S$333,6,FALSE),"")</f>
        <v>OFF</v>
      </c>
      <c r="H95" s="58" t="str">
        <f>IFERROR(VLOOKUP($D95,Sheet1!$B$2:$S$333,8,FALSE),"")</f>
        <v>OFF</v>
      </c>
      <c r="I95" s="58" t="str">
        <f>IFERROR(VLOOKUP($D95,Sheet1!$B$2:$S$333,10,FALSE),"")</f>
        <v>V-SD</v>
      </c>
      <c r="J95" s="58" t="str">
        <f>IFERROR(VLOOKUP($D95,Sheet1!$B$2:$S$333,12,FALSE),"")</f>
        <v>RT-1</v>
      </c>
      <c r="K95" s="58" t="str">
        <f>IFERROR(VLOOKUP($D95,Sheet1!$B$2:$S$333,14,FALSE),"")</f>
        <v>EE-1</v>
      </c>
      <c r="L95" s="58" t="str">
        <f>IFERROR(VLOOKUP($D95,Sheet1!$B$2:$S$333,16,FALSE),"")</f>
        <v>KW-1</v>
      </c>
      <c r="M95" s="58" t="str">
        <f>IFERROR(VLOOKUP($D95,Sheet1!$B$2:$S$333,18,FALSE),"")</f>
        <v>AVAILABLE</v>
      </c>
      <c r="V95" s="4" t="s">
        <v>17</v>
      </c>
    </row>
    <row r="96" spans="1:22" ht="23.25" customHeight="1" x14ac:dyDescent="0.45">
      <c r="B96" s="53" t="s">
        <v>39</v>
      </c>
      <c r="C96" s="86" t="str">
        <v>COBB, MATT</v>
      </c>
      <c r="D96" s="87" t="str">
        <v>1030360</v>
      </c>
      <c r="E96" s="88" t="str">
        <v>GULF - GAD</v>
      </c>
      <c r="F96" s="31">
        <f>_xlfn.IFNA(VLOOKUP($D96,Sheet1!$B$2:$E$333,4,FALSE),"")</f>
        <v>0</v>
      </c>
      <c r="G96" s="58" t="str">
        <f>IFERROR(VLOOKUP($D96,Sheet1!$B$2:$S$333,6,FALSE),"")</f>
        <v>BT-1</v>
      </c>
      <c r="H96" s="58" t="str">
        <f>IFERROR(VLOOKUP($D96,Sheet1!$B$2:$S$333,8,FALSE),"")</f>
        <v>AVAILABLE</v>
      </c>
      <c r="I96" s="58" t="str">
        <f>IFERROR(VLOOKUP($D96,Sheet1!$B$2:$S$333,10,FALSE),"")</f>
        <v>AVAILABLE</v>
      </c>
      <c r="J96" s="58" t="str">
        <f>IFERROR(VLOOKUP($D96,Sheet1!$B$2:$S$333,12,FALSE),"")</f>
        <v>AVAILABLE</v>
      </c>
      <c r="K96" s="58" t="str">
        <f>IFERROR(VLOOKUP($D96,Sheet1!$B$2:$S$333,14,FALSE),"")</f>
        <v>OFF</v>
      </c>
      <c r="L96" s="58" t="str">
        <f>IFERROR(VLOOKUP($D96,Sheet1!$B$2:$S$333,16,FALSE),"")</f>
        <v>OFF</v>
      </c>
      <c r="M96" s="58" t="str">
        <f>IFERROR(VLOOKUP($D96,Sheet1!$B$2:$S$333,18,FALSE),"")</f>
        <v>ME-1</v>
      </c>
      <c r="V96" s="4" t="s">
        <v>16</v>
      </c>
    </row>
    <row r="97" spans="2:13" ht="23.25" customHeight="1" x14ac:dyDescent="0.45">
      <c r="B97" s="89" t="s">
        <v>40</v>
      </c>
      <c r="C97" s="86" t="str">
        <v>FRAZIER, WILLIE</v>
      </c>
      <c r="D97" s="87" t="str">
        <v>1032756</v>
      </c>
      <c r="E97" s="88" t="str">
        <v>GULF - GAD</v>
      </c>
      <c r="F97" s="31">
        <f>_xlfn.IFNA(VLOOKUP($D97,Sheet1!$B$2:$E$333,4,FALSE),"")</f>
        <v>0</v>
      </c>
      <c r="G97" s="58" t="str">
        <f>IFERROR(VLOOKUP($D97,Sheet1!$B$2:$S$333,6,FALSE),"")</f>
        <v>CN-2-POST</v>
      </c>
      <c r="H97" s="58" t="str">
        <f>IFERROR(VLOOKUP($D97,Sheet1!$B$2:$S$333,8,FALSE),"")</f>
        <v>CN-2-POST</v>
      </c>
      <c r="I97" s="58" t="str">
        <f>IFERROR(VLOOKUP($D97,Sheet1!$B$2:$S$333,10,FALSE),"")</f>
        <v>OFF</v>
      </c>
      <c r="J97" s="58" t="str">
        <f>IFERROR(VLOOKUP($D97,Sheet1!$B$2:$S$333,12,FALSE),"")</f>
        <v>OFF</v>
      </c>
      <c r="K97" s="58" t="str">
        <f>IFERROR(VLOOKUP($D97,Sheet1!$B$2:$S$333,14,FALSE),"")</f>
        <v>CN-2-POST</v>
      </c>
      <c r="L97" s="58" t="str">
        <f>IFERROR(VLOOKUP($D97,Sheet1!$B$2:$S$333,16,FALSE),"")</f>
        <v>CN-2-POST</v>
      </c>
      <c r="M97" s="58" t="str">
        <f>IFERROR(VLOOKUP($D97,Sheet1!$B$2:$S$333,18,FALSE),"")</f>
        <v>CN-2-POST</v>
      </c>
    </row>
    <row r="98" spans="2:13" ht="23.25" customHeight="1" x14ac:dyDescent="0.45">
      <c r="B98" s="90" t="s">
        <v>41</v>
      </c>
      <c r="C98" s="86" t="str">
        <v>HICKS, TREVOR</v>
      </c>
      <c r="D98" s="87" t="str">
        <v>1027982</v>
      </c>
      <c r="E98" s="88" t="str">
        <v>GULF - GAD</v>
      </c>
      <c r="F98" s="31">
        <f>_xlfn.IFNA(VLOOKUP($D98,Sheet1!$B$2:$E$333,4,FALSE),"")</f>
        <v>0</v>
      </c>
      <c r="G98" s="58" t="str">
        <f>IFERROR(VLOOKUP($D98,Sheet1!$B$2:$S$333,6,FALSE),"")</f>
        <v>S-SD</v>
      </c>
      <c r="H98" s="58" t="str">
        <f>IFERROR(VLOOKUP($D98,Sheet1!$B$2:$S$333,8,FALSE),"")</f>
        <v>CN-1-POST</v>
      </c>
      <c r="I98" s="58" t="str">
        <f>IFERROR(VLOOKUP($D98,Sheet1!$B$2:$S$333,10,FALSE),"")</f>
        <v>EE-1</v>
      </c>
      <c r="J98" s="58" t="str">
        <f>IFERROR(VLOOKUP($D98,Sheet1!$B$2:$S$333,12,FALSE),"")</f>
        <v>EE-1</v>
      </c>
      <c r="K98" s="58" t="str">
        <f>IFERROR(VLOOKUP($D98,Sheet1!$B$2:$S$333,14,FALSE),"")</f>
        <v>OFF</v>
      </c>
      <c r="L98" s="58" t="str">
        <f>IFERROR(VLOOKUP($D98,Sheet1!$B$2:$S$333,16,FALSE),"")</f>
        <v>OFF</v>
      </c>
      <c r="M98" s="58" t="str">
        <f>IFERROR(VLOOKUP($D98,Sheet1!$B$2:$S$333,18,FALSE),"")</f>
        <v>CN-1-POST</v>
      </c>
    </row>
    <row r="99" spans="2:13" ht="23.25" customHeight="1" x14ac:dyDescent="0.45">
      <c r="B99" s="91" t="s">
        <v>42</v>
      </c>
      <c r="C99" s="86" t="str">
        <v>MCKINNEY, REBECCA</v>
      </c>
      <c r="D99" s="87" t="str">
        <v>1019606</v>
      </c>
      <c r="E99" s="88" t="str">
        <v>GULF - GAD</v>
      </c>
      <c r="F99" s="31">
        <f>_xlfn.IFNA(VLOOKUP($D99,Sheet1!$B$2:$E$333,4,FALSE),"")</f>
        <v>0</v>
      </c>
      <c r="G99" s="58" t="str">
        <f>IFERROR(VLOOKUP($D99,Sheet1!$B$2:$S$333,6,FALSE),"")</f>
        <v>OFF</v>
      </c>
      <c r="H99" s="58" t="str">
        <f>IFERROR(VLOOKUP($D99,Sheet1!$B$2:$S$333,8,FALSE),"")</f>
        <v>OFF</v>
      </c>
      <c r="I99" s="58" t="str">
        <f>IFERROR(VLOOKUP($D99,Sheet1!$B$2:$S$333,10,FALSE),"")</f>
        <v>ACD2-GU</v>
      </c>
      <c r="J99" s="58" t="str">
        <f>IFERROR(VLOOKUP($D99,Sheet1!$B$2:$S$333,12,FALSE),"")</f>
        <v>ACD2-GU</v>
      </c>
      <c r="K99" s="58" t="str">
        <f>IFERROR(VLOOKUP($D99,Sheet1!$B$2:$S$333,14,FALSE),"")</f>
        <v>3B-3</v>
      </c>
      <c r="L99" s="58" t="str">
        <f>IFERROR(VLOOKUP($D99,Sheet1!$B$2:$S$333,16,FALSE),"")</f>
        <v>AVAILABLE</v>
      </c>
      <c r="M99" s="58" t="str">
        <f>IFERROR(VLOOKUP($D99,Sheet1!$B$2:$S$333,18,FALSE),"")</f>
        <v>ACD1-CO</v>
      </c>
    </row>
    <row r="100" spans="2:13" ht="23.25" customHeight="1" x14ac:dyDescent="0.45">
      <c r="B100" s="92" t="s">
        <v>43</v>
      </c>
      <c r="C100" s="86" t="str">
        <v>RUSSELL, SHALONDIA</v>
      </c>
      <c r="D100" s="87" t="str">
        <v>1028258</v>
      </c>
      <c r="E100" s="88" t="str">
        <v>GULF - GAD</v>
      </c>
      <c r="F100" s="31">
        <f>_xlfn.IFNA(VLOOKUP($D100,Sheet1!$B$2:$E$333,4,FALSE),"")</f>
        <v>0</v>
      </c>
      <c r="G100" s="58" t="str">
        <f>IFERROR(VLOOKUP($D100,Sheet1!$B$2:$S$333,6,FALSE),"")</f>
        <v>3B-1</v>
      </c>
      <c r="H100" s="58" t="str">
        <f>IFERROR(VLOOKUP($D100,Sheet1!$B$2:$S$333,8,FALSE),"")</f>
        <v>NO-3</v>
      </c>
      <c r="I100" s="58" t="str">
        <f>IFERROR(VLOOKUP($D100,Sheet1!$B$2:$S$333,10,FALSE),"")</f>
        <v>OFF</v>
      </c>
      <c r="J100" s="58" t="str">
        <f>IFERROR(VLOOKUP($D100,Sheet1!$B$2:$S$333,12,FALSE),"")</f>
        <v>OFF</v>
      </c>
      <c r="K100" s="58" t="str">
        <f>IFERROR(VLOOKUP($D100,Sheet1!$B$2:$S$333,14,FALSE),"")</f>
        <v>BT-1-POST</v>
      </c>
      <c r="L100" s="58" t="str">
        <f>IFERROR(VLOOKUP($D100,Sheet1!$B$2:$S$333,16,FALSE),"")</f>
        <v>ME-2</v>
      </c>
      <c r="M100" s="58" t="str">
        <f>IFERROR(VLOOKUP($D100,Sheet1!$B$2:$S$333,18,FALSE),"")</f>
        <v>BT-2-POST</v>
      </c>
    </row>
    <row r="101" spans="2:13" ht="23.25" customHeight="1" x14ac:dyDescent="0.45">
      <c r="B101" s="60"/>
      <c r="C101" s="86" t="str">
        <v>WILLIFORD, JUSTINA</v>
      </c>
      <c r="D101" s="87" t="str">
        <v>1024517</v>
      </c>
      <c r="E101" s="88" t="str">
        <v>GULF - GAD</v>
      </c>
      <c r="F101" s="31">
        <f>_xlfn.IFNA(VLOOKUP($D101,Sheet1!$B$2:$E$333,4,FALSE),"")</f>
        <v>0</v>
      </c>
      <c r="G101" s="58" t="str">
        <f>IFERROR(VLOOKUP($D101,Sheet1!$B$2:$S$333,6,FALSE),"")</f>
        <v>3B-2</v>
      </c>
      <c r="H101" s="58" t="str">
        <f>IFERROR(VLOOKUP($D101,Sheet1!$B$2:$S$333,8,FALSE),"")</f>
        <v>ME-2-POST</v>
      </c>
      <c r="I101" s="58" t="str">
        <f>IFERROR(VLOOKUP($D101,Sheet1!$B$2:$S$333,10,FALSE),"")</f>
        <v>ME-2-POST</v>
      </c>
      <c r="J101" s="58" t="str">
        <f>IFERROR(VLOOKUP($D101,Sheet1!$B$2:$S$333,12,FALSE),"")</f>
        <v>NO-2</v>
      </c>
      <c r="K101" s="58" t="str">
        <f>IFERROR(VLOOKUP($D101,Sheet1!$B$2:$S$333,14,FALSE),"")</f>
        <v>OFF</v>
      </c>
      <c r="L101" s="58" t="str">
        <f>IFERROR(VLOOKUP($D101,Sheet1!$B$2:$S$333,16,FALSE),"")</f>
        <v>OFF</v>
      </c>
      <c r="M101" s="58" t="str">
        <f>IFERROR(VLOOKUP($D101,Sheet1!$B$2:$S$333,18,FALSE),"")</f>
        <v>S-APPT</v>
      </c>
    </row>
    <row r="102" spans="2:13" ht="23.25" customHeight="1" x14ac:dyDescent="0.45">
      <c r="B102" s="61"/>
      <c r="C102" s="86"/>
      <c r="D102" s="87"/>
      <c r="E102" s="88"/>
      <c r="F102" s="31" t="str">
        <f>_xlfn.IFNA(VLOOKUP($D102,Sheet1!$B$2:$E$333,4,FALSE),"")</f>
        <v/>
      </c>
      <c r="G102" s="58" t="str">
        <f>IFERROR(VLOOKUP($D102,Sheet1!$B$2:$S$333,6,FALSE),"")</f>
        <v/>
      </c>
      <c r="H102" s="58" t="str">
        <f>IFERROR(VLOOKUP($D102,Sheet1!$B$2:$S$333,8,FALSE),"")</f>
        <v/>
      </c>
      <c r="I102" s="58" t="str">
        <f>IFERROR(VLOOKUP($D102,Sheet1!$B$2:$S$333,10,FALSE),"")</f>
        <v/>
      </c>
      <c r="J102" s="58" t="str">
        <f>IFERROR(VLOOKUP($D102,Sheet1!$B$2:$S$333,12,FALSE),"")</f>
        <v/>
      </c>
      <c r="K102" s="58" t="str">
        <f>IFERROR(VLOOKUP($D102,Sheet1!$B$2:$S$333,14,FALSE),"")</f>
        <v/>
      </c>
      <c r="L102" s="58" t="str">
        <f>IFERROR(VLOOKUP($D102,Sheet1!$B$2:$S$333,16,FALSE),"")</f>
        <v/>
      </c>
      <c r="M102" s="58" t="str">
        <f>IFERROR(VLOOKUP($D102,Sheet1!$B$2:$S$333,18,FALSE),"")</f>
        <v/>
      </c>
    </row>
    <row r="103" spans="2:13" ht="23.25" customHeight="1" x14ac:dyDescent="0.45">
      <c r="B103" s="61"/>
      <c r="C103" s="86"/>
      <c r="D103" s="87"/>
      <c r="E103" s="88"/>
      <c r="F103" s="31" t="str">
        <f>_xlfn.IFNA(VLOOKUP($D103,Sheet1!$B$2:$E$333,4,FALSE),"")</f>
        <v/>
      </c>
      <c r="G103" s="58" t="str">
        <f>IFERROR(VLOOKUP($D103,Sheet1!$B$2:$S$333,6,FALSE),"")</f>
        <v/>
      </c>
      <c r="H103" s="58" t="str">
        <f>IFERROR(VLOOKUP($D103,Sheet1!$B$2:$S$333,8,FALSE),"")</f>
        <v/>
      </c>
      <c r="I103" s="58" t="str">
        <f>IFERROR(VLOOKUP($D103,Sheet1!$B$2:$S$333,10,FALSE),"")</f>
        <v/>
      </c>
      <c r="J103" s="58" t="str">
        <f>IFERROR(VLOOKUP($D103,Sheet1!$B$2:$S$333,12,FALSE),"")</f>
        <v/>
      </c>
      <c r="K103" s="58" t="str">
        <f>IFERROR(VLOOKUP($D103,Sheet1!$B$2:$S$333,14,FALSE),"")</f>
        <v/>
      </c>
      <c r="L103" s="58" t="str">
        <f>IFERROR(VLOOKUP($D103,Sheet1!$B$2:$S$333,16,FALSE),"")</f>
        <v/>
      </c>
      <c r="M103" s="58" t="str">
        <f>IFERROR(VLOOKUP($D103,Sheet1!$B$2:$S$333,18,FALSE),"")</f>
        <v/>
      </c>
    </row>
    <row r="104" spans="2:13" ht="23.25" customHeight="1" x14ac:dyDescent="0.45">
      <c r="B104" s="61"/>
      <c r="C104" s="86"/>
      <c r="D104" s="87"/>
      <c r="E104" s="88"/>
      <c r="F104" s="31" t="str">
        <f>_xlfn.IFNA(VLOOKUP($D104,Sheet1!$B$2:$E$333,4,FALSE),"")</f>
        <v/>
      </c>
      <c r="G104" s="58" t="str">
        <f>IFERROR(VLOOKUP($D104,Sheet1!$B$2:$S$333,6,FALSE),"")</f>
        <v/>
      </c>
      <c r="H104" s="58" t="str">
        <f>IFERROR(VLOOKUP($D104,Sheet1!$B$2:$S$333,8,FALSE),"")</f>
        <v/>
      </c>
      <c r="I104" s="58" t="str">
        <f>IFERROR(VLOOKUP($D104,Sheet1!$B$2:$S$333,10,FALSE),"")</f>
        <v/>
      </c>
      <c r="J104" s="58" t="str">
        <f>IFERROR(VLOOKUP($D104,Sheet1!$B$2:$S$333,12,FALSE),"")</f>
        <v/>
      </c>
      <c r="K104" s="58" t="str">
        <f>IFERROR(VLOOKUP($D104,Sheet1!$B$2:$S$333,14,FALSE),"")</f>
        <v/>
      </c>
      <c r="L104" s="58" t="str">
        <f>IFERROR(VLOOKUP($D104,Sheet1!$B$2:$S$333,16,FALSE),"")</f>
        <v/>
      </c>
      <c r="M104" s="58" t="str">
        <f>IFERROR(VLOOKUP($D104,Sheet1!$B$2:$S$333,18,FALSE),"")</f>
        <v/>
      </c>
    </row>
    <row r="105" spans="2:13" ht="23.25" customHeight="1" x14ac:dyDescent="0.45">
      <c r="B105" s="61"/>
      <c r="C105" s="86"/>
      <c r="D105" s="87"/>
      <c r="E105" s="88"/>
      <c r="F105" s="31" t="str">
        <f>_xlfn.IFNA(VLOOKUP($D105,Sheet1!$B$2:$E$333,4,FALSE),"")</f>
        <v/>
      </c>
      <c r="G105" s="58" t="str">
        <f>IFERROR(VLOOKUP($D105,Sheet1!$B$2:$S$333,6,FALSE),"")</f>
        <v/>
      </c>
      <c r="H105" s="58" t="str">
        <f>IFERROR(VLOOKUP($D105,Sheet1!$B$2:$S$333,8,FALSE),"")</f>
        <v/>
      </c>
      <c r="I105" s="58" t="str">
        <f>IFERROR(VLOOKUP($D105,Sheet1!$B$2:$S$333,10,FALSE),"")</f>
        <v/>
      </c>
      <c r="J105" s="58" t="str">
        <f>IFERROR(VLOOKUP($D105,Sheet1!$B$2:$S$333,12,FALSE),"")</f>
        <v/>
      </c>
      <c r="K105" s="58" t="str">
        <f>IFERROR(VLOOKUP($D105,Sheet1!$B$2:$S$333,14,FALSE),"")</f>
        <v/>
      </c>
      <c r="L105" s="58" t="str">
        <f>IFERROR(VLOOKUP($D105,Sheet1!$B$2:$S$333,16,FALSE),"")</f>
        <v/>
      </c>
      <c r="M105" s="58" t="str">
        <f>IFERROR(VLOOKUP($D105,Sheet1!$B$2:$S$333,18,FALSE),"")</f>
        <v/>
      </c>
    </row>
    <row r="106" spans="2:13" ht="23.25" customHeight="1" x14ac:dyDescent="0.45">
      <c r="B106" s="61"/>
      <c r="C106" s="86"/>
      <c r="D106" s="87"/>
      <c r="E106" s="88"/>
      <c r="F106" s="31" t="str">
        <f>_xlfn.IFNA(VLOOKUP($D106,Sheet1!$B$2:$E$333,4,FALSE),"")</f>
        <v/>
      </c>
      <c r="G106" s="58" t="str">
        <f>IFERROR(VLOOKUP($D106,Sheet1!$B$2:$S$333,6,FALSE),"")</f>
        <v/>
      </c>
      <c r="H106" s="58" t="str">
        <f>IFERROR(VLOOKUP($D106,Sheet1!$B$2:$S$333,8,FALSE),"")</f>
        <v/>
      </c>
      <c r="I106" s="58" t="str">
        <f>IFERROR(VLOOKUP($D106,Sheet1!$B$2:$S$333,10,FALSE),"")</f>
        <v/>
      </c>
      <c r="J106" s="58" t="str">
        <f>IFERROR(VLOOKUP($D106,Sheet1!$B$2:$S$333,12,FALSE),"")</f>
        <v/>
      </c>
      <c r="K106" s="58" t="str">
        <f>IFERROR(VLOOKUP($D106,Sheet1!$B$2:$S$333,14,FALSE),"")</f>
        <v/>
      </c>
      <c r="L106" s="58" t="str">
        <f>IFERROR(VLOOKUP($D106,Sheet1!$B$2:$S$333,16,FALSE),"")</f>
        <v/>
      </c>
      <c r="M106" s="58" t="str">
        <f>IFERROR(VLOOKUP($D106,Sheet1!$B$2:$S$333,18,FALSE),"")</f>
        <v/>
      </c>
    </row>
    <row r="107" spans="2:13" ht="23.25" customHeight="1" x14ac:dyDescent="0.45">
      <c r="B107" s="61"/>
      <c r="C107" s="86"/>
      <c r="D107" s="87"/>
      <c r="E107" s="88"/>
      <c r="F107" s="31" t="str">
        <f>_xlfn.IFNA(VLOOKUP($D107,Sheet1!$B$2:$E$333,4,FALSE),"")</f>
        <v/>
      </c>
      <c r="G107" s="58" t="str">
        <f>IFERROR(VLOOKUP($D107,Sheet1!$B$2:$S$333,6,FALSE),"")</f>
        <v/>
      </c>
      <c r="H107" s="58" t="str">
        <f>IFERROR(VLOOKUP($D107,Sheet1!$B$2:$S$333,8,FALSE),"")</f>
        <v/>
      </c>
      <c r="I107" s="58" t="str">
        <f>IFERROR(VLOOKUP($D107,Sheet1!$B$2:$S$333,10,FALSE),"")</f>
        <v/>
      </c>
      <c r="J107" s="58" t="str">
        <f>IFERROR(VLOOKUP($D107,Sheet1!$B$2:$S$333,12,FALSE),"")</f>
        <v/>
      </c>
      <c r="K107" s="58" t="str">
        <f>IFERROR(VLOOKUP($D107,Sheet1!$B$2:$S$333,14,FALSE),"")</f>
        <v/>
      </c>
      <c r="L107" s="58" t="str">
        <f>IFERROR(VLOOKUP($D107,Sheet1!$B$2:$S$333,16,FALSE),"")</f>
        <v/>
      </c>
      <c r="M107" s="58" t="str">
        <f>IFERROR(VLOOKUP($D107,Sheet1!$B$2:$S$333,18,FALSE),"")</f>
        <v/>
      </c>
    </row>
    <row r="108" spans="2:13" ht="23.25" customHeight="1" x14ac:dyDescent="0.45">
      <c r="B108" s="61"/>
      <c r="C108" s="86"/>
      <c r="D108" s="87"/>
      <c r="E108" s="88"/>
      <c r="F108" s="31" t="str">
        <f>_xlfn.IFNA(VLOOKUP($D108,Sheet1!$B$2:$E$333,4,FALSE),"")</f>
        <v/>
      </c>
      <c r="G108" s="58" t="str">
        <f>IFERROR(VLOOKUP($D108,Sheet1!$B$2:$S$333,6,FALSE),"")</f>
        <v/>
      </c>
      <c r="H108" s="58" t="str">
        <f>IFERROR(VLOOKUP($D108,Sheet1!$B$2:$S$333,8,FALSE),"")</f>
        <v/>
      </c>
      <c r="I108" s="58" t="str">
        <f>IFERROR(VLOOKUP($D108,Sheet1!$B$2:$S$333,10,FALSE),"")</f>
        <v/>
      </c>
      <c r="J108" s="58" t="str">
        <f>IFERROR(VLOOKUP($D108,Sheet1!$B$2:$S$333,12,FALSE),"")</f>
        <v/>
      </c>
      <c r="K108" s="58" t="str">
        <f>IFERROR(VLOOKUP($D108,Sheet1!$B$2:$S$333,14,FALSE),"")</f>
        <v/>
      </c>
      <c r="L108" s="58" t="str">
        <f>IFERROR(VLOOKUP($D108,Sheet1!$B$2:$S$333,16,FALSE),"")</f>
        <v/>
      </c>
      <c r="M108" s="58" t="str">
        <f>IFERROR(VLOOKUP($D108,Sheet1!$B$2:$S$333,18,FALSE),"")</f>
        <v/>
      </c>
    </row>
    <row r="109" spans="2:13" ht="23.25" customHeight="1" x14ac:dyDescent="0.45">
      <c r="B109" s="61"/>
      <c r="C109" s="86"/>
      <c r="D109" s="87"/>
      <c r="E109" s="88"/>
      <c r="F109" s="31" t="str">
        <f>_xlfn.IFNA(VLOOKUP($D109,Sheet1!$B$2:$E$333,4,FALSE),"")</f>
        <v/>
      </c>
      <c r="G109" s="58" t="str">
        <f>IFERROR(VLOOKUP($D109,Sheet1!$B$2:$S$333,6,FALSE),"")</f>
        <v/>
      </c>
      <c r="H109" s="58" t="str">
        <f>IFERROR(VLOOKUP($D109,Sheet1!$B$2:$S$333,8,FALSE),"")</f>
        <v/>
      </c>
      <c r="I109" s="58" t="str">
        <f>IFERROR(VLOOKUP($D109,Sheet1!$B$2:$S$333,10,FALSE),"")</f>
        <v/>
      </c>
      <c r="J109" s="58" t="str">
        <f>IFERROR(VLOOKUP($D109,Sheet1!$B$2:$S$333,12,FALSE),"")</f>
        <v/>
      </c>
      <c r="K109" s="58" t="str">
        <f>IFERROR(VLOOKUP($D109,Sheet1!$B$2:$S$333,14,FALSE),"")</f>
        <v/>
      </c>
      <c r="L109" s="58" t="str">
        <f>IFERROR(VLOOKUP($D109,Sheet1!$B$2:$S$333,16,FALSE),"")</f>
        <v/>
      </c>
      <c r="M109" s="58" t="str">
        <f>IFERROR(VLOOKUP($D109,Sheet1!$B$2:$S$333,18,FALSE),"")</f>
        <v/>
      </c>
    </row>
    <row r="110" spans="2:13" ht="23.25" customHeight="1" x14ac:dyDescent="0.45">
      <c r="B110" s="61"/>
      <c r="C110" s="86"/>
      <c r="D110" s="87"/>
      <c r="E110" s="88"/>
      <c r="F110" s="31" t="str">
        <f>_xlfn.IFNA(VLOOKUP($D110,Sheet1!$B$2:$E$333,4,FALSE),"")</f>
        <v/>
      </c>
      <c r="G110" s="58" t="str">
        <f>IFERROR(VLOOKUP($D110,Sheet1!$B$2:$S$333,6,FALSE),"")</f>
        <v/>
      </c>
      <c r="H110" s="58" t="str">
        <f>IFERROR(VLOOKUP($D110,Sheet1!$B$2:$S$333,8,FALSE),"")</f>
        <v/>
      </c>
      <c r="I110" s="58" t="str">
        <f>IFERROR(VLOOKUP($D110,Sheet1!$B$2:$S$333,10,FALSE),"")</f>
        <v/>
      </c>
      <c r="J110" s="58" t="str">
        <f>IFERROR(VLOOKUP($D110,Sheet1!$B$2:$S$333,12,FALSE),"")</f>
        <v/>
      </c>
      <c r="K110" s="58" t="str">
        <f>IFERROR(VLOOKUP($D110,Sheet1!$B$2:$S$333,14,FALSE),"")</f>
        <v/>
      </c>
      <c r="L110" s="58" t="str">
        <f>IFERROR(VLOOKUP($D110,Sheet1!$B$2:$S$333,16,FALSE),"")</f>
        <v/>
      </c>
      <c r="M110" s="58" t="str">
        <f>IFERROR(VLOOKUP($D110,Sheet1!$B$2:$S$333,18,FALSE),"")</f>
        <v/>
      </c>
    </row>
    <row r="111" spans="2:13" ht="23.25" customHeight="1" x14ac:dyDescent="0.45">
      <c r="B111" s="61"/>
      <c r="C111" s="86"/>
      <c r="D111" s="87"/>
      <c r="E111" s="88"/>
      <c r="F111" s="31" t="str">
        <f>_xlfn.IFNA(VLOOKUP($D111,Sheet1!$B$2:$E$333,4,FALSE),"")</f>
        <v/>
      </c>
      <c r="G111" s="58" t="str">
        <f>IFERROR(VLOOKUP($D111,Sheet1!$B$2:$S$333,6,FALSE),"")</f>
        <v/>
      </c>
      <c r="H111" s="58" t="str">
        <f>IFERROR(VLOOKUP($D111,Sheet1!$B$2:$S$333,8,FALSE),"")</f>
        <v/>
      </c>
      <c r="I111" s="58" t="str">
        <f>IFERROR(VLOOKUP($D111,Sheet1!$B$2:$S$333,10,FALSE),"")</f>
        <v/>
      </c>
      <c r="J111" s="58" t="str">
        <f>IFERROR(VLOOKUP($D111,Sheet1!$B$2:$S$333,12,FALSE),"")</f>
        <v/>
      </c>
      <c r="K111" s="58" t="str">
        <f>IFERROR(VLOOKUP($D111,Sheet1!$B$2:$S$333,14,FALSE),"")</f>
        <v/>
      </c>
      <c r="L111" s="58" t="str">
        <f>IFERROR(VLOOKUP($D111,Sheet1!$B$2:$S$333,16,FALSE),"")</f>
        <v/>
      </c>
      <c r="M111" s="58" t="str">
        <f>IFERROR(VLOOKUP($D111,Sheet1!$B$2:$S$333,18,FALSE),"")</f>
        <v/>
      </c>
    </row>
    <row r="112" spans="2:13" ht="23.25" customHeight="1" x14ac:dyDescent="0.45">
      <c r="B112" s="61"/>
      <c r="C112" s="86"/>
      <c r="D112" s="87"/>
      <c r="E112" s="88"/>
      <c r="F112" s="31" t="str">
        <f>_xlfn.IFNA(VLOOKUP($D112,Sheet1!$B$2:$E$333,4,FALSE),"")</f>
        <v/>
      </c>
      <c r="G112" s="58" t="str">
        <f>IFERROR(VLOOKUP($D112,Sheet1!$B$2:$S$333,6,FALSE),"")</f>
        <v/>
      </c>
      <c r="H112" s="58" t="str">
        <f>IFERROR(VLOOKUP($D112,Sheet1!$B$2:$S$333,8,FALSE),"")</f>
        <v/>
      </c>
      <c r="I112" s="58" t="str">
        <f>IFERROR(VLOOKUP($D112,Sheet1!$B$2:$S$333,10,FALSE),"")</f>
        <v/>
      </c>
      <c r="J112" s="58" t="str">
        <f>IFERROR(VLOOKUP($D112,Sheet1!$B$2:$S$333,12,FALSE),"")</f>
        <v/>
      </c>
      <c r="K112" s="58" t="str">
        <f>IFERROR(VLOOKUP($D112,Sheet1!$B$2:$S$333,14,FALSE),"")</f>
        <v/>
      </c>
      <c r="L112" s="58" t="str">
        <f>IFERROR(VLOOKUP($D112,Sheet1!$B$2:$S$333,16,FALSE),"")</f>
        <v/>
      </c>
      <c r="M112" s="58" t="str">
        <f>IFERROR(VLOOKUP($D112,Sheet1!$B$2:$S$333,18,FALSE),"")</f>
        <v/>
      </c>
    </row>
    <row r="113" spans="1:13" ht="23.25" customHeight="1" x14ac:dyDescent="0.45">
      <c r="B113" s="61"/>
      <c r="C113" s="86"/>
      <c r="D113" s="87"/>
      <c r="E113" s="88"/>
      <c r="F113" s="31" t="str">
        <f>_xlfn.IFNA(VLOOKUP($D113,Sheet1!$B$2:$E$333,4,FALSE),"")</f>
        <v/>
      </c>
      <c r="G113" s="58" t="str">
        <f>IFERROR(VLOOKUP($D113,Sheet1!$B$2:$S$333,6,FALSE),"")</f>
        <v/>
      </c>
      <c r="H113" s="58" t="str">
        <f>IFERROR(VLOOKUP($D113,Sheet1!$B$2:$S$333,8,FALSE),"")</f>
        <v/>
      </c>
      <c r="I113" s="58" t="str">
        <f>IFERROR(VLOOKUP($D113,Sheet1!$B$2:$S$333,10,FALSE),"")</f>
        <v/>
      </c>
      <c r="J113" s="58" t="str">
        <f>IFERROR(VLOOKUP($D113,Sheet1!$B$2:$S$333,12,FALSE),"")</f>
        <v/>
      </c>
      <c r="K113" s="58" t="str">
        <f>IFERROR(VLOOKUP($D113,Sheet1!$B$2:$S$333,14,FALSE),"")</f>
        <v/>
      </c>
      <c r="L113" s="58" t="str">
        <f>IFERROR(VLOOKUP($D113,Sheet1!$B$2:$S$333,16,FALSE),"")</f>
        <v/>
      </c>
      <c r="M113" s="58" t="str">
        <f>IFERROR(VLOOKUP($D113,Sheet1!$B$2:$S$333,18,FALSE),"")</f>
        <v/>
      </c>
    </row>
    <row r="114" spans="1:13" ht="23.25" customHeight="1" x14ac:dyDescent="0.45">
      <c r="B114" s="61"/>
      <c r="C114" s="86"/>
      <c r="D114" s="87"/>
      <c r="E114" s="88"/>
      <c r="F114" s="31" t="str">
        <f>_xlfn.IFNA(VLOOKUP($D114,Sheet1!$B$2:$E$333,4,FALSE),"")</f>
        <v/>
      </c>
      <c r="G114" s="58" t="str">
        <f>IFERROR(VLOOKUP($D114,Sheet1!$B$2:$S$333,6,FALSE),"")</f>
        <v/>
      </c>
      <c r="H114" s="58" t="str">
        <f>IFERROR(VLOOKUP($D114,Sheet1!$B$2:$S$333,8,FALSE),"")</f>
        <v/>
      </c>
      <c r="I114" s="58" t="str">
        <f>IFERROR(VLOOKUP($D114,Sheet1!$B$2:$S$333,10,FALSE),"")</f>
        <v/>
      </c>
      <c r="J114" s="58" t="str">
        <f>IFERROR(VLOOKUP($D114,Sheet1!$B$2:$S$333,12,FALSE),"")</f>
        <v/>
      </c>
      <c r="K114" s="58" t="str">
        <f>IFERROR(VLOOKUP($D114,Sheet1!$B$2:$S$333,14,FALSE),"")</f>
        <v/>
      </c>
      <c r="L114" s="58" t="str">
        <f>IFERROR(VLOOKUP($D114,Sheet1!$B$2:$S$333,16,FALSE),"")</f>
        <v/>
      </c>
      <c r="M114" s="58" t="str">
        <f>IFERROR(VLOOKUP($D114,Sheet1!$B$2:$S$333,18,FALSE),"")</f>
        <v/>
      </c>
    </row>
    <row r="115" spans="1:13" ht="23.25" customHeight="1" thickBot="1" x14ac:dyDescent="0.5">
      <c r="B115" s="62"/>
      <c r="C115" s="86"/>
      <c r="D115" s="87"/>
      <c r="E115" s="88"/>
      <c r="F115" s="38" t="str">
        <f>_xlfn.IFNA(VLOOKUP($D115,Sheet1!$B$2:$E$333,4,FALSE),"")</f>
        <v/>
      </c>
      <c r="G115" s="58" t="str">
        <f>IFERROR(VLOOKUP($D115,Sheet1!$B$2:$S$333,6,FALSE),"")</f>
        <v/>
      </c>
      <c r="H115" s="58" t="str">
        <f>IFERROR(VLOOKUP($D115,Sheet1!$B$2:$S$333,8,FALSE),"")</f>
        <v/>
      </c>
      <c r="I115" s="58" t="str">
        <f>IFERROR(VLOOKUP($D115,Sheet1!$B$2:$S$333,10,FALSE),"")</f>
        <v/>
      </c>
      <c r="J115" s="58" t="str">
        <f>IFERROR(VLOOKUP($D115,Sheet1!$B$2:$S$333,12,FALSE),"")</f>
        <v/>
      </c>
      <c r="K115" s="58" t="str">
        <f>IFERROR(VLOOKUP($D115,Sheet1!$B$2:$S$333,14,FALSE),"")</f>
        <v/>
      </c>
      <c r="L115" s="58" t="str">
        <f>IFERROR(VLOOKUP($D115,Sheet1!$B$2:$S$333,16,FALSE),"")</f>
        <v/>
      </c>
      <c r="M115" s="58" t="str">
        <f>IFERROR(VLOOKUP($D115,Sheet1!$B$2:$S$333,18,FALSE),"")</f>
        <v/>
      </c>
    </row>
    <row r="116" spans="1:13" ht="23.25" customHeight="1" thickBot="1" x14ac:dyDescent="0.4">
      <c r="A116" s="22"/>
      <c r="B116" s="23"/>
      <c r="C116" s="409" t="s">
        <v>44</v>
      </c>
      <c r="D116" s="409"/>
      <c r="E116" s="409"/>
      <c r="F116" s="409"/>
      <c r="G116" s="409"/>
      <c r="H116" s="409"/>
      <c r="I116" s="409"/>
      <c r="J116" s="409"/>
      <c r="K116" s="409"/>
      <c r="L116" s="409"/>
      <c r="M116" s="409"/>
    </row>
    <row r="117" spans="1:13" ht="23.25" customHeight="1" x14ac:dyDescent="0.55000000000000004">
      <c r="B117" s="93" t="s">
        <v>45</v>
      </c>
      <c r="C117" s="94" t="str" cm="1">
        <f t="array" ref="C117:E124">_xlfn._xlws.FILTER(Sheet1!$A$2:$C$333,Sheet1!$C$2:$C$333='GAD DISPATCHER SCHEDULE'!$U$17)</f>
        <v>CARTER, TREY</v>
      </c>
      <c r="D117" s="95" t="str">
        <v>1031694</v>
      </c>
      <c r="E117" s="96" t="str">
        <v>BLUE RIDGE - GAD</v>
      </c>
      <c r="F117" s="29">
        <f>_xlfn.IFNA(VLOOKUP($D117,Sheet1!$B$2:$E$333,4,FALSE),"")</f>
        <v>0</v>
      </c>
      <c r="G117" s="58" t="str">
        <f>IFERROR(VLOOKUP($D117,Sheet1!$B$2:$S$333,6,FALSE),"")</f>
        <v>NR-1</v>
      </c>
      <c r="H117" s="58" t="str">
        <f>IFERROR(VLOOKUP($D117,Sheet1!$B$2:$S$333,8,FALSE),"")</f>
        <v>DV-1</v>
      </c>
      <c r="I117" s="58" t="str">
        <f>IFERROR(VLOOKUP($D117,Sheet1!$B$2:$S$333,10,FALSE),"")</f>
        <v>DV-3</v>
      </c>
      <c r="J117" s="58" t="str">
        <f>IFERROR(VLOOKUP($D117,Sheet1!$B$2:$S$333,12,FALSE),"")</f>
        <v>AVAILABLE</v>
      </c>
      <c r="K117" s="58" t="str">
        <f>IFERROR(VLOOKUP($D117,Sheet1!$B$2:$S$333,14,FALSE),"")</f>
        <v>OFF</v>
      </c>
      <c r="L117" s="58" t="str">
        <f>IFERROR(VLOOKUP($D117,Sheet1!$B$2:$S$333,16,FALSE),"")</f>
        <v>OFF</v>
      </c>
      <c r="M117" s="58" t="str">
        <f>IFERROR(VLOOKUP($D117,Sheet1!$B$2:$S$333,18,FALSE),"")</f>
        <v>DV-1</v>
      </c>
    </row>
    <row r="118" spans="1:13" ht="23.25" customHeight="1" x14ac:dyDescent="0.55000000000000004">
      <c r="B118" s="101" t="s">
        <v>46</v>
      </c>
      <c r="C118" s="97" t="str">
        <v>CREWS, THORNE</v>
      </c>
      <c r="D118" s="95" t="str">
        <v>1031180</v>
      </c>
      <c r="E118" s="96" t="str">
        <v>BLUE RIDGE - GAD</v>
      </c>
      <c r="F118" s="31">
        <f>_xlfn.IFNA(VLOOKUP($D118,Sheet1!$B$2:$E$333,4,FALSE),"")</f>
        <v>0</v>
      </c>
      <c r="G118" s="58" t="str">
        <f>IFERROR(VLOOKUP($D118,Sheet1!$B$2:$S$333,6,FALSE),"")</f>
        <v>AVAILABLE</v>
      </c>
      <c r="H118" s="58" t="str">
        <f>IFERROR(VLOOKUP($D118,Sheet1!$B$2:$S$333,8,FALSE),"")</f>
        <v>AVAILABLE</v>
      </c>
      <c r="I118" s="58" t="str">
        <f>IFERROR(VLOOKUP($D118,Sheet1!$B$2:$S$333,10,FALSE),"")</f>
        <v>RT-3</v>
      </c>
      <c r="J118" s="58" t="str">
        <f>IFERROR(VLOOKUP($D118,Sheet1!$B$2:$S$333,12,FALSE),"")</f>
        <v>PO-3</v>
      </c>
      <c r="K118" s="58" t="str">
        <f>IFERROR(VLOOKUP($D118,Sheet1!$B$2:$S$333,14,FALSE),"")</f>
        <v>OFF</v>
      </c>
      <c r="L118" s="58" t="str">
        <f>IFERROR(VLOOKUP($D118,Sheet1!$B$2:$S$333,16,FALSE),"")</f>
        <v>OFF</v>
      </c>
      <c r="M118" s="58" t="str">
        <f>IFERROR(VLOOKUP($D118,Sheet1!$B$2:$S$333,18,FALSE),"")</f>
        <v>AVAILABLE</v>
      </c>
    </row>
    <row r="119" spans="1:13" ht="23.25" customHeight="1" x14ac:dyDescent="0.45">
      <c r="B119" s="102" t="s">
        <v>47</v>
      </c>
      <c r="C119" s="97" t="str">
        <v>FORREST, AMANDA</v>
      </c>
      <c r="D119" s="95" t="str">
        <v>1031116</v>
      </c>
      <c r="E119" s="96" t="str">
        <v>BLUE RIDGE - GAD</v>
      </c>
      <c r="F119" s="31">
        <f>_xlfn.IFNA(VLOOKUP($D119,Sheet1!$B$2:$E$333,4,FALSE),"")</f>
        <v>0</v>
      </c>
      <c r="G119" s="58" t="str">
        <f>IFERROR(VLOOKUP($D119,Sheet1!$B$2:$S$333,6,FALSE),"")</f>
        <v>KN-3</v>
      </c>
      <c r="H119" s="58" t="str">
        <f>IFERROR(VLOOKUP($D119,Sheet1!$B$2:$S$333,8,FALSE),"")</f>
        <v>FMLA</v>
      </c>
      <c r="I119" s="58" t="str">
        <f>IFERROR(VLOOKUP($D119,Sheet1!$B$2:$S$333,10,FALSE),"")</f>
        <v>NR-3</v>
      </c>
      <c r="J119" s="58" t="str">
        <f>IFERROR(VLOOKUP($D119,Sheet1!$B$2:$S$333,12,FALSE),"")</f>
        <v>OFF</v>
      </c>
      <c r="K119" s="58" t="str">
        <f>IFERROR(VLOOKUP($D119,Sheet1!$B$2:$S$333,14,FALSE),"")</f>
        <v>KN-1</v>
      </c>
      <c r="L119" s="58" t="str">
        <f>IFERROR(VLOOKUP($D119,Sheet1!$B$2:$S$333,16,FALSE),"")</f>
        <v>NR-3</v>
      </c>
      <c r="M119" s="58" t="str">
        <f>IFERROR(VLOOKUP($D119,Sheet1!$B$2:$S$333,18,FALSE),"")</f>
        <v>SA-3-POST</v>
      </c>
    </row>
    <row r="120" spans="1:13" ht="23.25" customHeight="1" x14ac:dyDescent="0.45">
      <c r="B120" s="102" t="s">
        <v>48</v>
      </c>
      <c r="C120" s="97" t="str">
        <v>INVENINATO, JUSTIN</v>
      </c>
      <c r="D120" s="95" t="str">
        <v>1030408</v>
      </c>
      <c r="E120" s="96" t="str">
        <v>BLUE RIDGE - GAD</v>
      </c>
      <c r="F120" s="31">
        <f>_xlfn.IFNA(VLOOKUP($D120,Sheet1!$B$2:$E$333,4,FALSE),"")</f>
        <v>0</v>
      </c>
      <c r="G120" s="58" t="str">
        <f>IFERROR(VLOOKUP($D120,Sheet1!$B$2:$S$333,6,FALSE),"")</f>
        <v>VA-2-POST</v>
      </c>
      <c r="H120" s="58" t="str">
        <f>IFERROR(VLOOKUP($D120,Sheet1!$B$2:$S$333,8,FALSE),"")</f>
        <v>S-SD</v>
      </c>
      <c r="I120" s="58" t="str">
        <f>IFERROR(VLOOKUP($D120,Sheet1!$B$2:$S$333,10,FALSE),"")</f>
        <v>OFF</v>
      </c>
      <c r="J120" s="58" t="str">
        <f>IFERROR(VLOOKUP($D120,Sheet1!$B$2:$S$333,12,FALSE),"")</f>
        <v>OFF</v>
      </c>
      <c r="K120" s="58" t="str">
        <f>IFERROR(VLOOKUP($D120,Sheet1!$B$2:$S$333,14,FALSE),"")</f>
        <v>AVAILABLE</v>
      </c>
      <c r="L120" s="58" t="str">
        <f>IFERROR(VLOOKUP($D120,Sheet1!$B$2:$S$333,16,FALSE),"")</f>
        <v>VA-1-POST</v>
      </c>
      <c r="M120" s="58" t="str">
        <f>IFERROR(VLOOKUP($D120,Sheet1!$B$2:$S$333,18,FALSE),"")</f>
        <v>VA-2-POST</v>
      </c>
    </row>
    <row r="121" spans="1:13" ht="23.25" customHeight="1" x14ac:dyDescent="0.55000000000000004">
      <c r="B121" s="93" t="s">
        <v>49</v>
      </c>
      <c r="C121" s="97" t="str">
        <v>MENDOZA-MORGAN, BROOKLYN</v>
      </c>
      <c r="D121" s="95" t="str">
        <v>1028868</v>
      </c>
      <c r="E121" s="96" t="str">
        <v>BLUE RIDGE - GAD</v>
      </c>
      <c r="F121" s="31">
        <f>_xlfn.IFNA(VLOOKUP($D121,Sheet1!$B$2:$E$333,4,FALSE),"")</f>
        <v>0</v>
      </c>
      <c r="G121" s="58" t="str">
        <f>IFERROR(VLOOKUP($D121,Sheet1!$B$2:$S$333,6,FALSE),"")</f>
        <v>PO-2</v>
      </c>
      <c r="H121" s="58" t="str">
        <f>IFERROR(VLOOKUP($D121,Sheet1!$B$2:$S$333,8,FALSE),"")</f>
        <v>ET-3</v>
      </c>
      <c r="I121" s="58" t="str">
        <f>IFERROR(VLOOKUP($D121,Sheet1!$B$2:$S$333,10,FALSE),"")</f>
        <v>AVAILABLE</v>
      </c>
      <c r="J121" s="58" t="str">
        <f>IFERROR(VLOOKUP($D121,Sheet1!$B$2:$S$333,12,FALSE),"")</f>
        <v>RT-1-POST</v>
      </c>
      <c r="K121" s="58" t="str">
        <f>IFERROR(VLOOKUP($D121,Sheet1!$B$2:$S$333,14,FALSE),"")</f>
        <v>OFF</v>
      </c>
      <c r="L121" s="58" t="str">
        <f>IFERROR(VLOOKUP($D121,Sheet1!$B$2:$S$333,16,FALSE),"")</f>
        <v>OFF</v>
      </c>
      <c r="M121" s="58" t="str">
        <f>IFERROR(VLOOKUP($D121,Sheet1!$B$2:$S$333,18,FALSE),"")</f>
        <v>FMLA</v>
      </c>
    </row>
    <row r="122" spans="1:13" ht="23.25" customHeight="1" x14ac:dyDescent="0.45">
      <c r="B122" s="102" t="s">
        <v>50</v>
      </c>
      <c r="C122" s="97" t="str">
        <v>TINNIEHILL, KENESHIA</v>
      </c>
      <c r="D122" s="95" t="str">
        <v>1031686</v>
      </c>
      <c r="E122" s="96" t="str">
        <v>BLUE RIDGE - GAD</v>
      </c>
      <c r="F122" s="31">
        <f>_xlfn.IFNA(VLOOKUP($D122,Sheet1!$B$2:$E$333,4,FALSE),"")</f>
        <v>0</v>
      </c>
      <c r="G122" s="58" t="str">
        <f>IFERROR(VLOOKUP($D122,Sheet1!$B$2:$S$333,6,FALSE),"")</f>
        <v>AVAILABLE</v>
      </c>
      <c r="H122" s="58" t="str">
        <f>IFERROR(VLOOKUP($D122,Sheet1!$B$2:$S$333,8,FALSE),"")</f>
        <v>KN-1</v>
      </c>
      <c r="I122" s="58" t="str">
        <f>IFERROR(VLOOKUP($D122,Sheet1!$B$2:$S$333,10,FALSE),"")</f>
        <v>OFF</v>
      </c>
      <c r="J122" s="58" t="str">
        <f>IFERROR(VLOOKUP($D122,Sheet1!$B$2:$S$333,12,FALSE),"")</f>
        <v>OFF</v>
      </c>
      <c r="K122" s="58" t="str">
        <f>IFERROR(VLOOKUP($D122,Sheet1!$B$2:$S$333,14,FALSE),"")</f>
        <v>AVAILABLE</v>
      </c>
      <c r="L122" s="58" t="str">
        <f>IFERROR(VLOOKUP($D122,Sheet1!$B$2:$S$333,16,FALSE),"")</f>
        <v>KN-3</v>
      </c>
      <c r="M122" s="58" t="str">
        <f>IFERROR(VLOOKUP($D122,Sheet1!$B$2:$S$333,18,FALSE),"")</f>
        <v>HG-3</v>
      </c>
    </row>
    <row r="123" spans="1:13" ht="23.25" customHeight="1" x14ac:dyDescent="0.55000000000000004">
      <c r="B123" s="93" t="s">
        <v>51</v>
      </c>
      <c r="C123" s="97" t="str">
        <v>WILLIAMS, GARRETT</v>
      </c>
      <c r="D123" s="95" t="str">
        <v>1028859</v>
      </c>
      <c r="E123" s="96" t="str">
        <v>BLUE RIDGE - GAD</v>
      </c>
      <c r="F123" s="31">
        <f>_xlfn.IFNA(VLOOKUP($D123,Sheet1!$B$2:$E$333,4,FALSE),"")</f>
        <v>0</v>
      </c>
      <c r="G123" s="58" t="str">
        <f>IFERROR(VLOOKUP($D123,Sheet1!$B$2:$S$333,6,FALSE),"")</f>
        <v>OFF</v>
      </c>
      <c r="H123" s="58" t="str">
        <f>IFERROR(VLOOKUP($D123,Sheet1!$B$2:$S$333,8,FALSE),"")</f>
        <v>OFF</v>
      </c>
      <c r="I123" s="58" t="str">
        <f>IFERROR(VLOOKUP($D123,Sheet1!$B$2:$S$333,10,FALSE),"")</f>
        <v>KN-2</v>
      </c>
      <c r="J123" s="58" t="str">
        <f>IFERROR(VLOOKUP($D123,Sheet1!$B$2:$S$333,12,FALSE),"")</f>
        <v>ET-2</v>
      </c>
      <c r="K123" s="58" t="str">
        <f>IFERROR(VLOOKUP($D123,Sheet1!$B$2:$S$333,14,FALSE),"")</f>
        <v>KN-2</v>
      </c>
      <c r="L123" s="58" t="str">
        <f>IFERROR(VLOOKUP($D123,Sheet1!$B$2:$S$333,16,FALSE),"")</f>
        <v>KN-2</v>
      </c>
      <c r="M123" s="58" t="str">
        <f>IFERROR(VLOOKUP($D123,Sheet1!$B$2:$S$333,18,FALSE),"")</f>
        <v>AVAILABLE</v>
      </c>
    </row>
    <row r="124" spans="1:13" ht="23.25" customHeight="1" x14ac:dyDescent="0.45">
      <c r="B124" s="103"/>
      <c r="C124" s="97" t="str">
        <v>WILLIAMS, JALEESA</v>
      </c>
      <c r="D124" s="95" t="str">
        <v>1031103</v>
      </c>
      <c r="E124" s="96" t="str">
        <v>BLUE RIDGE - GAD</v>
      </c>
      <c r="F124" s="31">
        <f>_xlfn.IFNA(VLOOKUP($D124,Sheet1!$B$2:$E$333,4,FALSE),"")</f>
        <v>0</v>
      </c>
      <c r="G124" s="58" t="str">
        <f>IFERROR(VLOOKUP($D124,Sheet1!$B$2:$S$333,6,FALSE),"")</f>
        <v>DV-2</v>
      </c>
      <c r="H124" s="58" t="str">
        <f>IFERROR(VLOOKUP($D124,Sheet1!$B$2:$S$333,8,FALSE),"")</f>
        <v>DV-2</v>
      </c>
      <c r="I124" s="58" t="str">
        <f>IFERROR(VLOOKUP($D124,Sheet1!$B$2:$S$333,10,FALSE),"")</f>
        <v>OFF</v>
      </c>
      <c r="J124" s="58" t="str">
        <f>IFERROR(VLOOKUP($D124,Sheet1!$B$2:$S$333,12,FALSE),"")</f>
        <v>OFF</v>
      </c>
      <c r="K124" s="58" t="str">
        <f>IFERROR(VLOOKUP($D124,Sheet1!$B$2:$S$333,14,FALSE),"")</f>
        <v>FMLA</v>
      </c>
      <c r="L124" s="58" t="str">
        <f>IFERROR(VLOOKUP($D124,Sheet1!$B$2:$S$333,16,FALSE),"")</f>
        <v>VA-2-POST</v>
      </c>
      <c r="M124" s="58" t="str">
        <f>IFERROR(VLOOKUP($D124,Sheet1!$B$2:$S$333,18,FALSE),"")</f>
        <v>DV-2</v>
      </c>
    </row>
    <row r="125" spans="1:13" ht="23.25" customHeight="1" x14ac:dyDescent="0.45">
      <c r="B125" s="103"/>
      <c r="C125" s="97"/>
      <c r="D125" s="95"/>
      <c r="E125" s="96"/>
      <c r="F125" s="31" t="str">
        <f>_xlfn.IFNA(VLOOKUP($D125,Sheet1!$B$2:$E$333,4,FALSE),"")</f>
        <v/>
      </c>
      <c r="G125" s="58" t="str">
        <f>IFERROR(VLOOKUP($D125,Sheet1!$B$2:$S$333,6,FALSE),"")</f>
        <v/>
      </c>
      <c r="H125" s="58" t="str">
        <f>IFERROR(VLOOKUP($D125,Sheet1!$B$2:$S$333,8,FALSE),"")</f>
        <v/>
      </c>
      <c r="I125" s="58" t="str">
        <f>IFERROR(VLOOKUP($D125,Sheet1!$B$2:$S$333,10,FALSE),"")</f>
        <v/>
      </c>
      <c r="J125" s="58" t="str">
        <f>IFERROR(VLOOKUP($D125,Sheet1!$B$2:$S$333,12,FALSE),"")</f>
        <v/>
      </c>
      <c r="K125" s="58" t="str">
        <f>IFERROR(VLOOKUP($D125,Sheet1!$B$2:$S$333,14,FALSE),"")</f>
        <v/>
      </c>
      <c r="L125" s="58" t="str">
        <f>IFERROR(VLOOKUP($D125,Sheet1!$B$2:$S$333,16,FALSE),"")</f>
        <v/>
      </c>
      <c r="M125" s="58" t="str">
        <f>IFERROR(VLOOKUP($D125,Sheet1!$B$2:$S$333,18,FALSE),"")</f>
        <v/>
      </c>
    </row>
    <row r="126" spans="1:13" ht="23.25" customHeight="1" x14ac:dyDescent="0.45">
      <c r="B126" s="103"/>
      <c r="C126" s="98"/>
      <c r="D126" s="99"/>
      <c r="E126" s="100"/>
      <c r="F126" s="31" t="str">
        <f>_xlfn.IFNA(VLOOKUP($D126,Sheet1!$B$2:$E$333,4,FALSE),"")</f>
        <v/>
      </c>
      <c r="G126" s="58" t="str">
        <f>IFERROR(VLOOKUP($D126,Sheet1!$B$2:$S$333,6,FALSE),"")</f>
        <v/>
      </c>
      <c r="H126" s="58" t="str">
        <f>IFERROR(VLOOKUP($D126,Sheet1!$B$2:$S$333,8,FALSE),"")</f>
        <v/>
      </c>
      <c r="I126" s="58" t="str">
        <f>IFERROR(VLOOKUP($D126,Sheet1!$B$2:$S$333,10,FALSE),"")</f>
        <v/>
      </c>
      <c r="J126" s="58" t="str">
        <f>IFERROR(VLOOKUP($D126,Sheet1!$B$2:$S$333,12,FALSE),"")</f>
        <v/>
      </c>
      <c r="K126" s="58" t="str">
        <f>IFERROR(VLOOKUP($D126,Sheet1!$B$2:$S$333,14,FALSE),"")</f>
        <v/>
      </c>
      <c r="L126" s="58" t="str">
        <f>IFERROR(VLOOKUP($D126,Sheet1!$B$2:$S$333,16,FALSE),"")</f>
        <v/>
      </c>
      <c r="M126" s="58" t="str">
        <f>IFERROR(VLOOKUP($D126,Sheet1!$B$2:$S$333,18,FALSE),"")</f>
        <v/>
      </c>
    </row>
    <row r="127" spans="1:13" ht="23.25" customHeight="1" x14ac:dyDescent="0.45">
      <c r="B127" s="103"/>
      <c r="C127" s="97"/>
      <c r="D127" s="95"/>
      <c r="E127" s="104"/>
      <c r="F127" s="31" t="str">
        <f>_xlfn.IFNA(VLOOKUP($D127,Sheet1!$B$2:$E$333,4,FALSE),"")</f>
        <v/>
      </c>
      <c r="G127" s="58" t="str">
        <f>IFERROR(VLOOKUP($D127,Sheet1!$B$2:$S$333,6,FALSE),"")</f>
        <v/>
      </c>
      <c r="H127" s="58" t="str">
        <f>IFERROR(VLOOKUP($D127,Sheet1!$B$2:$S$333,8,FALSE),"")</f>
        <v/>
      </c>
      <c r="I127" s="58" t="str">
        <f>IFERROR(VLOOKUP($D127,Sheet1!$B$2:$S$333,10,FALSE),"")</f>
        <v/>
      </c>
      <c r="J127" s="58" t="str">
        <f>IFERROR(VLOOKUP($D127,Sheet1!$B$2:$S$333,12,FALSE),"")</f>
        <v/>
      </c>
      <c r="K127" s="58" t="str">
        <f>IFERROR(VLOOKUP($D127,Sheet1!$B$2:$S$333,14,FALSE),"")</f>
        <v/>
      </c>
      <c r="L127" s="58" t="str">
        <f>IFERROR(VLOOKUP($D127,Sheet1!$B$2:$S$333,16,FALSE),"")</f>
        <v/>
      </c>
      <c r="M127" s="58" t="str">
        <f>IFERROR(VLOOKUP($D127,Sheet1!$B$2:$S$333,18,FALSE),"")</f>
        <v/>
      </c>
    </row>
    <row r="128" spans="1:13" ht="23.25" customHeight="1" x14ac:dyDescent="0.45">
      <c r="B128" s="103"/>
      <c r="C128" s="97"/>
      <c r="D128" s="95"/>
      <c r="E128" s="104"/>
      <c r="F128" s="31" t="str">
        <f>_xlfn.IFNA(VLOOKUP($D128,Sheet1!$B$2:$E$333,4,FALSE),"")</f>
        <v/>
      </c>
      <c r="G128" s="58" t="str">
        <f>IFERROR(VLOOKUP($D128,Sheet1!$B$2:$S$333,6,FALSE),"")</f>
        <v/>
      </c>
      <c r="H128" s="58" t="str">
        <f>IFERROR(VLOOKUP($D128,Sheet1!$B$2:$S$333,8,FALSE),"")</f>
        <v/>
      </c>
      <c r="I128" s="58" t="str">
        <f>IFERROR(VLOOKUP($D128,Sheet1!$B$2:$S$333,10,FALSE),"")</f>
        <v/>
      </c>
      <c r="J128" s="58" t="str">
        <f>IFERROR(VLOOKUP($D128,Sheet1!$B$2:$S$333,12,FALSE),"")</f>
        <v/>
      </c>
      <c r="K128" s="58" t="str">
        <f>IFERROR(VLOOKUP($D128,Sheet1!$B$2:$S$333,14,FALSE),"")</f>
        <v/>
      </c>
      <c r="L128" s="58" t="str">
        <f>IFERROR(VLOOKUP($D128,Sheet1!$B$2:$S$333,16,FALSE),"")</f>
        <v/>
      </c>
      <c r="M128" s="58" t="str">
        <f>IFERROR(VLOOKUP($D128,Sheet1!$B$2:$S$333,18,FALSE),"")</f>
        <v/>
      </c>
    </row>
    <row r="129" spans="1:13" ht="23.25" customHeight="1" x14ac:dyDescent="0.45">
      <c r="B129" s="103"/>
      <c r="C129" s="97"/>
      <c r="D129" s="95"/>
      <c r="E129" s="104"/>
      <c r="F129" s="31" t="str">
        <f>_xlfn.IFNA(VLOOKUP($D129,Sheet1!$B$2:$E$333,4,FALSE),"")</f>
        <v/>
      </c>
      <c r="G129" s="58" t="str">
        <f>IFERROR(VLOOKUP($D129,Sheet1!$B$2:$S$333,6,FALSE),"")</f>
        <v/>
      </c>
      <c r="H129" s="58" t="str">
        <f>IFERROR(VLOOKUP($D129,Sheet1!$B$2:$S$333,8,FALSE),"")</f>
        <v/>
      </c>
      <c r="I129" s="58" t="str">
        <f>IFERROR(VLOOKUP($D129,Sheet1!$B$2:$S$333,10,FALSE),"")</f>
        <v/>
      </c>
      <c r="J129" s="58" t="str">
        <f>IFERROR(VLOOKUP($D129,Sheet1!$B$2:$S$333,12,FALSE),"")</f>
        <v/>
      </c>
      <c r="K129" s="58" t="str">
        <f>IFERROR(VLOOKUP($D129,Sheet1!$B$2:$S$333,14,FALSE),"")</f>
        <v/>
      </c>
      <c r="L129" s="58" t="str">
        <f>IFERROR(VLOOKUP($D129,Sheet1!$B$2:$S$333,16,FALSE),"")</f>
        <v/>
      </c>
      <c r="M129" s="58" t="str">
        <f>IFERROR(VLOOKUP($D129,Sheet1!$B$2:$S$333,18,FALSE),"")</f>
        <v/>
      </c>
    </row>
    <row r="130" spans="1:13" ht="23.25" customHeight="1" x14ac:dyDescent="0.45">
      <c r="B130" s="103"/>
      <c r="C130" s="97"/>
      <c r="D130" s="95"/>
      <c r="E130" s="104"/>
      <c r="F130" s="31" t="str">
        <f>_xlfn.IFNA(VLOOKUP($D130,Sheet1!$B$2:$E$333,4,FALSE),"")</f>
        <v/>
      </c>
      <c r="G130" s="58" t="str">
        <f>IFERROR(VLOOKUP($D130,Sheet1!$B$2:$S$333,6,FALSE),"")</f>
        <v/>
      </c>
      <c r="H130" s="58" t="str">
        <f>IFERROR(VLOOKUP($D130,Sheet1!$B$2:$S$333,8,FALSE),"")</f>
        <v/>
      </c>
      <c r="I130" s="58" t="str">
        <f>IFERROR(VLOOKUP($D130,Sheet1!$B$2:$S$333,10,FALSE),"")</f>
        <v/>
      </c>
      <c r="J130" s="58" t="str">
        <f>IFERROR(VLOOKUP($D130,Sheet1!$B$2:$S$333,12,FALSE),"")</f>
        <v/>
      </c>
      <c r="K130" s="58" t="str">
        <f>IFERROR(VLOOKUP($D130,Sheet1!$B$2:$S$333,14,FALSE),"")</f>
        <v/>
      </c>
      <c r="L130" s="58" t="str">
        <f>IFERROR(VLOOKUP($D130,Sheet1!$B$2:$S$333,16,FALSE),"")</f>
        <v/>
      </c>
      <c r="M130" s="58" t="str">
        <f>IFERROR(VLOOKUP($D130,Sheet1!$B$2:$S$333,18,FALSE),"")</f>
        <v/>
      </c>
    </row>
    <row r="131" spans="1:13" ht="23.25" customHeight="1" x14ac:dyDescent="0.45">
      <c r="B131" s="103"/>
      <c r="C131" s="97"/>
      <c r="D131" s="95"/>
      <c r="E131" s="104"/>
      <c r="F131" s="31" t="str">
        <f>_xlfn.IFNA(VLOOKUP($D131,Sheet1!$B$2:$E$333,4,FALSE),"")</f>
        <v/>
      </c>
      <c r="G131" s="58" t="str">
        <f>IFERROR(VLOOKUP($D131,Sheet1!$B$2:$S$333,6,FALSE),"")</f>
        <v/>
      </c>
      <c r="H131" s="58" t="str">
        <f>IFERROR(VLOOKUP($D131,Sheet1!$B$2:$S$333,8,FALSE),"")</f>
        <v/>
      </c>
      <c r="I131" s="58" t="str">
        <f>IFERROR(VLOOKUP($D131,Sheet1!$B$2:$S$333,10,FALSE),"")</f>
        <v/>
      </c>
      <c r="J131" s="58" t="str">
        <f>IFERROR(VLOOKUP($D131,Sheet1!$B$2:$S$333,12,FALSE),"")</f>
        <v/>
      </c>
      <c r="K131" s="58" t="str">
        <f>IFERROR(VLOOKUP($D131,Sheet1!$B$2:$S$333,14,FALSE),"")</f>
        <v/>
      </c>
      <c r="L131" s="58" t="str">
        <f>IFERROR(VLOOKUP($D131,Sheet1!$B$2:$S$333,16,FALSE),"")</f>
        <v/>
      </c>
      <c r="M131" s="58" t="str">
        <f>IFERROR(VLOOKUP($D131,Sheet1!$B$2:$S$333,18,FALSE),"")</f>
        <v/>
      </c>
    </row>
    <row r="132" spans="1:13" ht="23.25" customHeight="1" x14ac:dyDescent="0.45">
      <c r="B132" s="103"/>
      <c r="C132" s="97"/>
      <c r="D132" s="95"/>
      <c r="E132" s="104"/>
      <c r="F132" s="31" t="str">
        <f>_xlfn.IFNA(VLOOKUP($D132,Sheet1!$B$2:$E$333,4,FALSE),"")</f>
        <v/>
      </c>
      <c r="G132" s="58" t="str">
        <f>IFERROR(VLOOKUP($D132,Sheet1!$B$2:$S$333,6,FALSE),"")</f>
        <v/>
      </c>
      <c r="H132" s="58" t="str">
        <f>IFERROR(VLOOKUP($D132,Sheet1!$B$2:$S$333,8,FALSE),"")</f>
        <v/>
      </c>
      <c r="I132" s="58" t="str">
        <f>IFERROR(VLOOKUP($D132,Sheet1!$B$2:$S$333,10,FALSE),"")</f>
        <v/>
      </c>
      <c r="J132" s="58" t="str">
        <f>IFERROR(VLOOKUP($D132,Sheet1!$B$2:$S$333,12,FALSE),"")</f>
        <v/>
      </c>
      <c r="K132" s="58" t="str">
        <f>IFERROR(VLOOKUP($D132,Sheet1!$B$2:$S$333,14,FALSE),"")</f>
        <v/>
      </c>
      <c r="L132" s="58" t="str">
        <f>IFERROR(VLOOKUP($D132,Sheet1!$B$2:$S$333,16,FALSE),"")</f>
        <v/>
      </c>
      <c r="M132" s="58" t="str">
        <f>IFERROR(VLOOKUP($D132,Sheet1!$B$2:$S$333,18,FALSE),"")</f>
        <v/>
      </c>
    </row>
    <row r="133" spans="1:13" ht="23.25" customHeight="1" x14ac:dyDescent="0.45">
      <c r="B133" s="103"/>
      <c r="C133" s="97"/>
      <c r="D133" s="95"/>
      <c r="E133" s="104"/>
      <c r="F133" s="31" t="str">
        <f>_xlfn.IFNA(VLOOKUP($D133,Sheet1!$B$2:$E$333,4,FALSE),"")</f>
        <v/>
      </c>
      <c r="G133" s="58" t="str">
        <f>IFERROR(VLOOKUP($D133,Sheet1!$B$2:$S$333,6,FALSE),"")</f>
        <v/>
      </c>
      <c r="H133" s="58" t="str">
        <f>IFERROR(VLOOKUP($D133,Sheet1!$B$2:$S$333,8,FALSE),"")</f>
        <v/>
      </c>
      <c r="I133" s="58" t="str">
        <f>IFERROR(VLOOKUP($D133,Sheet1!$B$2:$S$333,10,FALSE),"")</f>
        <v/>
      </c>
      <c r="J133" s="58" t="str">
        <f>IFERROR(VLOOKUP($D133,Sheet1!$B$2:$S$333,12,FALSE),"")</f>
        <v/>
      </c>
      <c r="K133" s="58" t="str">
        <f>IFERROR(VLOOKUP($D133,Sheet1!$B$2:$S$333,14,FALSE),"")</f>
        <v/>
      </c>
      <c r="L133" s="58" t="str">
        <f>IFERROR(VLOOKUP($D133,Sheet1!$B$2:$S$333,16,FALSE),"")</f>
        <v/>
      </c>
      <c r="M133" s="58" t="str">
        <f>IFERROR(VLOOKUP($D133,Sheet1!$B$2:$S$333,18,FALSE),"")</f>
        <v/>
      </c>
    </row>
    <row r="134" spans="1:13" ht="23.25" customHeight="1" x14ac:dyDescent="0.45">
      <c r="B134" s="103"/>
      <c r="C134" s="97"/>
      <c r="D134" s="95"/>
      <c r="E134" s="104"/>
      <c r="F134" s="31" t="str">
        <f>_xlfn.IFNA(VLOOKUP($D134,Sheet1!$B$2:$E$333,4,FALSE),"")</f>
        <v/>
      </c>
      <c r="G134" s="58" t="str">
        <f>IFERROR(VLOOKUP($D134,Sheet1!$B$2:$S$333,6,FALSE),"")</f>
        <v/>
      </c>
      <c r="H134" s="58" t="str">
        <f>IFERROR(VLOOKUP($D134,Sheet1!$B$2:$S$333,8,FALSE),"")</f>
        <v/>
      </c>
      <c r="I134" s="58" t="str">
        <f>IFERROR(VLOOKUP($D134,Sheet1!$B$2:$S$333,10,FALSE),"")</f>
        <v/>
      </c>
      <c r="J134" s="58" t="str">
        <f>IFERROR(VLOOKUP($D134,Sheet1!$B$2:$S$333,12,FALSE),"")</f>
        <v/>
      </c>
      <c r="K134" s="58" t="str">
        <f>IFERROR(VLOOKUP($D134,Sheet1!$B$2:$S$333,14,FALSE),"")</f>
        <v/>
      </c>
      <c r="L134" s="58" t="str">
        <f>IFERROR(VLOOKUP($D134,Sheet1!$B$2:$S$333,16,FALSE),"")</f>
        <v/>
      </c>
      <c r="M134" s="58" t="str">
        <f>IFERROR(VLOOKUP($D134,Sheet1!$B$2:$S$333,18,FALSE),"")</f>
        <v/>
      </c>
    </row>
    <row r="135" spans="1:13" ht="23.25" customHeight="1" x14ac:dyDescent="0.45">
      <c r="B135" s="103"/>
      <c r="C135" s="97"/>
      <c r="D135" s="95"/>
      <c r="E135" s="104"/>
      <c r="F135" s="31" t="str">
        <f>_xlfn.IFNA(VLOOKUP($D135,Sheet1!$B$2:$E$333,4,FALSE),"")</f>
        <v/>
      </c>
      <c r="G135" s="58" t="str">
        <f>IFERROR(VLOOKUP($D135,Sheet1!$B$2:$S$333,6,FALSE),"")</f>
        <v/>
      </c>
      <c r="H135" s="58" t="str">
        <f>IFERROR(VLOOKUP($D135,Sheet1!$B$2:$S$333,8,FALSE),"")</f>
        <v/>
      </c>
      <c r="I135" s="58" t="str">
        <f>IFERROR(VLOOKUP($D135,Sheet1!$B$2:$S$333,10,FALSE),"")</f>
        <v/>
      </c>
      <c r="J135" s="58" t="str">
        <f>IFERROR(VLOOKUP($D135,Sheet1!$B$2:$S$333,12,FALSE),"")</f>
        <v/>
      </c>
      <c r="K135" s="58" t="str">
        <f>IFERROR(VLOOKUP($D135,Sheet1!$B$2:$S$333,14,FALSE),"")</f>
        <v/>
      </c>
      <c r="L135" s="58" t="str">
        <f>IFERROR(VLOOKUP($D135,Sheet1!$B$2:$S$333,16,FALSE),"")</f>
        <v/>
      </c>
      <c r="M135" s="58" t="str">
        <f>IFERROR(VLOOKUP($D135,Sheet1!$B$2:$S$333,18,FALSE),"")</f>
        <v/>
      </c>
    </row>
    <row r="136" spans="1:13" ht="23.25" customHeight="1" x14ac:dyDescent="0.45">
      <c r="B136" s="103"/>
      <c r="C136" s="97"/>
      <c r="D136" s="95"/>
      <c r="E136" s="104"/>
      <c r="F136" s="31" t="str">
        <f>_xlfn.IFNA(VLOOKUP($D136,Sheet1!$B$2:$E$333,4,FALSE),"")</f>
        <v/>
      </c>
      <c r="G136" s="58" t="str">
        <f>IFERROR(VLOOKUP($D136,Sheet1!$B$2:$S$333,6,FALSE),"")</f>
        <v/>
      </c>
      <c r="H136" s="58" t="str">
        <f>IFERROR(VLOOKUP($D136,Sheet1!$B$2:$S$333,8,FALSE),"")</f>
        <v/>
      </c>
      <c r="I136" s="58" t="str">
        <f>IFERROR(VLOOKUP($D136,Sheet1!$B$2:$S$333,10,FALSE),"")</f>
        <v/>
      </c>
      <c r="J136" s="58" t="str">
        <f>IFERROR(VLOOKUP($D136,Sheet1!$B$2:$S$333,12,FALSE),"")</f>
        <v/>
      </c>
      <c r="K136" s="58" t="str">
        <f>IFERROR(VLOOKUP($D136,Sheet1!$B$2:$S$333,14,FALSE),"")</f>
        <v/>
      </c>
      <c r="L136" s="58" t="str">
        <f>IFERROR(VLOOKUP($D136,Sheet1!$B$2:$S$333,16,FALSE),"")</f>
        <v/>
      </c>
      <c r="M136" s="58" t="str">
        <f>IFERROR(VLOOKUP($D136,Sheet1!$B$2:$S$333,18,FALSE),"")</f>
        <v/>
      </c>
    </row>
    <row r="137" spans="1:13" ht="23.25" customHeight="1" thickBot="1" x14ac:dyDescent="0.5">
      <c r="B137" s="105"/>
      <c r="C137" s="106"/>
      <c r="D137" s="107"/>
      <c r="E137" s="108"/>
      <c r="F137" s="38" t="str">
        <f>_xlfn.IFNA(VLOOKUP($D137,Sheet1!$B$2:$E$333,4,FALSE),"")</f>
        <v/>
      </c>
      <c r="G137" s="58" t="str">
        <f>IFERROR(VLOOKUP($D137,Sheet1!$B$2:$S$333,6,FALSE),"")</f>
        <v/>
      </c>
      <c r="H137" s="58" t="str">
        <f>IFERROR(VLOOKUP($D137,Sheet1!$B$2:$S$333,8,FALSE),"")</f>
        <v/>
      </c>
      <c r="I137" s="58" t="str">
        <f>IFERROR(VLOOKUP($D137,Sheet1!$B$2:$S$333,10,FALSE),"")</f>
        <v/>
      </c>
      <c r="J137" s="58" t="str">
        <f>IFERROR(VLOOKUP($D137,Sheet1!$B$2:$S$333,12,FALSE),"")</f>
        <v/>
      </c>
      <c r="K137" s="58" t="str">
        <f>IFERROR(VLOOKUP($D137,Sheet1!$B$2:$S$333,14,FALSE),"")</f>
        <v/>
      </c>
      <c r="L137" s="58" t="str">
        <f>IFERROR(VLOOKUP($D137,Sheet1!$B$2:$S$333,16,FALSE),"")</f>
        <v/>
      </c>
      <c r="M137" s="58" t="str">
        <f>IFERROR(VLOOKUP($D137,Sheet1!$B$2:$S$333,18,FALSE),"")</f>
        <v/>
      </c>
    </row>
    <row r="138" spans="1:13" ht="23.25" customHeight="1" thickBot="1" x14ac:dyDescent="0.4">
      <c r="A138" s="22"/>
      <c r="B138" s="23"/>
      <c r="C138" s="409" t="s">
        <v>52</v>
      </c>
      <c r="D138" s="409"/>
      <c r="E138" s="409"/>
      <c r="F138" s="409"/>
      <c r="G138" s="409"/>
      <c r="H138" s="409"/>
      <c r="I138" s="409"/>
      <c r="J138" s="409"/>
      <c r="K138" s="409"/>
      <c r="L138" s="409"/>
      <c r="M138" s="409"/>
    </row>
    <row r="139" spans="1:13" ht="23.25" customHeight="1" x14ac:dyDescent="0.45">
      <c r="B139" s="109"/>
      <c r="C139" s="110" t="str" cm="1">
        <f t="array" ref="C139:E141">_xlfn._xlws.FILTER(Sheet1!$A$2:$C$333,Sheet1!$C$2:$C$333='GAD DISPATCHER SCHEDULE'!$U$26)</f>
        <v>DUNCAN, CRAIG</v>
      </c>
      <c r="D139" s="111" t="str">
        <v>0374752</v>
      </c>
      <c r="E139" s="112" t="str">
        <v>RELIEF ACD'S</v>
      </c>
      <c r="F139" s="29">
        <f>_xlfn.IFNA(VLOOKUP($D139,Sheet1!$B$2:$E$333,4,FALSE),"")</f>
        <v>0</v>
      </c>
      <c r="G139" s="58" t="str">
        <f>IFERROR(VLOOKUP($D139,Sheet1!$B$2:$S$333,6,FALSE),"")</f>
        <v>ACD1-DB</v>
      </c>
      <c r="H139" s="58" t="str">
        <f>IFERROR(VLOOKUP($D139,Sheet1!$B$2:$S$333,8,FALSE),"")</f>
        <v>ACD1-DB</v>
      </c>
      <c r="I139" s="58" t="str">
        <f>IFERROR(VLOOKUP($D139,Sheet1!$B$2:$S$333,10,FALSE),"")</f>
        <v>ACD1-LK</v>
      </c>
      <c r="J139" s="58" t="str">
        <f>IFERROR(VLOOKUP($D139,Sheet1!$B$2:$S$333,12,FALSE),"")</f>
        <v>ACD1-LK</v>
      </c>
      <c r="K139" s="58" t="str">
        <f>IFERROR(VLOOKUP($D139,Sheet1!$B$2:$S$333,14,FALSE),"")</f>
        <v>ACD2-DB</v>
      </c>
      <c r="L139" s="58" t="str">
        <f>IFERROR(VLOOKUP($D139,Sheet1!$B$2:$S$333,16,FALSE),"")</f>
        <v>ACD2-DB</v>
      </c>
      <c r="M139" s="58" t="str">
        <f>IFERROR(VLOOKUP($D139,Sheet1!$B$2:$S$333,18,FALSE),"")</f>
        <v>OFF</v>
      </c>
    </row>
    <row r="140" spans="1:13" ht="23.25" customHeight="1" x14ac:dyDescent="0.45">
      <c r="B140" s="114"/>
      <c r="C140" s="113" t="str">
        <v>PIETSCH, KYLE</v>
      </c>
      <c r="D140" s="111" t="str">
        <v>1019208</v>
      </c>
      <c r="E140" s="112" t="str">
        <v>RELIEF ACD'S</v>
      </c>
      <c r="F140" s="31">
        <f>_xlfn.IFNA(VLOOKUP($D140,Sheet1!$B$2:$E$333,4,FALSE),"")</f>
        <v>0</v>
      </c>
      <c r="G140" s="58" t="str">
        <f>IFERROR(VLOOKUP($D140,Sheet1!$B$2:$S$333,6,FALSE),"")</f>
        <v>ACD2-GU</v>
      </c>
      <c r="H140" s="58" t="str">
        <f>IFERROR(VLOOKUP($D140,Sheet1!$B$2:$S$333,8,FALSE),"")</f>
        <v>ACD2-GU</v>
      </c>
      <c r="I140" s="58" t="str">
        <f>IFERROR(VLOOKUP($D140,Sheet1!$B$2:$S$333,10,FALSE),"")</f>
        <v>ACD2-DB</v>
      </c>
      <c r="J140" s="58" t="str">
        <f>IFERROR(VLOOKUP($D140,Sheet1!$B$2:$S$333,12,FALSE),"")</f>
        <v>S-APPT</v>
      </c>
      <c r="K140" s="58" t="str">
        <f>IFERROR(VLOOKUP($D140,Sheet1!$B$2:$S$333,14,FALSE),"")</f>
        <v>OFF</v>
      </c>
      <c r="L140" s="58" t="str">
        <f>IFERROR(VLOOKUP($D140,Sheet1!$B$2:$S$333,16,FALSE),"")</f>
        <v>OFF</v>
      </c>
      <c r="M140" s="58" t="str">
        <f>IFERROR(VLOOKUP($D140,Sheet1!$B$2:$S$333,18,FALSE),"")</f>
        <v>OFF</v>
      </c>
    </row>
    <row r="141" spans="1:13" ht="23.25" customHeight="1" x14ac:dyDescent="0.45">
      <c r="B141" s="114"/>
      <c r="C141" s="113" t="str">
        <v>RUBERT, JIM</v>
      </c>
      <c r="D141" s="111" t="str">
        <v>0798819</v>
      </c>
      <c r="E141" s="112" t="str">
        <v>RELIEF ACD'S</v>
      </c>
      <c r="F141" s="31">
        <f>_xlfn.IFNA(VLOOKUP($D141,Sheet1!$B$2:$E$333,4,FALSE),"")</f>
        <v>0</v>
      </c>
      <c r="G141" s="58" t="str">
        <f>IFERROR(VLOOKUP($D141,Sheet1!$B$2:$S$333,6,FALSE),"")</f>
        <v>OFF</v>
      </c>
      <c r="H141" s="58" t="str">
        <f>IFERROR(VLOOKUP($D141,Sheet1!$B$2:$S$333,8,FALSE),"")</f>
        <v>OFF</v>
      </c>
      <c r="I141" s="58" t="str">
        <f>IFERROR(VLOOKUP($D141,Sheet1!$B$2:$S$333,10,FALSE),"")</f>
        <v>OFF</v>
      </c>
      <c r="J141" s="58" t="str">
        <f>IFERROR(VLOOKUP($D141,Sheet1!$B$2:$S$333,12,FALSE),"")</f>
        <v>OFF</v>
      </c>
      <c r="K141" s="58" t="str">
        <f>IFERROR(VLOOKUP($D141,Sheet1!$B$2:$S$333,14,FALSE),"")</f>
        <v>ACD1-CO</v>
      </c>
      <c r="L141" s="58" t="str">
        <f>IFERROR(VLOOKUP($D141,Sheet1!$B$2:$S$333,16,FALSE),"")</f>
        <v>ACD1-CO</v>
      </c>
      <c r="M141" s="58" t="str">
        <f>IFERROR(VLOOKUP($D141,Sheet1!$B$2:$S$333,18,FALSE),"")</f>
        <v>ACD2-DB</v>
      </c>
    </row>
    <row r="142" spans="1:13" ht="23.25" customHeight="1" x14ac:dyDescent="0.45">
      <c r="B142" s="114"/>
      <c r="C142" s="113"/>
      <c r="D142" s="111"/>
      <c r="E142" s="112"/>
      <c r="F142" s="31" t="str">
        <f>_xlfn.IFNA(VLOOKUP($D142,Sheet1!$B$2:$E$333,4,FALSE),"")</f>
        <v/>
      </c>
      <c r="G142" s="58" t="str">
        <f>IFERROR(VLOOKUP($D142,Sheet1!$B$2:$S$333,6,FALSE),"")</f>
        <v/>
      </c>
      <c r="H142" s="58" t="str">
        <f>IFERROR(VLOOKUP($D142,Sheet1!$B$2:$S$333,8,FALSE),"")</f>
        <v/>
      </c>
      <c r="I142" s="58" t="str">
        <f>IFERROR(VLOOKUP($D142,Sheet1!$B$2:$S$333,10,FALSE),"")</f>
        <v/>
      </c>
      <c r="J142" s="58" t="str">
        <f>IFERROR(VLOOKUP($D142,Sheet1!$B$2:$S$333,12,FALSE),"")</f>
        <v/>
      </c>
      <c r="K142" s="58" t="str">
        <f>IFERROR(VLOOKUP($D142,Sheet1!$B$2:$S$333,14,FALSE),"")</f>
        <v/>
      </c>
      <c r="L142" s="58" t="str">
        <f>IFERROR(VLOOKUP($D142,Sheet1!$B$2:$S$333,16,FALSE),"")</f>
        <v/>
      </c>
      <c r="M142" s="58" t="str">
        <f>IFERROR(VLOOKUP($D142,Sheet1!$B$2:$S$333,18,FALSE),"")</f>
        <v/>
      </c>
    </row>
    <row r="143" spans="1:13" ht="23.25" customHeight="1" thickBot="1" x14ac:dyDescent="0.5">
      <c r="B143" s="115"/>
      <c r="C143" s="113"/>
      <c r="D143" s="111"/>
      <c r="E143" s="112"/>
      <c r="F143" s="31" t="str">
        <f>_xlfn.IFNA(VLOOKUP($D143,Sheet1!$B$2:$E$333,4,FALSE),"")</f>
        <v/>
      </c>
      <c r="G143" s="58" t="str">
        <f>IFERROR(VLOOKUP($D143,Sheet1!$B$2:$S$333,6,FALSE),"")</f>
        <v/>
      </c>
      <c r="H143" s="58" t="str">
        <f>IFERROR(VLOOKUP($D143,Sheet1!$B$2:$S$333,8,FALSE),"")</f>
        <v/>
      </c>
      <c r="I143" s="58" t="str">
        <f>IFERROR(VLOOKUP($D143,Sheet1!$B$2:$S$333,10,FALSE),"")</f>
        <v/>
      </c>
      <c r="J143" s="58" t="str">
        <f>IFERROR(VLOOKUP($D143,Sheet1!$B$2:$S$333,12,FALSE),"")</f>
        <v/>
      </c>
      <c r="K143" s="58" t="str">
        <f>IFERROR(VLOOKUP($D143,Sheet1!$B$2:$S$333,14,FALSE),"")</f>
        <v/>
      </c>
      <c r="L143" s="58" t="str">
        <f>IFERROR(VLOOKUP($D143,Sheet1!$B$2:$S$333,16,FALSE),"")</f>
        <v/>
      </c>
      <c r="M143" s="58" t="str">
        <f>IFERROR(VLOOKUP($D143,Sheet1!$B$2:$S$333,18,FALSE),"")</f>
        <v/>
      </c>
    </row>
    <row r="144" spans="1:13" ht="23.25" customHeight="1" x14ac:dyDescent="0.55000000000000004">
      <c r="B144" s="116"/>
      <c r="C144" s="117"/>
      <c r="D144" s="118"/>
      <c r="E144" s="119"/>
      <c r="F144" s="120"/>
      <c r="G144" s="121"/>
      <c r="H144" s="121"/>
      <c r="I144" s="121"/>
      <c r="J144" s="121"/>
      <c r="K144" s="121"/>
      <c r="L144" s="121"/>
      <c r="M144" s="121"/>
    </row>
    <row r="145" spans="1:21" ht="23.25" customHeight="1" thickBot="1" x14ac:dyDescent="0.4">
      <c r="A145" s="22"/>
      <c r="B145" s="122"/>
      <c r="C145" s="398" t="s">
        <v>53</v>
      </c>
      <c r="D145" s="398"/>
      <c r="E145" s="398"/>
      <c r="F145" s="398"/>
      <c r="G145" s="398"/>
      <c r="H145" s="398"/>
      <c r="I145" s="398"/>
      <c r="J145" s="398"/>
      <c r="K145" s="398"/>
      <c r="L145" s="398"/>
      <c r="M145" s="399"/>
    </row>
    <row r="146" spans="1:21" ht="23.25" customHeight="1" x14ac:dyDescent="0.45">
      <c r="B146" s="24"/>
      <c r="C146" s="123" t="str" cm="1">
        <f t="array" ref="C146:E146">_xlfn._xlws.FILTER(Sheet1!$A$2:$C$333,Sheet1!$C$2:$C$333='GAD DISPATCHER SCHEDULE'!$U$156)</f>
        <v>GILREATH, AUSTIN</v>
      </c>
      <c r="D146" s="25" t="str">
        <v>1034341</v>
      </c>
      <c r="E146" s="26" t="str">
        <v>KEYSTONE - TRAINEE</v>
      </c>
      <c r="F146" s="125"/>
      <c r="G146" s="30" t="str">
        <f>IFERROR(VLOOKUP($D146,Sheet1!$B$2:$S$333,6,FALSE),"")</f>
        <v>OFF</v>
      </c>
      <c r="H146" s="30" t="str">
        <f>IFERROR(VLOOKUP($D146,Sheet1!$B$2:$S$333,8,FALSE),"")</f>
        <v>PE-3-POST</v>
      </c>
      <c r="I146" s="30" t="str">
        <f>IFERROR(VLOOKUP($D146,Sheet1!$B$2:$S$333,10,FALSE),"")</f>
        <v>PE-3-POST</v>
      </c>
      <c r="J146" s="30" t="str">
        <f>IFERROR(VLOOKUP($D146,Sheet1!$B$2:$S$333,12,FALSE),"")</f>
        <v>PE-3-POST</v>
      </c>
      <c r="K146" s="30" t="str">
        <f>IFERROR(VLOOKUP($D146,Sheet1!$B$2:$S$333,14,FALSE),"")</f>
        <v>OFF</v>
      </c>
      <c r="L146" s="30" t="str">
        <f>IFERROR(VLOOKUP($D146,Sheet1!$B$2:$S$333,16,FALSE),"")</f>
        <v>PE-3-POST</v>
      </c>
      <c r="M146" s="30" t="str">
        <f>IFERROR(VLOOKUP($D146,Sheet1!$B$2:$S$333,18,FALSE),"")</f>
        <v>PE-3-POST</v>
      </c>
    </row>
    <row r="147" spans="1:21" ht="23.25" customHeight="1" x14ac:dyDescent="0.45">
      <c r="B147" s="24"/>
      <c r="C147" s="124"/>
      <c r="D147" s="27"/>
      <c r="E147" s="28"/>
      <c r="F147" s="126"/>
      <c r="G147" s="30" t="str">
        <f>IFERROR(VLOOKUP($D147,Sheet1!$B$2:$S$333,6,FALSE),"")</f>
        <v/>
      </c>
      <c r="H147" s="30" t="str">
        <f>IFERROR(VLOOKUP($D147,Sheet1!$B$2:$S$333,8,FALSE),"")</f>
        <v/>
      </c>
      <c r="I147" s="30" t="str">
        <f>IFERROR(VLOOKUP($D147,Sheet1!$B$2:$S$333,10,FALSE),"")</f>
        <v/>
      </c>
      <c r="J147" s="30" t="str">
        <f>IFERROR(VLOOKUP($D147,Sheet1!$B$2:$S$333,12,FALSE),"")</f>
        <v/>
      </c>
      <c r="K147" s="30" t="str">
        <f>IFERROR(VLOOKUP($D147,Sheet1!$B$2:$S$333,14,FALSE),"")</f>
        <v/>
      </c>
      <c r="L147" s="30" t="str">
        <f>IFERROR(VLOOKUP($D147,Sheet1!$B$2:$S$333,16,FALSE),"")</f>
        <v/>
      </c>
      <c r="M147" s="30" t="str">
        <f>IFERROR(VLOOKUP($D147,Sheet1!$B$2:$S$333,18,FALSE),"")</f>
        <v/>
      </c>
    </row>
    <row r="148" spans="1:21" ht="23.25" customHeight="1" x14ac:dyDescent="0.45">
      <c r="B148" s="24"/>
      <c r="C148" s="124"/>
      <c r="D148" s="27"/>
      <c r="E148" s="28"/>
      <c r="F148" s="126"/>
      <c r="G148" s="30" t="str">
        <f>IFERROR(VLOOKUP($D148,Sheet1!$B$2:$S$333,6,FALSE),"")</f>
        <v/>
      </c>
      <c r="H148" s="30" t="str">
        <f>IFERROR(VLOOKUP($D148,Sheet1!$B$2:$S$333,8,FALSE),"")</f>
        <v/>
      </c>
      <c r="I148" s="30" t="str">
        <f>IFERROR(VLOOKUP($D148,Sheet1!$B$2:$S$333,10,FALSE),"")</f>
        <v/>
      </c>
      <c r="J148" s="30" t="str">
        <f>IFERROR(VLOOKUP($D148,Sheet1!$B$2:$S$333,12,FALSE),"")</f>
        <v/>
      </c>
      <c r="K148" s="30" t="str">
        <f>IFERROR(VLOOKUP($D148,Sheet1!$B$2:$S$333,14,FALSE),"")</f>
        <v/>
      </c>
      <c r="L148" s="30" t="str">
        <f>IFERROR(VLOOKUP($D148,Sheet1!$B$2:$S$333,16,FALSE),"")</f>
        <v/>
      </c>
      <c r="M148" s="30" t="str">
        <f>IFERROR(VLOOKUP($D148,Sheet1!$B$2:$S$333,18,FALSE),"")</f>
        <v/>
      </c>
    </row>
    <row r="149" spans="1:21" ht="23.25" customHeight="1" x14ac:dyDescent="0.45">
      <c r="B149" s="33"/>
      <c r="C149" s="124"/>
      <c r="D149" s="27"/>
      <c r="E149" s="28"/>
      <c r="F149" s="126"/>
      <c r="G149" s="30" t="str">
        <f>IFERROR(VLOOKUP($D149,Sheet1!$B$2:$S$333,6,FALSE),"")</f>
        <v/>
      </c>
      <c r="H149" s="30" t="str">
        <f>IFERROR(VLOOKUP($D149,Sheet1!$B$2:$S$333,8,FALSE),"")</f>
        <v/>
      </c>
      <c r="I149" s="30" t="str">
        <f>IFERROR(VLOOKUP($D149,Sheet1!$B$2:$S$333,10,FALSE),"")</f>
        <v/>
      </c>
      <c r="J149" s="30" t="str">
        <f>IFERROR(VLOOKUP($D149,Sheet1!$B$2:$S$333,12,FALSE),"")</f>
        <v/>
      </c>
      <c r="K149" s="30" t="str">
        <f>IFERROR(VLOOKUP($D149,Sheet1!$B$2:$S$333,14,FALSE),"")</f>
        <v/>
      </c>
      <c r="L149" s="30" t="str">
        <f>IFERROR(VLOOKUP($D149,Sheet1!$B$2:$S$333,16,FALSE),"")</f>
        <v/>
      </c>
      <c r="M149" s="30" t="str">
        <f>IFERROR(VLOOKUP($D149,Sheet1!$B$2:$S$333,18,FALSE),"")</f>
        <v/>
      </c>
      <c r="U149" s="34"/>
    </row>
    <row r="150" spans="1:21" ht="23.25" customHeight="1" x14ac:dyDescent="0.45">
      <c r="B150" s="33"/>
      <c r="C150" s="124"/>
      <c r="D150" s="27"/>
      <c r="E150" s="28"/>
      <c r="F150" s="126"/>
      <c r="G150" s="30" t="str">
        <f>IFERROR(VLOOKUP($D150,Sheet1!$B$2:$S$333,6,FALSE),"")</f>
        <v/>
      </c>
      <c r="H150" s="30" t="str">
        <f>IFERROR(VLOOKUP($D150,Sheet1!$B$2:$S$333,8,FALSE),"")</f>
        <v/>
      </c>
      <c r="I150" s="30" t="str">
        <f>IFERROR(VLOOKUP($D150,Sheet1!$B$2:$S$333,10,FALSE),"")</f>
        <v/>
      </c>
      <c r="J150" s="30" t="str">
        <f>IFERROR(VLOOKUP($D150,Sheet1!$B$2:$S$333,12,FALSE),"")</f>
        <v/>
      </c>
      <c r="K150" s="30" t="str">
        <f>IFERROR(VLOOKUP($D150,Sheet1!$B$2:$S$333,14,FALSE),"")</f>
        <v/>
      </c>
      <c r="L150" s="30" t="str">
        <f>IFERROR(VLOOKUP($D150,Sheet1!$B$2:$S$333,16,FALSE),"")</f>
        <v/>
      </c>
      <c r="M150" s="30" t="str">
        <f>IFERROR(VLOOKUP($D150,Sheet1!$B$2:$S$333,18,FALSE),"")</f>
        <v/>
      </c>
    </row>
    <row r="151" spans="1:21" ht="23.25" customHeight="1" x14ac:dyDescent="0.45">
      <c r="B151" s="33"/>
      <c r="C151" s="124"/>
      <c r="D151" s="27"/>
      <c r="E151" s="28"/>
      <c r="F151" s="126"/>
      <c r="G151" s="30" t="str">
        <f>IFERROR(VLOOKUP($D151,Sheet1!$B$2:$S$333,6,FALSE),"")</f>
        <v/>
      </c>
      <c r="H151" s="30" t="str">
        <f>IFERROR(VLOOKUP($D151,Sheet1!$B$2:$S$333,8,FALSE),"")</f>
        <v/>
      </c>
      <c r="I151" s="30" t="str">
        <f>IFERROR(VLOOKUP($D151,Sheet1!$B$2:$S$333,10,FALSE),"")</f>
        <v/>
      </c>
      <c r="J151" s="30" t="str">
        <f>IFERROR(VLOOKUP($D151,Sheet1!$B$2:$S$333,12,FALSE),"")</f>
        <v/>
      </c>
      <c r="K151" s="30" t="str">
        <f>IFERROR(VLOOKUP($D151,Sheet1!$B$2:$S$333,14,FALSE),"")</f>
        <v/>
      </c>
      <c r="L151" s="30" t="str">
        <f>IFERROR(VLOOKUP($D151,Sheet1!$B$2:$S$333,16,FALSE),"")</f>
        <v/>
      </c>
      <c r="M151" s="30" t="str">
        <f>IFERROR(VLOOKUP($D151,Sheet1!$B$2:$S$333,18,FALSE),"")</f>
        <v/>
      </c>
    </row>
    <row r="152" spans="1:21" ht="23.25" customHeight="1" x14ac:dyDescent="0.45">
      <c r="B152" s="33"/>
      <c r="C152" s="124"/>
      <c r="D152" s="27"/>
      <c r="E152" s="28"/>
      <c r="F152" s="126"/>
      <c r="G152" s="30" t="str">
        <f>IFERROR(VLOOKUP($D152,Sheet1!$B$2:$S$333,6,FALSE),"")</f>
        <v/>
      </c>
      <c r="H152" s="30" t="str">
        <f>IFERROR(VLOOKUP($D152,Sheet1!$B$2:$S$333,8,FALSE),"")</f>
        <v/>
      </c>
      <c r="I152" s="30" t="str">
        <f>IFERROR(VLOOKUP($D152,Sheet1!$B$2:$S$333,10,FALSE),"")</f>
        <v/>
      </c>
      <c r="J152" s="30" t="str">
        <f>IFERROR(VLOOKUP($D152,Sheet1!$B$2:$S$333,12,FALSE),"")</f>
        <v/>
      </c>
      <c r="K152" s="30" t="str">
        <f>IFERROR(VLOOKUP($D152,Sheet1!$B$2:$S$333,14,FALSE),"")</f>
        <v/>
      </c>
      <c r="L152" s="30" t="str">
        <f>IFERROR(VLOOKUP($D152,Sheet1!$B$2:$S$333,16,FALSE),"")</f>
        <v/>
      </c>
      <c r="M152" s="30" t="str">
        <f>IFERROR(VLOOKUP($D152,Sheet1!$B$2:$S$333,18,FALSE),"")</f>
        <v/>
      </c>
    </row>
    <row r="153" spans="1:21" ht="23.25" customHeight="1" x14ac:dyDescent="0.45">
      <c r="B153" s="33"/>
      <c r="C153" s="124"/>
      <c r="D153" s="27"/>
      <c r="E153" s="28"/>
      <c r="F153" s="126"/>
      <c r="G153" s="30" t="str">
        <f>IFERROR(VLOOKUP($D153,Sheet1!$B$2:$S$333,6,FALSE),"")</f>
        <v/>
      </c>
      <c r="H153" s="30" t="str">
        <f>IFERROR(VLOOKUP($D153,Sheet1!$B$2:$S$333,8,FALSE),"")</f>
        <v/>
      </c>
      <c r="I153" s="30" t="str">
        <f>IFERROR(VLOOKUP($D153,Sheet1!$B$2:$S$333,10,FALSE),"")</f>
        <v/>
      </c>
      <c r="J153" s="30" t="str">
        <f>IFERROR(VLOOKUP($D153,Sheet1!$B$2:$S$333,12,FALSE),"")</f>
        <v/>
      </c>
      <c r="K153" s="30" t="str">
        <f>IFERROR(VLOOKUP($D153,Sheet1!$B$2:$S$333,14,FALSE),"")</f>
        <v/>
      </c>
      <c r="L153" s="30" t="str">
        <f>IFERROR(VLOOKUP($D153,Sheet1!$B$2:$S$333,16,FALSE),"")</f>
        <v/>
      </c>
      <c r="M153" s="30" t="str">
        <f>IFERROR(VLOOKUP($D153,Sheet1!$B$2:$S$333,18,FALSE),"")</f>
        <v/>
      </c>
    </row>
    <row r="154" spans="1:21" ht="23.25" customHeight="1" x14ac:dyDescent="0.45">
      <c r="B154" s="33"/>
      <c r="C154" s="124"/>
      <c r="D154" s="27"/>
      <c r="E154" s="28"/>
      <c r="F154" s="126"/>
      <c r="G154" s="30" t="str">
        <f>IFERROR(VLOOKUP($D154,Sheet1!$B$2:$S$333,6,FALSE),"")</f>
        <v/>
      </c>
      <c r="H154" s="30" t="str">
        <f>IFERROR(VLOOKUP($D154,Sheet1!$B$2:$S$333,8,FALSE),"")</f>
        <v/>
      </c>
      <c r="I154" s="30" t="str">
        <f>IFERROR(VLOOKUP($D154,Sheet1!$B$2:$S$333,10,FALSE),"")</f>
        <v/>
      </c>
      <c r="J154" s="30" t="str">
        <f>IFERROR(VLOOKUP($D154,Sheet1!$B$2:$S$333,12,FALSE),"")</f>
        <v/>
      </c>
      <c r="K154" s="30" t="str">
        <f>IFERROR(VLOOKUP($D154,Sheet1!$B$2:$S$333,14,FALSE),"")</f>
        <v/>
      </c>
      <c r="L154" s="30" t="str">
        <f>IFERROR(VLOOKUP($D154,Sheet1!$B$2:$S$333,16,FALSE),"")</f>
        <v/>
      </c>
      <c r="M154" s="30" t="str">
        <f>IFERROR(VLOOKUP($D154,Sheet1!$B$2:$S$333,18,FALSE),"")</f>
        <v/>
      </c>
    </row>
    <row r="155" spans="1:21" ht="23.25" customHeight="1" thickBot="1" x14ac:dyDescent="0.5">
      <c r="B155" s="35"/>
      <c r="C155" s="127"/>
      <c r="D155" s="36"/>
      <c r="E155" s="37"/>
      <c r="F155" s="128"/>
      <c r="G155" s="30" t="str">
        <f>IFERROR(VLOOKUP($D155,Sheet1!$B$2:$S$333,6,FALSE),"")</f>
        <v/>
      </c>
      <c r="H155" s="30" t="str">
        <f>IFERROR(VLOOKUP($D155,Sheet1!$B$2:$S$333,8,FALSE),"")</f>
        <v/>
      </c>
      <c r="I155" s="30" t="str">
        <f>IFERROR(VLOOKUP($D155,Sheet1!$B$2:$S$333,10,FALSE),"")</f>
        <v/>
      </c>
      <c r="J155" s="30" t="str">
        <f>IFERROR(VLOOKUP($D155,Sheet1!$B$2:$S$333,12,FALSE),"")</f>
        <v/>
      </c>
      <c r="K155" s="30" t="str">
        <f>IFERROR(VLOOKUP($D155,Sheet1!$B$2:$S$333,14,FALSE),"")</f>
        <v/>
      </c>
      <c r="L155" s="30" t="str">
        <f>IFERROR(VLOOKUP($D155,Sheet1!$B$2:$S$333,16,FALSE),"")</f>
        <v/>
      </c>
      <c r="M155" s="30" t="str">
        <f>IFERROR(VLOOKUP($D155,Sheet1!$B$2:$S$333,18,FALSE),"")</f>
        <v/>
      </c>
    </row>
    <row r="156" spans="1:21" ht="23.25" customHeight="1" thickBot="1" x14ac:dyDescent="0.4">
      <c r="A156" s="22"/>
      <c r="B156" s="122"/>
      <c r="C156" s="398" t="s">
        <v>54</v>
      </c>
      <c r="D156" s="398"/>
      <c r="E156" s="398"/>
      <c r="F156" s="398"/>
      <c r="G156" s="398"/>
      <c r="H156" s="398"/>
      <c r="I156" s="398"/>
      <c r="J156" s="398"/>
      <c r="K156" s="398"/>
      <c r="L156" s="398"/>
      <c r="M156" s="399"/>
      <c r="U156" s="4" t="s">
        <v>55</v>
      </c>
    </row>
    <row r="157" spans="1:21" ht="23.25" customHeight="1" x14ac:dyDescent="0.45">
      <c r="B157" s="39"/>
      <c r="C157" s="129" t="str" cm="1">
        <f t="array" ref="C157:E160">_xlfn._xlws.FILTER(Sheet1!$A$2:$C$333,Sheet1!$C$2:$C$333='GAD DISPATCHER SCHEDULE'!$U$157)</f>
        <v>JAMES, BRAD</v>
      </c>
      <c r="D157" s="40" t="str">
        <v>1034348</v>
      </c>
      <c r="E157" s="41" t="str">
        <v>GREATLAKES - TRAINEE</v>
      </c>
      <c r="F157" s="125"/>
      <c r="G157" s="44" t="str">
        <f>IFERROR(VLOOKUP($D157,Sheet1!$B$2:$S$333,6,FALSE),"")</f>
        <v>CD-3-POST</v>
      </c>
      <c r="H157" s="44" t="str">
        <f>IFERROR(VLOOKUP($D157,Sheet1!$B$2:$S$333,8,FALSE),"")</f>
        <v>CD-3-POST</v>
      </c>
      <c r="I157" s="44" t="str">
        <f>IFERROR(VLOOKUP($D157,Sheet1!$B$2:$S$333,10,FALSE),"")</f>
        <v>OFF</v>
      </c>
      <c r="J157" s="44" t="str">
        <f>IFERROR(VLOOKUP($D157,Sheet1!$B$2:$S$333,12,FALSE),"")</f>
        <v>OFF</v>
      </c>
      <c r="K157" s="44" t="str">
        <f>IFERROR(VLOOKUP($D157,Sheet1!$B$2:$S$333,14,FALSE),"")</f>
        <v>CD-3-POST</v>
      </c>
      <c r="L157" s="44" t="str">
        <f>IFERROR(VLOOKUP($D157,Sheet1!$B$2:$S$333,16,FALSE),"")</f>
        <v>CD-3-POST</v>
      </c>
      <c r="M157" s="44" t="str">
        <f>IFERROR(VLOOKUP($D157,Sheet1!$B$2:$S$333,18,FALSE),"")</f>
        <v>CD-3-POST</v>
      </c>
      <c r="U157" s="4" t="s">
        <v>56</v>
      </c>
    </row>
    <row r="158" spans="1:21" ht="23.25" customHeight="1" x14ac:dyDescent="0.6">
      <c r="B158" s="45"/>
      <c r="C158" s="130" t="str">
        <v>LUMPKIN, MADISON</v>
      </c>
      <c r="D158" s="42" t="str">
        <v>1034345</v>
      </c>
      <c r="E158" s="43" t="str">
        <v>GREATLAKES - TRAINEE</v>
      </c>
      <c r="F158" s="126"/>
      <c r="G158" s="44" t="str">
        <f>IFERROR(VLOOKUP($D158,Sheet1!$B$2:$S$333,6,FALSE),"")</f>
        <v>CE-3-POST</v>
      </c>
      <c r="H158" s="44" t="str">
        <f>IFERROR(VLOOKUP($D158,Sheet1!$B$2:$S$333,8,FALSE),"")</f>
        <v>OFF</v>
      </c>
      <c r="I158" s="44" t="str">
        <f>IFERROR(VLOOKUP($D158,Sheet1!$B$2:$S$333,10,FALSE),"")</f>
        <v>CE-3-POST</v>
      </c>
      <c r="J158" s="44" t="str">
        <f>IFERROR(VLOOKUP($D158,Sheet1!$B$2:$S$333,12,FALSE),"")</f>
        <v>CE-3-POST</v>
      </c>
      <c r="K158" s="44" t="str">
        <f>IFERROR(VLOOKUP($D158,Sheet1!$B$2:$S$333,14,FALSE),"")</f>
        <v>CE-3-POST</v>
      </c>
      <c r="L158" s="44" t="str">
        <f>IFERROR(VLOOKUP($D158,Sheet1!$B$2:$S$333,16,FALSE),"")</f>
        <v>OFF</v>
      </c>
      <c r="M158" s="44" t="str">
        <f>IFERROR(VLOOKUP($D158,Sheet1!$B$2:$S$333,18,FALSE),"")</f>
        <v>CE-3-POST</v>
      </c>
      <c r="U158" s="4" t="s">
        <v>57</v>
      </c>
    </row>
    <row r="159" spans="1:21" ht="23.25" customHeight="1" x14ac:dyDescent="0.45">
      <c r="B159" s="39"/>
      <c r="C159" s="130" t="str">
        <v>NARBEN, GODWIN</v>
      </c>
      <c r="D159" s="42" t="str">
        <v>1034349</v>
      </c>
      <c r="E159" s="43" t="str">
        <v>GREATLAKES - TRAINEE</v>
      </c>
      <c r="F159" s="126"/>
      <c r="G159" s="44" t="str">
        <f>IFERROR(VLOOKUP($D159,Sheet1!$B$2:$S$333,6,FALSE),"")</f>
        <v>OFF</v>
      </c>
      <c r="H159" s="44" t="str">
        <f>IFERROR(VLOOKUP($D159,Sheet1!$B$2:$S$333,8,FALSE),"")</f>
        <v>SA-2-POST</v>
      </c>
      <c r="I159" s="44" t="str">
        <f>IFERROR(VLOOKUP($D159,Sheet1!$B$2:$S$333,10,FALSE),"")</f>
        <v>SA-2-POST</v>
      </c>
      <c r="J159" s="44" t="str">
        <f>IFERROR(VLOOKUP($D159,Sheet1!$B$2:$S$333,12,FALSE),"")</f>
        <v>SA-2-POST</v>
      </c>
      <c r="K159" s="44" t="str">
        <f>IFERROR(VLOOKUP($D159,Sheet1!$B$2:$S$333,14,FALSE),"")</f>
        <v>KN-3-POST</v>
      </c>
      <c r="L159" s="44" t="str">
        <f>IFERROR(VLOOKUP($D159,Sheet1!$B$2:$S$333,16,FALSE),"")</f>
        <v>KN-3-POST</v>
      </c>
      <c r="M159" s="44" t="str">
        <f>IFERROR(VLOOKUP($D159,Sheet1!$B$2:$S$333,18,FALSE),"")</f>
        <v>OFF</v>
      </c>
      <c r="U159" s="4" t="s">
        <v>58</v>
      </c>
    </row>
    <row r="160" spans="1:21" ht="23.25" customHeight="1" x14ac:dyDescent="0.45">
      <c r="B160" s="39"/>
      <c r="C160" s="130" t="str">
        <v>WAVER, ANDREW</v>
      </c>
      <c r="D160" s="42" t="str">
        <v>1024135</v>
      </c>
      <c r="E160" s="43" t="str">
        <v>GREATLAKES - TRAINEE</v>
      </c>
      <c r="F160" s="126"/>
      <c r="G160" s="44" t="str">
        <f>IFERROR(VLOOKUP($D160,Sheet1!$B$2:$S$333,6,FALSE),"")</f>
        <v>CG-1-POST</v>
      </c>
      <c r="H160" s="44" t="str">
        <f>IFERROR(VLOOKUP($D160,Sheet1!$B$2:$S$333,8,FALSE),"")</f>
        <v>OFF</v>
      </c>
      <c r="I160" s="44" t="str">
        <f>IFERROR(VLOOKUP($D160,Sheet1!$B$2:$S$333,10,FALSE),"")</f>
        <v>OFF</v>
      </c>
      <c r="J160" s="44" t="str">
        <f>IFERROR(VLOOKUP($D160,Sheet1!$B$2:$S$333,12,FALSE),"")</f>
        <v>CG-2-POST</v>
      </c>
      <c r="K160" s="44" t="str">
        <f>IFERROR(VLOOKUP($D160,Sheet1!$B$2:$S$333,14,FALSE),"")</f>
        <v>CG-2-POST</v>
      </c>
      <c r="L160" s="44" t="str">
        <f>IFERROR(VLOOKUP($D160,Sheet1!$B$2:$S$333,16,FALSE),"")</f>
        <v>CG-2-POST</v>
      </c>
      <c r="M160" s="44" t="str">
        <f>IFERROR(VLOOKUP($D160,Sheet1!$B$2:$S$333,18,FALSE),"")</f>
        <v>CG-2-POST</v>
      </c>
      <c r="U160" s="4" t="s">
        <v>59</v>
      </c>
    </row>
    <row r="161" spans="1:21" ht="23.25" customHeight="1" x14ac:dyDescent="0.45">
      <c r="B161" s="39"/>
      <c r="C161" s="130"/>
      <c r="D161" s="42"/>
      <c r="E161" s="43"/>
      <c r="F161" s="126"/>
      <c r="G161" s="44" t="str">
        <f>IFERROR(VLOOKUP($D161,Sheet1!$B$2:$S$333,6,FALSE),"")</f>
        <v/>
      </c>
      <c r="H161" s="44" t="str">
        <f>IFERROR(VLOOKUP($D161,Sheet1!$B$2:$S$333,8,FALSE),"")</f>
        <v/>
      </c>
      <c r="I161" s="44" t="str">
        <f>IFERROR(VLOOKUP($D161,Sheet1!$B$2:$S$333,10,FALSE),"")</f>
        <v/>
      </c>
      <c r="J161" s="44" t="str">
        <f>IFERROR(VLOOKUP($D161,Sheet1!$B$2:$S$333,12,FALSE),"")</f>
        <v/>
      </c>
      <c r="K161" s="44" t="str">
        <f>IFERROR(VLOOKUP($D161,Sheet1!$B$2:$S$333,14,FALSE),"")</f>
        <v/>
      </c>
      <c r="L161" s="44" t="str">
        <f>IFERROR(VLOOKUP($D161,Sheet1!$B$2:$S$333,16,FALSE),"")</f>
        <v/>
      </c>
      <c r="M161" s="44" t="str">
        <f>IFERROR(VLOOKUP($D161,Sheet1!$B$2:$S$333,18,FALSE),"")</f>
        <v/>
      </c>
      <c r="U161" s="4" t="s">
        <v>60</v>
      </c>
    </row>
    <row r="162" spans="1:21" ht="23.25" customHeight="1" x14ac:dyDescent="0.45">
      <c r="B162" s="47"/>
      <c r="C162" s="130"/>
      <c r="D162" s="42"/>
      <c r="E162" s="43"/>
      <c r="F162" s="126"/>
      <c r="G162" s="44" t="str">
        <f>IFERROR(VLOOKUP($D162,Sheet1!$B$2:$S$333,6,FALSE),"")</f>
        <v/>
      </c>
      <c r="H162" s="44" t="str">
        <f>IFERROR(VLOOKUP($D162,Sheet1!$B$2:$S$333,8,FALSE),"")</f>
        <v/>
      </c>
      <c r="I162" s="44" t="str">
        <f>IFERROR(VLOOKUP($D162,Sheet1!$B$2:$S$333,10,FALSE),"")</f>
        <v/>
      </c>
      <c r="J162" s="44" t="str">
        <f>IFERROR(VLOOKUP($D162,Sheet1!$B$2:$S$333,12,FALSE),"")</f>
        <v/>
      </c>
      <c r="K162" s="44" t="str">
        <f>IFERROR(VLOOKUP($D162,Sheet1!$B$2:$S$333,14,FALSE),"")</f>
        <v/>
      </c>
      <c r="L162" s="44" t="str">
        <f>IFERROR(VLOOKUP($D162,Sheet1!$B$2:$S$333,16,FALSE),"")</f>
        <v/>
      </c>
      <c r="M162" s="44" t="str">
        <f>IFERROR(VLOOKUP($D162,Sheet1!$B$2:$S$333,18,FALSE),"")</f>
        <v/>
      </c>
    </row>
    <row r="163" spans="1:21" ht="23.25" customHeight="1" x14ac:dyDescent="0.45">
      <c r="B163" s="48"/>
      <c r="C163" s="130"/>
      <c r="D163" s="42"/>
      <c r="E163" s="43"/>
      <c r="F163" s="126"/>
      <c r="G163" s="44" t="str">
        <f>IFERROR(VLOOKUP($D163,Sheet1!$B$2:$S$333,6,FALSE),"")</f>
        <v/>
      </c>
      <c r="H163" s="44" t="str">
        <f>IFERROR(VLOOKUP($D163,Sheet1!$B$2:$S$333,8,FALSE),"")</f>
        <v/>
      </c>
      <c r="I163" s="44" t="str">
        <f>IFERROR(VLOOKUP($D163,Sheet1!$B$2:$S$333,10,FALSE),"")</f>
        <v/>
      </c>
      <c r="J163" s="44" t="str">
        <f>IFERROR(VLOOKUP($D163,Sheet1!$B$2:$S$333,12,FALSE),"")</f>
        <v/>
      </c>
      <c r="K163" s="44" t="str">
        <f>IFERROR(VLOOKUP($D163,Sheet1!$B$2:$S$333,14,FALSE),"")</f>
        <v/>
      </c>
      <c r="L163" s="44" t="str">
        <f>IFERROR(VLOOKUP($D163,Sheet1!$B$2:$S$333,16,FALSE),"")</f>
        <v/>
      </c>
      <c r="M163" s="44" t="str">
        <f>IFERROR(VLOOKUP($D163,Sheet1!$B$2:$S$333,18,FALSE),"")</f>
        <v/>
      </c>
    </row>
    <row r="164" spans="1:21" ht="23.25" customHeight="1" x14ac:dyDescent="0.45">
      <c r="B164" s="49"/>
      <c r="C164" s="130"/>
      <c r="D164" s="42"/>
      <c r="E164" s="43"/>
      <c r="F164" s="126"/>
      <c r="G164" s="44" t="str">
        <f>IFERROR(VLOOKUP($D164,Sheet1!$B$2:$S$333,6,FALSE),"")</f>
        <v/>
      </c>
      <c r="H164" s="44" t="str">
        <f>IFERROR(VLOOKUP($D164,Sheet1!$B$2:$S$333,8,FALSE),"")</f>
        <v/>
      </c>
      <c r="I164" s="44" t="str">
        <f>IFERROR(VLOOKUP($D164,Sheet1!$B$2:$S$333,10,FALSE),"")</f>
        <v/>
      </c>
      <c r="J164" s="44" t="str">
        <f>IFERROR(VLOOKUP($D164,Sheet1!$B$2:$S$333,12,FALSE),"")</f>
        <v/>
      </c>
      <c r="K164" s="44" t="str">
        <f>IFERROR(VLOOKUP($D164,Sheet1!$B$2:$S$333,14,FALSE),"")</f>
        <v/>
      </c>
      <c r="L164" s="44" t="str">
        <f>IFERROR(VLOOKUP($D164,Sheet1!$B$2:$S$333,16,FALSE),"")</f>
        <v/>
      </c>
      <c r="M164" s="44" t="str">
        <f>IFERROR(VLOOKUP($D164,Sheet1!$B$2:$S$333,18,FALSE),"")</f>
        <v/>
      </c>
    </row>
    <row r="165" spans="1:21" ht="23.25" customHeight="1" x14ac:dyDescent="0.45">
      <c r="B165" s="49"/>
      <c r="C165" s="130"/>
      <c r="D165" s="42"/>
      <c r="E165" s="43"/>
      <c r="F165" s="126"/>
      <c r="G165" s="44" t="str">
        <f>IFERROR(VLOOKUP($D165,Sheet1!$B$2:$S$333,6,FALSE),"")</f>
        <v/>
      </c>
      <c r="H165" s="44" t="str">
        <f>IFERROR(VLOOKUP($D165,Sheet1!$B$2:$S$333,8,FALSE),"")</f>
        <v/>
      </c>
      <c r="I165" s="44" t="str">
        <f>IFERROR(VLOOKUP($D165,Sheet1!$B$2:$S$333,10,FALSE),"")</f>
        <v/>
      </c>
      <c r="J165" s="44" t="str">
        <f>IFERROR(VLOOKUP($D165,Sheet1!$B$2:$S$333,12,FALSE),"")</f>
        <v/>
      </c>
      <c r="K165" s="44" t="str">
        <f>IFERROR(VLOOKUP($D165,Sheet1!$B$2:$S$333,14,FALSE),"")</f>
        <v/>
      </c>
      <c r="L165" s="44" t="str">
        <f>IFERROR(VLOOKUP($D165,Sheet1!$B$2:$S$333,16,FALSE),"")</f>
        <v/>
      </c>
      <c r="M165" s="44" t="str">
        <f>IFERROR(VLOOKUP($D165,Sheet1!$B$2:$S$333,18,FALSE),"")</f>
        <v/>
      </c>
    </row>
    <row r="166" spans="1:21" ht="23.25" customHeight="1" thickBot="1" x14ac:dyDescent="0.5">
      <c r="B166" s="50"/>
      <c r="C166" s="131"/>
      <c r="D166" s="51"/>
      <c r="E166" s="52"/>
      <c r="F166" s="128"/>
      <c r="G166" s="44" t="str">
        <f>IFERROR(VLOOKUP($D166,Sheet1!$B$2:$S$333,6,FALSE),"")</f>
        <v/>
      </c>
      <c r="H166" s="44" t="str">
        <f>IFERROR(VLOOKUP($D166,Sheet1!$B$2:$S$333,8,FALSE),"")</f>
        <v/>
      </c>
      <c r="I166" s="44" t="str">
        <f>IFERROR(VLOOKUP($D166,Sheet1!$B$2:$S$333,10,FALSE),"")</f>
        <v/>
      </c>
      <c r="J166" s="44" t="str">
        <f>IFERROR(VLOOKUP($D166,Sheet1!$B$2:$S$333,12,FALSE),"")</f>
        <v/>
      </c>
      <c r="K166" s="44" t="str">
        <f>IFERROR(VLOOKUP($D166,Sheet1!$B$2:$S$333,14,FALSE),"")</f>
        <v/>
      </c>
      <c r="L166" s="44" t="str">
        <f>IFERROR(VLOOKUP($D166,Sheet1!$B$2:$S$333,16,FALSE),"")</f>
        <v/>
      </c>
      <c r="M166" s="44" t="str">
        <f>IFERROR(VLOOKUP($D166,Sheet1!$B$2:$S$333,18,FALSE),"")</f>
        <v/>
      </c>
    </row>
    <row r="167" spans="1:21" ht="23.25" customHeight="1" thickBot="1" x14ac:dyDescent="0.4">
      <c r="A167" s="22"/>
      <c r="B167" s="122"/>
      <c r="C167" s="398" t="s">
        <v>61</v>
      </c>
      <c r="D167" s="398"/>
      <c r="E167" s="398"/>
      <c r="F167" s="398"/>
      <c r="G167" s="398"/>
      <c r="H167" s="398"/>
      <c r="I167" s="398"/>
      <c r="J167" s="398"/>
      <c r="K167" s="398"/>
      <c r="L167" s="398"/>
      <c r="M167" s="399"/>
    </row>
    <row r="168" spans="1:21" ht="23.25" customHeight="1" x14ac:dyDescent="0.45">
      <c r="B168" s="53"/>
      <c r="C168" s="132" t="str" cm="1">
        <f t="array" ref="C168:E170">_xlfn._xlws.FILTER(Sheet1!$A$2:$C$333,Sheet1!$C$2:$C$333='GAD DISPATCHER SCHEDULE'!$U$158)</f>
        <v>IUSCEAC, MARC</v>
      </c>
      <c r="D168" s="54" t="str">
        <v>1029927</v>
      </c>
      <c r="E168" s="55" t="str">
        <v>MIDWEST - TRAINEE</v>
      </c>
      <c r="F168" s="125"/>
      <c r="G168" s="58" t="str">
        <f>IFERROR(VLOOKUP($D168,Sheet1!$B$2:$S$333,6,FALSE),"")</f>
        <v>CN-3-POST</v>
      </c>
      <c r="H168" s="58" t="str">
        <f>IFERROR(VLOOKUP($D168,Sheet1!$B$2:$S$333,8,FALSE),"")</f>
        <v>CN-3-POST</v>
      </c>
      <c r="I168" s="58" t="str">
        <f>IFERROR(VLOOKUP($D168,Sheet1!$B$2:$S$333,10,FALSE),"")</f>
        <v>CN-3-POST</v>
      </c>
      <c r="J168" s="58" t="str">
        <f>IFERROR(VLOOKUP($D168,Sheet1!$B$2:$S$333,12,FALSE),"")</f>
        <v>CN-3-POST</v>
      </c>
      <c r="K168" s="58" t="str">
        <f>IFERROR(VLOOKUP($D168,Sheet1!$B$2:$S$333,14,FALSE),"")</f>
        <v>OFF</v>
      </c>
      <c r="L168" s="58" t="str">
        <f>IFERROR(VLOOKUP($D168,Sheet1!$B$2:$S$333,16,FALSE),"")</f>
        <v>OFF</v>
      </c>
      <c r="M168" s="58" t="str">
        <f>IFERROR(VLOOKUP($D168,Sheet1!$B$2:$S$333,18,FALSE),"")</f>
        <v>CN-3-POST</v>
      </c>
    </row>
    <row r="169" spans="1:21" ht="23.25" customHeight="1" x14ac:dyDescent="0.45">
      <c r="B169" s="53"/>
      <c r="C169" s="133" t="str">
        <v>ROSSER, JARREL</v>
      </c>
      <c r="D169" s="56" t="str">
        <v>1034344</v>
      </c>
      <c r="E169" s="57" t="str">
        <v>MIDWEST - TRAINEE</v>
      </c>
      <c r="F169" s="126"/>
      <c r="G169" s="58" t="str">
        <f>IFERROR(VLOOKUP($D169,Sheet1!$B$2:$S$333,6,FALSE),"")</f>
        <v>OFF</v>
      </c>
      <c r="H169" s="58" t="str">
        <f>IFERROR(VLOOKUP($D169,Sheet1!$B$2:$S$333,8,FALSE),"")</f>
        <v>OFF</v>
      </c>
      <c r="I169" s="58" t="str">
        <f>IFERROR(VLOOKUP($D169,Sheet1!$B$2:$S$333,10,FALSE),"")</f>
        <v>LF-1-POST</v>
      </c>
      <c r="J169" s="58" t="str">
        <f>IFERROR(VLOOKUP($D169,Sheet1!$B$2:$S$333,12,FALSE),"")</f>
        <v>LF-1-POST</v>
      </c>
      <c r="K169" s="58" t="str">
        <f>IFERROR(VLOOKUP($D169,Sheet1!$B$2:$S$333,14,FALSE),"")</f>
        <v>LF-1-POST</v>
      </c>
      <c r="L169" s="58" t="str">
        <f>IFERROR(VLOOKUP($D169,Sheet1!$B$2:$S$333,16,FALSE),"")</f>
        <v>LF-1-POST</v>
      </c>
      <c r="M169" s="58" t="str">
        <f>IFERROR(VLOOKUP($D169,Sheet1!$B$2:$S$333,18,FALSE),"")</f>
        <v>LF-1-POST</v>
      </c>
    </row>
    <row r="170" spans="1:21" ht="23.25" customHeight="1" x14ac:dyDescent="0.6">
      <c r="B170" s="59"/>
      <c r="C170" s="133" t="str">
        <v>STEELE, DAKOTA</v>
      </c>
      <c r="D170" s="56" t="str">
        <v>1009803</v>
      </c>
      <c r="E170" s="57" t="str">
        <v>MIDWEST - TRAINEE</v>
      </c>
      <c r="F170" s="126"/>
      <c r="G170" s="58" t="str">
        <f>IFERROR(VLOOKUP($D170,Sheet1!$B$2:$S$333,6,FALSE),"")</f>
        <v>OFF</v>
      </c>
      <c r="H170" s="58" t="str">
        <f>IFERROR(VLOOKUP($D170,Sheet1!$B$2:$S$333,8,FALSE),"")</f>
        <v>KY-3-POST</v>
      </c>
      <c r="I170" s="58" t="str">
        <f>IFERROR(VLOOKUP($D170,Sheet1!$B$2:$S$333,10,FALSE),"")</f>
        <v>KY-3-POST</v>
      </c>
      <c r="J170" s="58" t="str">
        <f>IFERROR(VLOOKUP($D170,Sheet1!$B$2:$S$333,12,FALSE),"")</f>
        <v>KY-3-POST</v>
      </c>
      <c r="K170" s="58" t="str">
        <f>IFERROR(VLOOKUP($D170,Sheet1!$B$2:$S$333,14,FALSE),"")</f>
        <v>OFF</v>
      </c>
      <c r="L170" s="58" t="str">
        <f>IFERROR(VLOOKUP($D170,Sheet1!$B$2:$S$333,16,FALSE),"")</f>
        <v>KY-2-POST</v>
      </c>
      <c r="M170" s="58" t="str">
        <f>IFERROR(VLOOKUP($D170,Sheet1!$B$2:$S$333,18,FALSE),"")</f>
        <v>KY-2-POST</v>
      </c>
    </row>
    <row r="171" spans="1:21" ht="23.25" customHeight="1" x14ac:dyDescent="0.6">
      <c r="B171" s="59"/>
      <c r="C171" s="133"/>
      <c r="D171" s="56"/>
      <c r="E171" s="57"/>
      <c r="F171" s="126"/>
      <c r="G171" s="58" t="str">
        <f>IFERROR(VLOOKUP($D171,Sheet1!$B$2:$S$333,6,FALSE),"")</f>
        <v/>
      </c>
      <c r="H171" s="58" t="str">
        <f>IFERROR(VLOOKUP($D171,Sheet1!$B$2:$S$333,8,FALSE),"")</f>
        <v/>
      </c>
      <c r="I171" s="58" t="str">
        <f>IFERROR(VLOOKUP($D171,Sheet1!$B$2:$S$333,10,FALSE),"")</f>
        <v/>
      </c>
      <c r="J171" s="58" t="str">
        <f>IFERROR(VLOOKUP($D171,Sheet1!$B$2:$S$333,12,FALSE),"")</f>
        <v/>
      </c>
      <c r="K171" s="58" t="str">
        <f>IFERROR(VLOOKUP($D171,Sheet1!$B$2:$S$333,14,FALSE),"")</f>
        <v/>
      </c>
      <c r="L171" s="58" t="str">
        <f>IFERROR(VLOOKUP($D171,Sheet1!$B$2:$S$333,16,FALSE),"")</f>
        <v/>
      </c>
      <c r="M171" s="58" t="str">
        <f>IFERROR(VLOOKUP($D171,Sheet1!$B$2:$S$333,18,FALSE),"")</f>
        <v/>
      </c>
    </row>
    <row r="172" spans="1:21" ht="23.25" customHeight="1" x14ac:dyDescent="0.6">
      <c r="B172" s="134"/>
      <c r="C172" s="133"/>
      <c r="D172" s="56"/>
      <c r="E172" s="57"/>
      <c r="F172" s="126"/>
      <c r="G172" s="58" t="str">
        <f>IFERROR(VLOOKUP($D172,Sheet1!$B$2:$S$333,6,FALSE),"")</f>
        <v/>
      </c>
      <c r="H172" s="58" t="str">
        <f>IFERROR(VLOOKUP($D172,Sheet1!$B$2:$S$333,8,FALSE),"")</f>
        <v/>
      </c>
      <c r="I172" s="58" t="str">
        <f>IFERROR(VLOOKUP($D172,Sheet1!$B$2:$S$333,10,FALSE),"")</f>
        <v/>
      </c>
      <c r="J172" s="58" t="str">
        <f>IFERROR(VLOOKUP($D172,Sheet1!$B$2:$S$333,12,FALSE),"")</f>
        <v/>
      </c>
      <c r="K172" s="58" t="str">
        <f>IFERROR(VLOOKUP($D172,Sheet1!$B$2:$S$333,14,FALSE),"")</f>
        <v/>
      </c>
      <c r="L172" s="58" t="str">
        <f>IFERROR(VLOOKUP($D172,Sheet1!$B$2:$S$333,16,FALSE),"")</f>
        <v/>
      </c>
      <c r="M172" s="58" t="str">
        <f>IFERROR(VLOOKUP($D172,Sheet1!$B$2:$S$333,18,FALSE),"")</f>
        <v/>
      </c>
    </row>
    <row r="173" spans="1:21" ht="23.25" customHeight="1" x14ac:dyDescent="0.45">
      <c r="B173" s="60"/>
      <c r="C173" s="133"/>
      <c r="D173" s="56"/>
      <c r="E173" s="57"/>
      <c r="F173" s="126"/>
      <c r="G173" s="58" t="str">
        <f>IFERROR(VLOOKUP($D173,Sheet1!$B$2:$S$333,6,FALSE),"")</f>
        <v/>
      </c>
      <c r="H173" s="58" t="str">
        <f>IFERROR(VLOOKUP($D173,Sheet1!$B$2:$S$333,8,FALSE),"")</f>
        <v/>
      </c>
      <c r="I173" s="58" t="str">
        <f>IFERROR(VLOOKUP($D173,Sheet1!$B$2:$S$333,10,FALSE),"")</f>
        <v/>
      </c>
      <c r="J173" s="58" t="str">
        <f>IFERROR(VLOOKUP($D173,Sheet1!$B$2:$S$333,12,FALSE),"")</f>
        <v/>
      </c>
      <c r="K173" s="58" t="str">
        <f>IFERROR(VLOOKUP($D173,Sheet1!$B$2:$S$333,14,FALSE),"")</f>
        <v/>
      </c>
      <c r="L173" s="58" t="str">
        <f>IFERROR(VLOOKUP($D173,Sheet1!$B$2:$S$333,16,FALSE),"")</f>
        <v/>
      </c>
      <c r="M173" s="58" t="str">
        <f>IFERROR(VLOOKUP($D173,Sheet1!$B$2:$S$333,18,FALSE),"")</f>
        <v/>
      </c>
    </row>
    <row r="174" spans="1:21" ht="23.25" customHeight="1" x14ac:dyDescent="0.45">
      <c r="B174" s="61"/>
      <c r="C174" s="133"/>
      <c r="D174" s="56"/>
      <c r="E174" s="57"/>
      <c r="F174" s="126"/>
      <c r="G174" s="58" t="str">
        <f>IFERROR(VLOOKUP($D174,Sheet1!$B$2:$S$333,6,FALSE),"")</f>
        <v/>
      </c>
      <c r="H174" s="58" t="str">
        <f>IFERROR(VLOOKUP($D174,Sheet1!$B$2:$S$333,8,FALSE),"")</f>
        <v/>
      </c>
      <c r="I174" s="58" t="str">
        <f>IFERROR(VLOOKUP($D174,Sheet1!$B$2:$S$333,10,FALSE),"")</f>
        <v/>
      </c>
      <c r="J174" s="58" t="str">
        <f>IFERROR(VLOOKUP($D174,Sheet1!$B$2:$S$333,12,FALSE),"")</f>
        <v/>
      </c>
      <c r="K174" s="58" t="str">
        <f>IFERROR(VLOOKUP($D174,Sheet1!$B$2:$S$333,14,FALSE),"")</f>
        <v/>
      </c>
      <c r="L174" s="58" t="str">
        <f>IFERROR(VLOOKUP($D174,Sheet1!$B$2:$S$333,16,FALSE),"")</f>
        <v/>
      </c>
      <c r="M174" s="58" t="str">
        <f>IFERROR(VLOOKUP($D174,Sheet1!$B$2:$S$333,18,FALSE),"")</f>
        <v/>
      </c>
    </row>
    <row r="175" spans="1:21" ht="23.25" customHeight="1" x14ac:dyDescent="0.45">
      <c r="B175" s="61"/>
      <c r="C175" s="133"/>
      <c r="D175" s="56"/>
      <c r="E175" s="57"/>
      <c r="F175" s="126"/>
      <c r="G175" s="58" t="str">
        <f>IFERROR(VLOOKUP($D175,Sheet1!$B$2:$S$333,6,FALSE),"")</f>
        <v/>
      </c>
      <c r="H175" s="58" t="str">
        <f>IFERROR(VLOOKUP($D175,Sheet1!$B$2:$S$333,8,FALSE),"")</f>
        <v/>
      </c>
      <c r="I175" s="58" t="str">
        <f>IFERROR(VLOOKUP($D175,Sheet1!$B$2:$S$333,10,FALSE),"")</f>
        <v/>
      </c>
      <c r="J175" s="58" t="str">
        <f>IFERROR(VLOOKUP($D175,Sheet1!$B$2:$S$333,12,FALSE),"")</f>
        <v/>
      </c>
      <c r="K175" s="58" t="str">
        <f>IFERROR(VLOOKUP($D175,Sheet1!$B$2:$S$333,14,FALSE),"")</f>
        <v/>
      </c>
      <c r="L175" s="58" t="str">
        <f>IFERROR(VLOOKUP($D175,Sheet1!$B$2:$S$333,16,FALSE),"")</f>
        <v/>
      </c>
      <c r="M175" s="58" t="str">
        <f>IFERROR(VLOOKUP($D175,Sheet1!$B$2:$S$333,18,FALSE),"")</f>
        <v/>
      </c>
    </row>
    <row r="176" spans="1:21" ht="23.25" customHeight="1" x14ac:dyDescent="0.45">
      <c r="B176" s="61"/>
      <c r="C176" s="133"/>
      <c r="D176" s="56"/>
      <c r="E176" s="57"/>
      <c r="F176" s="126"/>
      <c r="G176" s="58" t="str">
        <f>IFERROR(VLOOKUP($D176,Sheet1!$B$2:$S$333,6,FALSE),"")</f>
        <v/>
      </c>
      <c r="H176" s="58" t="str">
        <f>IFERROR(VLOOKUP($D176,Sheet1!$B$2:$S$333,8,FALSE),"")</f>
        <v/>
      </c>
      <c r="I176" s="58" t="str">
        <f>IFERROR(VLOOKUP($D176,Sheet1!$B$2:$S$333,10,FALSE),"")</f>
        <v/>
      </c>
      <c r="J176" s="58" t="str">
        <f>IFERROR(VLOOKUP($D176,Sheet1!$B$2:$S$333,12,FALSE),"")</f>
        <v/>
      </c>
      <c r="K176" s="58" t="str">
        <f>IFERROR(VLOOKUP($D176,Sheet1!$B$2:$S$333,14,FALSE),"")</f>
        <v/>
      </c>
      <c r="L176" s="58" t="str">
        <f>IFERROR(VLOOKUP($D176,Sheet1!$B$2:$S$333,16,FALSE),"")</f>
        <v/>
      </c>
      <c r="M176" s="58" t="str">
        <f>IFERROR(VLOOKUP($D176,Sheet1!$B$2:$S$333,18,FALSE),"")</f>
        <v/>
      </c>
    </row>
    <row r="177" spans="1:20" ht="23.25" customHeight="1" thickBot="1" x14ac:dyDescent="0.5">
      <c r="B177" s="62"/>
      <c r="C177" s="135"/>
      <c r="D177" s="63"/>
      <c r="E177" s="64"/>
      <c r="F177" s="128"/>
      <c r="G177" s="58" t="str">
        <f>IFERROR(VLOOKUP($D177,Sheet1!$B$2:$S$333,6,FALSE),"")</f>
        <v/>
      </c>
      <c r="H177" s="58" t="str">
        <f>IFERROR(VLOOKUP($D177,Sheet1!$B$2:$S$333,8,FALSE),"")</f>
        <v/>
      </c>
      <c r="I177" s="58" t="str">
        <f>IFERROR(VLOOKUP($D177,Sheet1!$B$2:$S$333,10,FALSE),"")</f>
        <v/>
      </c>
      <c r="J177" s="58" t="str">
        <f>IFERROR(VLOOKUP($D177,Sheet1!$B$2:$S$333,12,FALSE),"")</f>
        <v/>
      </c>
      <c r="K177" s="58" t="str">
        <f>IFERROR(VLOOKUP($D177,Sheet1!$B$2:$S$333,14,FALSE),"")</f>
        <v/>
      </c>
      <c r="L177" s="58" t="str">
        <f>IFERROR(VLOOKUP($D177,Sheet1!$B$2:$S$333,16,FALSE),"")</f>
        <v/>
      </c>
      <c r="M177" s="58" t="str">
        <f>IFERROR(VLOOKUP($D177,Sheet1!$B$2:$S$333,18,FALSE),"")</f>
        <v/>
      </c>
    </row>
    <row r="178" spans="1:20" ht="23.25" customHeight="1" thickBot="1" x14ac:dyDescent="0.4">
      <c r="A178" s="22"/>
      <c r="B178" s="122"/>
      <c r="C178" s="398" t="s">
        <v>62</v>
      </c>
      <c r="D178" s="398"/>
      <c r="E178" s="398"/>
      <c r="F178" s="398"/>
      <c r="G178" s="398"/>
      <c r="H178" s="398"/>
      <c r="I178" s="398"/>
      <c r="J178" s="398"/>
      <c r="K178" s="398"/>
      <c r="L178" s="398"/>
      <c r="M178" s="399"/>
    </row>
    <row r="179" spans="1:20" ht="23.25" customHeight="1" x14ac:dyDescent="0.5">
      <c r="B179" s="65"/>
      <c r="C179" s="136" t="str" cm="1">
        <f t="array" ref="C179:E179">_xlfn._xlws.FILTER(Sheet1!$A$2:$C$333,Sheet1!$C$2:$C$333='GAD DISPATCHER SCHEDULE'!$U$159)</f>
        <v>DILLARD, ROBERT</v>
      </c>
      <c r="D179" s="25" t="str">
        <v>1021261</v>
      </c>
      <c r="E179" s="26" t="str">
        <v>COASTAL - TRAINEE</v>
      </c>
      <c r="F179" s="125"/>
      <c r="G179" s="58" t="str">
        <f>IFERROR(VLOOKUP($D179,Sheet1!$B$2:$S$333,6,FALSE),"")</f>
        <v>OFF</v>
      </c>
      <c r="H179" s="58" t="str">
        <f>IFERROR(VLOOKUP($D179,Sheet1!$B$2:$S$333,8,FALSE),"")</f>
        <v>SV-3-POST</v>
      </c>
      <c r="I179" s="58" t="str">
        <f>IFERROR(VLOOKUP($D179,Sheet1!$B$2:$S$333,10,FALSE),"")</f>
        <v>SV-3-POST</v>
      </c>
      <c r="J179" s="58" t="str">
        <f>IFERROR(VLOOKUP($D179,Sheet1!$B$2:$S$333,12,FALSE),"")</f>
        <v>SV-3-POST</v>
      </c>
      <c r="K179" s="58" t="str">
        <f>IFERROR(VLOOKUP($D179,Sheet1!$B$2:$S$333,14,FALSE),"")</f>
        <v>OFF</v>
      </c>
      <c r="L179" s="58" t="str">
        <f>IFERROR(VLOOKUP($D179,Sheet1!$B$2:$S$333,16,FALSE),"")</f>
        <v>SV-3-POST</v>
      </c>
      <c r="M179" s="58" t="str">
        <f>IFERROR(VLOOKUP($D179,Sheet1!$B$2:$S$333,18,FALSE),"")</f>
        <v>SV-3-POST</v>
      </c>
    </row>
    <row r="180" spans="1:20" ht="23.25" customHeight="1" x14ac:dyDescent="0.6">
      <c r="B180" s="70"/>
      <c r="C180" s="137"/>
      <c r="D180" s="27"/>
      <c r="E180" s="28"/>
      <c r="F180" s="126"/>
      <c r="G180" s="58" t="str">
        <f>IFERROR(VLOOKUP($D180,Sheet1!$B$2:$S$333,6,FALSE),"")</f>
        <v/>
      </c>
      <c r="H180" s="58" t="str">
        <f>IFERROR(VLOOKUP($D180,Sheet1!$B$2:$S$333,8,FALSE),"")</f>
        <v/>
      </c>
      <c r="I180" s="58" t="str">
        <f>IFERROR(VLOOKUP($D180,Sheet1!$B$2:$S$333,10,FALSE),"")</f>
        <v/>
      </c>
      <c r="J180" s="58" t="str">
        <f>IFERROR(VLOOKUP($D180,Sheet1!$B$2:$S$333,12,FALSE),"")</f>
        <v/>
      </c>
      <c r="K180" s="58" t="str">
        <f>IFERROR(VLOOKUP($D180,Sheet1!$B$2:$S$333,14,FALSE),"")</f>
        <v/>
      </c>
      <c r="L180" s="58" t="str">
        <f>IFERROR(VLOOKUP($D180,Sheet1!$B$2:$S$333,16,FALSE),"")</f>
        <v/>
      </c>
      <c r="M180" s="58" t="str">
        <f>IFERROR(VLOOKUP($D180,Sheet1!$B$2:$S$333,18,FALSE),"")</f>
        <v/>
      </c>
    </row>
    <row r="181" spans="1:20" ht="23.25" customHeight="1" x14ac:dyDescent="0.45">
      <c r="B181" s="32"/>
      <c r="C181" s="137"/>
      <c r="D181" s="27"/>
      <c r="E181" s="28"/>
      <c r="F181" s="126"/>
      <c r="G181" s="58" t="str">
        <f>IFERROR(VLOOKUP($D181,Sheet1!$B$2:$S$333,6,FALSE),"")</f>
        <v/>
      </c>
      <c r="H181" s="58" t="str">
        <f>IFERROR(VLOOKUP($D181,Sheet1!$B$2:$S$333,8,FALSE),"")</f>
        <v/>
      </c>
      <c r="I181" s="58" t="str">
        <f>IFERROR(VLOOKUP($D181,Sheet1!$B$2:$S$333,10,FALSE),"")</f>
        <v/>
      </c>
      <c r="J181" s="58" t="str">
        <f>IFERROR(VLOOKUP($D181,Sheet1!$B$2:$S$333,12,FALSE),"")</f>
        <v/>
      </c>
      <c r="K181" s="58" t="str">
        <f>IFERROR(VLOOKUP($D181,Sheet1!$B$2:$S$333,14,FALSE),"")</f>
        <v/>
      </c>
      <c r="L181" s="58" t="str">
        <f>IFERROR(VLOOKUP($D181,Sheet1!$B$2:$S$333,16,FALSE),"")</f>
        <v/>
      </c>
      <c r="M181" s="58" t="str">
        <f>IFERROR(VLOOKUP($D181,Sheet1!$B$2:$S$333,18,FALSE),"")</f>
        <v/>
      </c>
    </row>
    <row r="182" spans="1:20" ht="23.25" customHeight="1" x14ac:dyDescent="0.45">
      <c r="B182" s="32"/>
      <c r="C182" s="137"/>
      <c r="D182" s="27"/>
      <c r="E182" s="28"/>
      <c r="F182" s="126"/>
      <c r="G182" s="58" t="str">
        <f>IFERROR(VLOOKUP($D182,Sheet1!$B$2:$S$333,6,FALSE),"")</f>
        <v/>
      </c>
      <c r="H182" s="58" t="str">
        <f>IFERROR(VLOOKUP($D182,Sheet1!$B$2:$S$333,8,FALSE),"")</f>
        <v/>
      </c>
      <c r="I182" s="58" t="str">
        <f>IFERROR(VLOOKUP($D182,Sheet1!$B$2:$S$333,10,FALSE),"")</f>
        <v/>
      </c>
      <c r="J182" s="58" t="str">
        <f>IFERROR(VLOOKUP($D182,Sheet1!$B$2:$S$333,12,FALSE),"")</f>
        <v/>
      </c>
      <c r="K182" s="58" t="str">
        <f>IFERROR(VLOOKUP($D182,Sheet1!$B$2:$S$333,14,FALSE),"")</f>
        <v/>
      </c>
      <c r="L182" s="58" t="str">
        <f>IFERROR(VLOOKUP($D182,Sheet1!$B$2:$S$333,16,FALSE),"")</f>
        <v/>
      </c>
      <c r="M182" s="58" t="str">
        <f>IFERROR(VLOOKUP($D182,Sheet1!$B$2:$S$333,18,FALSE),"")</f>
        <v/>
      </c>
    </row>
    <row r="183" spans="1:20" ht="23.25" customHeight="1" x14ac:dyDescent="0.35">
      <c r="B183" s="33"/>
      <c r="C183" s="138"/>
      <c r="D183" s="69"/>
      <c r="E183" s="69"/>
      <c r="F183" s="126"/>
      <c r="G183" s="58" t="str">
        <f>IFERROR(VLOOKUP($D183,Sheet1!$B$2:$S$333,6,FALSE),"")</f>
        <v/>
      </c>
      <c r="H183" s="58" t="str">
        <f>IFERROR(VLOOKUP($D183,Sheet1!$B$2:$S$333,8,FALSE),"")</f>
        <v/>
      </c>
      <c r="I183" s="58" t="str">
        <f>IFERROR(VLOOKUP($D183,Sheet1!$B$2:$S$333,10,FALSE),"")</f>
        <v/>
      </c>
      <c r="J183" s="58" t="str">
        <f>IFERROR(VLOOKUP($D183,Sheet1!$B$2:$S$333,12,FALSE),"")</f>
        <v/>
      </c>
      <c r="K183" s="58" t="str">
        <f>IFERROR(VLOOKUP($D183,Sheet1!$B$2:$S$333,14,FALSE),"")</f>
        <v/>
      </c>
      <c r="L183" s="58" t="str">
        <f>IFERROR(VLOOKUP($D183,Sheet1!$B$2:$S$333,16,FALSE),"")</f>
        <v/>
      </c>
      <c r="M183" s="58" t="str">
        <f>IFERROR(VLOOKUP($D183,Sheet1!$B$2:$S$333,18,FALSE),"")</f>
        <v/>
      </c>
      <c r="N183" s="71"/>
      <c r="O183" s="71"/>
      <c r="P183" s="71"/>
      <c r="Q183" s="72"/>
      <c r="R183" s="72"/>
      <c r="S183" s="72"/>
      <c r="T183" s="72"/>
    </row>
    <row r="184" spans="1:20" ht="23.25" customHeight="1" x14ac:dyDescent="0.35">
      <c r="B184" s="33"/>
      <c r="C184" s="138"/>
      <c r="D184" s="69"/>
      <c r="E184" s="69"/>
      <c r="F184" s="126"/>
      <c r="G184" s="58" t="str">
        <f>IFERROR(VLOOKUP($D184,Sheet1!$B$2:$S$333,6,FALSE),"")</f>
        <v/>
      </c>
      <c r="H184" s="58" t="str">
        <f>IFERROR(VLOOKUP($D184,Sheet1!$B$2:$S$333,8,FALSE),"")</f>
        <v/>
      </c>
      <c r="I184" s="58" t="str">
        <f>IFERROR(VLOOKUP($D184,Sheet1!$B$2:$S$333,10,FALSE),"")</f>
        <v/>
      </c>
      <c r="J184" s="58" t="str">
        <f>IFERROR(VLOOKUP($D184,Sheet1!$B$2:$S$333,12,FALSE),"")</f>
        <v/>
      </c>
      <c r="K184" s="58" t="str">
        <f>IFERROR(VLOOKUP($D184,Sheet1!$B$2:$S$333,14,FALSE),"")</f>
        <v/>
      </c>
      <c r="L184" s="58" t="str">
        <f>IFERROR(VLOOKUP($D184,Sheet1!$B$2:$S$333,16,FALSE),"")</f>
        <v/>
      </c>
      <c r="M184" s="58" t="str">
        <f>IFERROR(VLOOKUP($D184,Sheet1!$B$2:$S$333,18,FALSE),"")</f>
        <v/>
      </c>
      <c r="N184" s="71"/>
      <c r="O184" s="71"/>
      <c r="P184" s="71"/>
      <c r="Q184" s="72"/>
      <c r="R184" s="72"/>
      <c r="S184" s="72"/>
      <c r="T184" s="72"/>
    </row>
    <row r="185" spans="1:20" ht="23.25" customHeight="1" x14ac:dyDescent="0.35">
      <c r="B185" s="33"/>
      <c r="C185" s="138"/>
      <c r="D185" s="69"/>
      <c r="E185" s="69"/>
      <c r="F185" s="126"/>
      <c r="G185" s="58" t="str">
        <f>IFERROR(VLOOKUP($D185,Sheet1!$B$2:$S$333,6,FALSE),"")</f>
        <v/>
      </c>
      <c r="H185" s="58" t="str">
        <f>IFERROR(VLOOKUP($D185,Sheet1!$B$2:$S$333,8,FALSE),"")</f>
        <v/>
      </c>
      <c r="I185" s="58" t="str">
        <f>IFERROR(VLOOKUP($D185,Sheet1!$B$2:$S$333,10,FALSE),"")</f>
        <v/>
      </c>
      <c r="J185" s="58" t="str">
        <f>IFERROR(VLOOKUP($D185,Sheet1!$B$2:$S$333,12,FALSE),"")</f>
        <v/>
      </c>
      <c r="K185" s="58" t="str">
        <f>IFERROR(VLOOKUP($D185,Sheet1!$B$2:$S$333,14,FALSE),"")</f>
        <v/>
      </c>
      <c r="L185" s="58" t="str">
        <f>IFERROR(VLOOKUP($D185,Sheet1!$B$2:$S$333,16,FALSE),"")</f>
        <v/>
      </c>
      <c r="M185" s="58" t="str">
        <f>IFERROR(VLOOKUP($D185,Sheet1!$B$2:$S$333,18,FALSE),"")</f>
        <v/>
      </c>
      <c r="N185" s="396"/>
      <c r="O185" s="397"/>
      <c r="P185" s="73"/>
      <c r="Q185" s="74"/>
      <c r="R185" s="75"/>
      <c r="S185" s="74"/>
      <c r="T185" s="75"/>
    </row>
    <row r="186" spans="1:20" ht="23.25" customHeight="1" x14ac:dyDescent="0.45">
      <c r="B186" s="33"/>
      <c r="C186" s="137"/>
      <c r="D186" s="27"/>
      <c r="E186" s="78"/>
      <c r="F186" s="126"/>
      <c r="G186" s="58" t="str">
        <f>IFERROR(VLOOKUP($D186,Sheet1!$B$2:$S$333,6,FALSE),"")</f>
        <v/>
      </c>
      <c r="H186" s="58" t="str">
        <f>IFERROR(VLOOKUP($D186,Sheet1!$B$2:$S$333,8,FALSE),"")</f>
        <v/>
      </c>
      <c r="I186" s="58" t="str">
        <f>IFERROR(VLOOKUP($D186,Sheet1!$B$2:$S$333,10,FALSE),"")</f>
        <v/>
      </c>
      <c r="J186" s="58" t="str">
        <f>IFERROR(VLOOKUP($D186,Sheet1!$B$2:$S$333,12,FALSE),"")</f>
        <v/>
      </c>
      <c r="K186" s="58" t="str">
        <f>IFERROR(VLOOKUP($D186,Sheet1!$B$2:$S$333,14,FALSE),"")</f>
        <v/>
      </c>
      <c r="L186" s="58" t="str">
        <f>IFERROR(VLOOKUP($D186,Sheet1!$B$2:$S$333,16,FALSE),"")</f>
        <v/>
      </c>
      <c r="M186" s="58" t="str">
        <f>IFERROR(VLOOKUP($D186,Sheet1!$B$2:$S$333,18,FALSE),"")</f>
        <v/>
      </c>
      <c r="N186" s="79"/>
      <c r="O186" s="79"/>
      <c r="P186" s="79"/>
      <c r="Q186" s="80"/>
      <c r="R186" s="80"/>
      <c r="S186" s="80"/>
      <c r="T186" s="80"/>
    </row>
    <row r="187" spans="1:20" ht="23.25" customHeight="1" x14ac:dyDescent="0.45">
      <c r="B187" s="33"/>
      <c r="C187" s="137"/>
      <c r="D187" s="27"/>
      <c r="E187" s="78"/>
      <c r="F187" s="126"/>
      <c r="G187" s="58" t="str">
        <f>IFERROR(VLOOKUP($D187,Sheet1!$B$2:$S$333,6,FALSE),"")</f>
        <v/>
      </c>
      <c r="H187" s="58" t="str">
        <f>IFERROR(VLOOKUP($D187,Sheet1!$B$2:$S$333,8,FALSE),"")</f>
        <v/>
      </c>
      <c r="I187" s="58" t="str">
        <f>IFERROR(VLOOKUP($D187,Sheet1!$B$2:$S$333,10,FALSE),"")</f>
        <v/>
      </c>
      <c r="J187" s="58" t="str">
        <f>IFERROR(VLOOKUP($D187,Sheet1!$B$2:$S$333,12,FALSE),"")</f>
        <v/>
      </c>
      <c r="K187" s="58" t="str">
        <f>IFERROR(VLOOKUP($D187,Sheet1!$B$2:$S$333,14,FALSE),"")</f>
        <v/>
      </c>
      <c r="L187" s="58" t="str">
        <f>IFERROR(VLOOKUP($D187,Sheet1!$B$2:$S$333,16,FALSE),"")</f>
        <v/>
      </c>
      <c r="M187" s="58" t="str">
        <f>IFERROR(VLOOKUP($D187,Sheet1!$B$2:$S$333,18,FALSE),"")</f>
        <v/>
      </c>
      <c r="N187" s="79"/>
      <c r="O187" s="79"/>
      <c r="P187" s="79"/>
      <c r="Q187" s="80"/>
      <c r="R187" s="80"/>
      <c r="S187" s="80"/>
      <c r="T187" s="80"/>
    </row>
    <row r="188" spans="1:20" ht="23.25" customHeight="1" thickBot="1" x14ac:dyDescent="0.5">
      <c r="B188" s="35"/>
      <c r="C188" s="139"/>
      <c r="D188" s="36"/>
      <c r="E188" s="82"/>
      <c r="F188" s="128"/>
      <c r="G188" s="58" t="str">
        <f>IFERROR(VLOOKUP($D188,Sheet1!$B$2:$S$333,6,FALSE),"")</f>
        <v/>
      </c>
      <c r="H188" s="58" t="str">
        <f>IFERROR(VLOOKUP($D188,Sheet1!$B$2:$S$333,8,FALSE),"")</f>
        <v/>
      </c>
      <c r="I188" s="58" t="str">
        <f>IFERROR(VLOOKUP($D188,Sheet1!$B$2:$S$333,10,FALSE),"")</f>
        <v/>
      </c>
      <c r="J188" s="58" t="str">
        <f>IFERROR(VLOOKUP($D188,Sheet1!$B$2:$S$333,12,FALSE),"")</f>
        <v/>
      </c>
      <c r="K188" s="58" t="str">
        <f>IFERROR(VLOOKUP($D188,Sheet1!$B$2:$S$333,14,FALSE),"")</f>
        <v/>
      </c>
      <c r="L188" s="58" t="str">
        <f>IFERROR(VLOOKUP($D188,Sheet1!$B$2:$S$333,16,FALSE),"")</f>
        <v/>
      </c>
      <c r="M188" s="58" t="str">
        <f>IFERROR(VLOOKUP($D188,Sheet1!$B$2:$S$333,18,FALSE),"")</f>
        <v/>
      </c>
      <c r="N188" s="79"/>
      <c r="O188" s="79"/>
      <c r="P188" s="79"/>
      <c r="Q188" s="80"/>
      <c r="R188" s="80"/>
      <c r="S188" s="80"/>
      <c r="T188" s="80"/>
    </row>
    <row r="189" spans="1:20" ht="23.25" customHeight="1" thickBot="1" x14ac:dyDescent="0.4">
      <c r="A189" s="22"/>
      <c r="B189" s="122"/>
      <c r="C189" s="410" t="s">
        <v>63</v>
      </c>
      <c r="D189" s="410"/>
      <c r="E189" s="410"/>
      <c r="F189" s="410"/>
      <c r="G189" s="410"/>
      <c r="H189" s="410"/>
      <c r="I189" s="410"/>
      <c r="J189" s="410"/>
      <c r="K189" s="410"/>
      <c r="L189" s="410"/>
      <c r="M189" s="410"/>
      <c r="N189" s="79"/>
      <c r="O189" s="79"/>
      <c r="P189" s="79"/>
      <c r="Q189" s="80"/>
      <c r="R189" s="80"/>
      <c r="S189" s="80"/>
      <c r="T189" s="80"/>
    </row>
    <row r="190" spans="1:20" ht="23.25" customHeight="1" x14ac:dyDescent="0.45">
      <c r="B190" s="53"/>
      <c r="C190" s="140" t="str" cm="1">
        <f t="array" ref="C190:E190">_xlfn._xlws.FILTER(Sheet1!$A$2:$C$333,Sheet1!$C$2:$C$333='GAD DISPATCHER SCHEDULE'!$U$160)</f>
        <v>CHEDDICK-GEORGE, RASHIDA</v>
      </c>
      <c r="D190" s="84" t="str">
        <v>1028870</v>
      </c>
      <c r="E190" s="85" t="str">
        <v>GULF - TRAINEE</v>
      </c>
      <c r="F190" s="125"/>
      <c r="G190" s="58" t="str">
        <f>IFERROR(VLOOKUP($D190,Sheet1!$B$2:$S$333,6,FALSE),"")</f>
        <v>EE-3-POST</v>
      </c>
      <c r="H190" s="58" t="str">
        <f>IFERROR(VLOOKUP($D190,Sheet1!$B$2:$S$333,8,FALSE),"")</f>
        <v>EE-3-POST</v>
      </c>
      <c r="I190" s="58" t="str">
        <f>IFERROR(VLOOKUP($D190,Sheet1!$B$2:$S$333,10,FALSE),"")</f>
        <v>EE-3-POST</v>
      </c>
      <c r="J190" s="58" t="str">
        <f>IFERROR(VLOOKUP($D190,Sheet1!$B$2:$S$333,12,FALSE),"")</f>
        <v>EE-3-POST</v>
      </c>
      <c r="K190" s="58" t="str">
        <f>IFERROR(VLOOKUP($D190,Sheet1!$B$2:$S$333,14,FALSE),"")</f>
        <v>EE-3-POST</v>
      </c>
      <c r="L190" s="58" t="str">
        <f>IFERROR(VLOOKUP($D190,Sheet1!$B$2:$S$333,16,FALSE),"")</f>
        <v>EE-3-POST</v>
      </c>
      <c r="M190" s="58" t="str">
        <f>IFERROR(VLOOKUP($D190,Sheet1!$B$2:$S$333,18,FALSE),"")</f>
        <v>OFF</v>
      </c>
    </row>
    <row r="191" spans="1:20" ht="23.25" customHeight="1" x14ac:dyDescent="0.45">
      <c r="B191" s="53"/>
      <c r="C191" s="141"/>
      <c r="D191" s="87"/>
      <c r="E191" s="88"/>
      <c r="F191" s="126"/>
      <c r="G191" s="58" t="str">
        <f>IFERROR(VLOOKUP($D191,Sheet1!$B$2:$S$333,6,FALSE),"")</f>
        <v/>
      </c>
      <c r="H191" s="58" t="str">
        <f>IFERROR(VLOOKUP($D191,Sheet1!$B$2:$S$333,8,FALSE),"")</f>
        <v/>
      </c>
      <c r="I191" s="58" t="str">
        <f>IFERROR(VLOOKUP($D191,Sheet1!$B$2:$S$333,10,FALSE),"")</f>
        <v/>
      </c>
      <c r="J191" s="58" t="str">
        <f>IFERROR(VLOOKUP($D191,Sheet1!$B$2:$S$333,12,FALSE),"")</f>
        <v/>
      </c>
      <c r="K191" s="58" t="str">
        <f>IFERROR(VLOOKUP($D191,Sheet1!$B$2:$S$333,14,FALSE),"")</f>
        <v/>
      </c>
      <c r="L191" s="58" t="str">
        <f>IFERROR(VLOOKUP($D191,Sheet1!$B$2:$S$333,16,FALSE),"")</f>
        <v/>
      </c>
      <c r="M191" s="58" t="str">
        <f>IFERROR(VLOOKUP($D191,Sheet1!$B$2:$S$333,18,FALSE),"")</f>
        <v/>
      </c>
    </row>
    <row r="192" spans="1:20" ht="23.25" customHeight="1" x14ac:dyDescent="0.45">
      <c r="B192" s="89"/>
      <c r="C192" s="141"/>
      <c r="D192" s="87"/>
      <c r="E192" s="88"/>
      <c r="F192" s="126"/>
      <c r="G192" s="58" t="str">
        <f>IFERROR(VLOOKUP($D192,Sheet1!$B$2:$S$333,6,FALSE),"")</f>
        <v/>
      </c>
      <c r="H192" s="58" t="str">
        <f>IFERROR(VLOOKUP($D192,Sheet1!$B$2:$S$333,8,FALSE),"")</f>
        <v/>
      </c>
      <c r="I192" s="58" t="str">
        <f>IFERROR(VLOOKUP($D192,Sheet1!$B$2:$S$333,10,FALSE),"")</f>
        <v/>
      </c>
      <c r="J192" s="58" t="str">
        <f>IFERROR(VLOOKUP($D192,Sheet1!$B$2:$S$333,12,FALSE),"")</f>
        <v/>
      </c>
      <c r="K192" s="58" t="str">
        <f>IFERROR(VLOOKUP($D192,Sheet1!$B$2:$S$333,14,FALSE),"")</f>
        <v/>
      </c>
      <c r="L192" s="58" t="str">
        <f>IFERROR(VLOOKUP($D192,Sheet1!$B$2:$S$333,16,FALSE),"")</f>
        <v/>
      </c>
      <c r="M192" s="58" t="str">
        <f>IFERROR(VLOOKUP($D192,Sheet1!$B$2:$S$333,18,FALSE),"")</f>
        <v/>
      </c>
    </row>
    <row r="193" spans="1:13" ht="23.25" customHeight="1" x14ac:dyDescent="0.45">
      <c r="B193" s="90"/>
      <c r="C193" s="141"/>
      <c r="D193" s="87"/>
      <c r="E193" s="88"/>
      <c r="F193" s="126"/>
      <c r="G193" s="58" t="str">
        <f>IFERROR(VLOOKUP($D193,Sheet1!$B$2:$S$333,6,FALSE),"")</f>
        <v/>
      </c>
      <c r="H193" s="58" t="str">
        <f>IFERROR(VLOOKUP($D193,Sheet1!$B$2:$S$333,8,FALSE),"")</f>
        <v/>
      </c>
      <c r="I193" s="58" t="str">
        <f>IFERROR(VLOOKUP($D193,Sheet1!$B$2:$S$333,10,FALSE),"")</f>
        <v/>
      </c>
      <c r="J193" s="58" t="str">
        <f>IFERROR(VLOOKUP($D193,Sheet1!$B$2:$S$333,12,FALSE),"")</f>
        <v/>
      </c>
      <c r="K193" s="58" t="str">
        <f>IFERROR(VLOOKUP($D193,Sheet1!$B$2:$S$333,14,FALSE),"")</f>
        <v/>
      </c>
      <c r="L193" s="58" t="str">
        <f>IFERROR(VLOOKUP($D193,Sheet1!$B$2:$S$333,16,FALSE),"")</f>
        <v/>
      </c>
      <c r="M193" s="58" t="str">
        <f>IFERROR(VLOOKUP($D193,Sheet1!$B$2:$S$333,18,FALSE),"")</f>
        <v/>
      </c>
    </row>
    <row r="194" spans="1:13" ht="23.25" customHeight="1" x14ac:dyDescent="0.45">
      <c r="B194" s="91"/>
      <c r="C194" s="141"/>
      <c r="D194" s="87"/>
      <c r="E194" s="88"/>
      <c r="F194" s="126"/>
      <c r="G194" s="58" t="str">
        <f>IFERROR(VLOOKUP($D194,Sheet1!$B$2:$S$333,6,FALSE),"")</f>
        <v/>
      </c>
      <c r="H194" s="58" t="str">
        <f>IFERROR(VLOOKUP($D194,Sheet1!$B$2:$S$333,8,FALSE),"")</f>
        <v/>
      </c>
      <c r="I194" s="58" t="str">
        <f>IFERROR(VLOOKUP($D194,Sheet1!$B$2:$S$333,10,FALSE),"")</f>
        <v/>
      </c>
      <c r="J194" s="58" t="str">
        <f>IFERROR(VLOOKUP($D194,Sheet1!$B$2:$S$333,12,FALSE),"")</f>
        <v/>
      </c>
      <c r="K194" s="58" t="str">
        <f>IFERROR(VLOOKUP($D194,Sheet1!$B$2:$S$333,14,FALSE),"")</f>
        <v/>
      </c>
      <c r="L194" s="58" t="str">
        <f>IFERROR(VLOOKUP($D194,Sheet1!$B$2:$S$333,16,FALSE),"")</f>
        <v/>
      </c>
      <c r="M194" s="58" t="str">
        <f>IFERROR(VLOOKUP($D194,Sheet1!$B$2:$S$333,18,FALSE),"")</f>
        <v/>
      </c>
    </row>
    <row r="195" spans="1:13" ht="23.25" customHeight="1" x14ac:dyDescent="0.45">
      <c r="B195" s="92"/>
      <c r="C195" s="141"/>
      <c r="D195" s="87"/>
      <c r="E195" s="88"/>
      <c r="F195" s="126"/>
      <c r="G195" s="58" t="str">
        <f>IFERROR(VLOOKUP($D195,Sheet1!$B$2:$S$333,6,FALSE),"")</f>
        <v/>
      </c>
      <c r="H195" s="58" t="str">
        <f>IFERROR(VLOOKUP($D195,Sheet1!$B$2:$S$333,8,FALSE),"")</f>
        <v/>
      </c>
      <c r="I195" s="58" t="str">
        <f>IFERROR(VLOOKUP($D195,Sheet1!$B$2:$S$333,10,FALSE),"")</f>
        <v/>
      </c>
      <c r="J195" s="58" t="str">
        <f>IFERROR(VLOOKUP($D195,Sheet1!$B$2:$S$333,12,FALSE),"")</f>
        <v/>
      </c>
      <c r="K195" s="58" t="str">
        <f>IFERROR(VLOOKUP($D195,Sheet1!$B$2:$S$333,14,FALSE),"")</f>
        <v/>
      </c>
      <c r="L195" s="58" t="str">
        <f>IFERROR(VLOOKUP($D195,Sheet1!$B$2:$S$333,16,FALSE),"")</f>
        <v/>
      </c>
      <c r="M195" s="58" t="str">
        <f>IFERROR(VLOOKUP($D195,Sheet1!$B$2:$S$333,18,FALSE),"")</f>
        <v/>
      </c>
    </row>
    <row r="196" spans="1:13" ht="23.25" customHeight="1" x14ac:dyDescent="0.45">
      <c r="B196" s="61"/>
      <c r="C196" s="141"/>
      <c r="D196" s="87"/>
      <c r="E196" s="88"/>
      <c r="F196" s="126"/>
      <c r="G196" s="58" t="str">
        <f>IFERROR(VLOOKUP($D196,Sheet1!$B$2:$S$333,6,FALSE),"")</f>
        <v/>
      </c>
      <c r="H196" s="58" t="str">
        <f>IFERROR(VLOOKUP($D196,Sheet1!$B$2:$S$333,8,FALSE),"")</f>
        <v/>
      </c>
      <c r="I196" s="58" t="str">
        <f>IFERROR(VLOOKUP($D196,Sheet1!$B$2:$S$333,10,FALSE),"")</f>
        <v/>
      </c>
      <c r="J196" s="58" t="str">
        <f>IFERROR(VLOOKUP($D196,Sheet1!$B$2:$S$333,12,FALSE),"")</f>
        <v/>
      </c>
      <c r="K196" s="58" t="str">
        <f>IFERROR(VLOOKUP($D196,Sheet1!$B$2:$S$333,14,FALSE),"")</f>
        <v/>
      </c>
      <c r="L196" s="58" t="str">
        <f>IFERROR(VLOOKUP($D196,Sheet1!$B$2:$S$333,16,FALSE),"")</f>
        <v/>
      </c>
      <c r="M196" s="58" t="str">
        <f>IFERROR(VLOOKUP($D196,Sheet1!$B$2:$S$333,18,FALSE),"")</f>
        <v/>
      </c>
    </row>
    <row r="197" spans="1:13" ht="23.25" customHeight="1" x14ac:dyDescent="0.45">
      <c r="B197" s="61"/>
      <c r="C197" s="141"/>
      <c r="D197" s="87"/>
      <c r="E197" s="88"/>
      <c r="F197" s="126"/>
      <c r="G197" s="58" t="str">
        <f>IFERROR(VLOOKUP($D197,Sheet1!$B$2:$S$333,6,FALSE),"")</f>
        <v/>
      </c>
      <c r="H197" s="58" t="str">
        <f>IFERROR(VLOOKUP($D197,Sheet1!$B$2:$S$333,8,FALSE),"")</f>
        <v/>
      </c>
      <c r="I197" s="58" t="str">
        <f>IFERROR(VLOOKUP($D197,Sheet1!$B$2:$S$333,10,FALSE),"")</f>
        <v/>
      </c>
      <c r="J197" s="58" t="str">
        <f>IFERROR(VLOOKUP($D197,Sheet1!$B$2:$S$333,12,FALSE),"")</f>
        <v/>
      </c>
      <c r="K197" s="58" t="str">
        <f>IFERROR(VLOOKUP($D197,Sheet1!$B$2:$S$333,14,FALSE),"")</f>
        <v/>
      </c>
      <c r="L197" s="58" t="str">
        <f>IFERROR(VLOOKUP($D197,Sheet1!$B$2:$S$333,16,FALSE),"")</f>
        <v/>
      </c>
      <c r="M197" s="58" t="str">
        <f>IFERROR(VLOOKUP($D197,Sheet1!$B$2:$S$333,18,FALSE),"")</f>
        <v/>
      </c>
    </row>
    <row r="198" spans="1:13" ht="23.25" customHeight="1" x14ac:dyDescent="0.45">
      <c r="B198" s="61"/>
      <c r="C198" s="141"/>
      <c r="D198" s="87"/>
      <c r="E198" s="88"/>
      <c r="F198" s="126"/>
      <c r="G198" s="58" t="str">
        <f>IFERROR(VLOOKUP($D198,Sheet1!$B$2:$S$333,6,FALSE),"")</f>
        <v/>
      </c>
      <c r="H198" s="58" t="str">
        <f>IFERROR(VLOOKUP($D198,Sheet1!$B$2:$S$333,8,FALSE),"")</f>
        <v/>
      </c>
      <c r="I198" s="58" t="str">
        <f>IFERROR(VLOOKUP($D198,Sheet1!$B$2:$S$333,10,FALSE),"")</f>
        <v/>
      </c>
      <c r="J198" s="58" t="str">
        <f>IFERROR(VLOOKUP($D198,Sheet1!$B$2:$S$333,12,FALSE),"")</f>
        <v/>
      </c>
      <c r="K198" s="58" t="str">
        <f>IFERROR(VLOOKUP($D198,Sheet1!$B$2:$S$333,14,FALSE),"")</f>
        <v/>
      </c>
      <c r="L198" s="58" t="str">
        <f>IFERROR(VLOOKUP($D198,Sheet1!$B$2:$S$333,16,FALSE),"")</f>
        <v/>
      </c>
      <c r="M198" s="58" t="str">
        <f>IFERROR(VLOOKUP($D198,Sheet1!$B$2:$S$333,18,FALSE),"")</f>
        <v/>
      </c>
    </row>
    <row r="199" spans="1:13" ht="23.25" customHeight="1" thickBot="1" x14ac:dyDescent="0.5">
      <c r="B199" s="62"/>
      <c r="C199" s="141"/>
      <c r="D199" s="87"/>
      <c r="E199" s="88"/>
      <c r="F199" s="128"/>
      <c r="G199" s="58" t="str">
        <f>IFERROR(VLOOKUP($D199,Sheet1!$B$2:$S$333,6,FALSE),"")</f>
        <v/>
      </c>
      <c r="H199" s="58" t="str">
        <f>IFERROR(VLOOKUP($D199,Sheet1!$B$2:$S$333,8,FALSE),"")</f>
        <v/>
      </c>
      <c r="I199" s="58" t="str">
        <f>IFERROR(VLOOKUP($D199,Sheet1!$B$2:$S$333,10,FALSE),"")</f>
        <v/>
      </c>
      <c r="J199" s="58" t="str">
        <f>IFERROR(VLOOKUP($D199,Sheet1!$B$2:$S$333,12,FALSE),"")</f>
        <v/>
      </c>
      <c r="K199" s="58" t="str">
        <f>IFERROR(VLOOKUP($D199,Sheet1!$B$2:$S$333,14,FALSE),"")</f>
        <v/>
      </c>
      <c r="L199" s="58" t="str">
        <f>IFERROR(VLOOKUP($D199,Sheet1!$B$2:$S$333,16,FALSE),"")</f>
        <v/>
      </c>
      <c r="M199" s="58" t="str">
        <f>IFERROR(VLOOKUP($D199,Sheet1!$B$2:$S$333,18,FALSE),"")</f>
        <v/>
      </c>
    </row>
    <row r="200" spans="1:13" ht="23.25" customHeight="1" thickBot="1" x14ac:dyDescent="0.4">
      <c r="A200" s="22"/>
      <c r="B200" s="122"/>
      <c r="C200" s="410" t="s">
        <v>64</v>
      </c>
      <c r="D200" s="410"/>
      <c r="E200" s="410"/>
      <c r="F200" s="410"/>
      <c r="G200" s="410"/>
      <c r="H200" s="410"/>
      <c r="I200" s="410"/>
      <c r="J200" s="410"/>
      <c r="K200" s="410"/>
      <c r="L200" s="410"/>
      <c r="M200" s="410"/>
    </row>
    <row r="201" spans="1:13" ht="23.25" customHeight="1" x14ac:dyDescent="0.55000000000000004">
      <c r="B201" s="93"/>
      <c r="C201" s="142" t="str" cm="1">
        <f t="array" ref="C201:E201">_xlfn._xlws.FILTER(Sheet1!$A$2:$C$333,Sheet1!$C$2:$C$333='GAD DISPATCHER SCHEDULE'!$U$161)</f>
        <v>KITCHENS, DARNELL</v>
      </c>
      <c r="D201" s="95" t="str">
        <v>1034343</v>
      </c>
      <c r="E201" s="96" t="str">
        <v>BLUE RIDGE - TRAINEE</v>
      </c>
      <c r="F201" s="125"/>
      <c r="G201" s="58" t="str">
        <f>IFERROR(VLOOKUP($D201,Sheet1!$B$2:$S$333,6,FALSE),"")</f>
        <v>S-NP</v>
      </c>
      <c r="H201" s="58" t="str">
        <f>IFERROR(VLOOKUP($D201,Sheet1!$B$2:$S$333,8,FALSE),"")</f>
        <v>OFF</v>
      </c>
      <c r="I201" s="58" t="str">
        <f>IFERROR(VLOOKUP($D201,Sheet1!$B$2:$S$333,10,FALSE),"")</f>
        <v>OFF</v>
      </c>
      <c r="J201" s="58" t="str">
        <f>IFERROR(VLOOKUP($D201,Sheet1!$B$2:$S$333,12,FALSE),"")</f>
        <v>DV-2-POST</v>
      </c>
      <c r="K201" s="58" t="str">
        <f>IFERROR(VLOOKUP($D201,Sheet1!$B$2:$S$333,14,FALSE),"")</f>
        <v>VA-3-POST</v>
      </c>
      <c r="L201" s="58" t="str">
        <f>IFERROR(VLOOKUP($D201,Sheet1!$B$2:$S$333,16,FALSE),"")</f>
        <v>VA-3-POST</v>
      </c>
      <c r="M201" s="58" t="str">
        <f>IFERROR(VLOOKUP($D201,Sheet1!$B$2:$S$333,18,FALSE),"")</f>
        <v>VA-3-POST</v>
      </c>
    </row>
    <row r="202" spans="1:13" ht="23.25" customHeight="1" x14ac:dyDescent="0.55000000000000004">
      <c r="B202" s="101"/>
      <c r="C202" s="143"/>
      <c r="D202" s="95"/>
      <c r="E202" s="96"/>
      <c r="F202" s="126"/>
      <c r="G202" s="58" t="str">
        <f>IFERROR(VLOOKUP($D202,Sheet1!$B$2:$S$333,6,FALSE),"")</f>
        <v/>
      </c>
      <c r="H202" s="58" t="str">
        <f>IFERROR(VLOOKUP($D202,Sheet1!$B$2:$S$333,8,FALSE),"")</f>
        <v/>
      </c>
      <c r="I202" s="58" t="str">
        <f>IFERROR(VLOOKUP($D202,Sheet1!$B$2:$S$333,10,FALSE),"")</f>
        <v/>
      </c>
      <c r="J202" s="58" t="str">
        <f>IFERROR(VLOOKUP($D202,Sheet1!$B$2:$S$333,12,FALSE),"")</f>
        <v/>
      </c>
      <c r="K202" s="58" t="str">
        <f>IFERROR(VLOOKUP($D202,Sheet1!$B$2:$S$333,14,FALSE),"")</f>
        <v/>
      </c>
      <c r="L202" s="58" t="str">
        <f>IFERROR(VLOOKUP($D202,Sheet1!$B$2:$S$333,16,FALSE),"")</f>
        <v/>
      </c>
      <c r="M202" s="58" t="str">
        <f>IFERROR(VLOOKUP($D202,Sheet1!$B$2:$S$333,18,FALSE),"")</f>
        <v/>
      </c>
    </row>
    <row r="203" spans="1:13" ht="23.25" customHeight="1" x14ac:dyDescent="0.45">
      <c r="B203" s="102"/>
      <c r="C203" s="143"/>
      <c r="D203" s="95"/>
      <c r="E203" s="96"/>
      <c r="F203" s="126"/>
      <c r="G203" s="58" t="str">
        <f>IFERROR(VLOOKUP($D203,Sheet1!$B$2:$S$333,6,FALSE),"")</f>
        <v/>
      </c>
      <c r="H203" s="58" t="str">
        <f>IFERROR(VLOOKUP($D203,Sheet1!$B$2:$S$333,8,FALSE),"")</f>
        <v/>
      </c>
      <c r="I203" s="58" t="str">
        <f>IFERROR(VLOOKUP($D203,Sheet1!$B$2:$S$333,10,FALSE),"")</f>
        <v/>
      </c>
      <c r="J203" s="58" t="str">
        <f>IFERROR(VLOOKUP($D203,Sheet1!$B$2:$S$333,12,FALSE),"")</f>
        <v/>
      </c>
      <c r="K203" s="58" t="str">
        <f>IFERROR(VLOOKUP($D203,Sheet1!$B$2:$S$333,14,FALSE),"")</f>
        <v/>
      </c>
      <c r="L203" s="58" t="str">
        <f>IFERROR(VLOOKUP($D203,Sheet1!$B$2:$S$333,16,FALSE),"")</f>
        <v/>
      </c>
      <c r="M203" s="58" t="str">
        <f>IFERROR(VLOOKUP($D203,Sheet1!$B$2:$S$333,18,FALSE),"")</f>
        <v/>
      </c>
    </row>
    <row r="204" spans="1:13" ht="23.25" customHeight="1" x14ac:dyDescent="0.45">
      <c r="B204" s="102"/>
      <c r="C204" s="143"/>
      <c r="D204" s="95"/>
      <c r="E204" s="96"/>
      <c r="F204" s="126"/>
      <c r="G204" s="58" t="str">
        <f>IFERROR(VLOOKUP($D204,Sheet1!$B$2:$S$333,6,FALSE),"")</f>
        <v/>
      </c>
      <c r="H204" s="58" t="str">
        <f>IFERROR(VLOOKUP($D204,Sheet1!$B$2:$S$333,8,FALSE),"")</f>
        <v/>
      </c>
      <c r="I204" s="58" t="str">
        <f>IFERROR(VLOOKUP($D204,Sheet1!$B$2:$S$333,10,FALSE),"")</f>
        <v/>
      </c>
      <c r="J204" s="58" t="str">
        <f>IFERROR(VLOOKUP($D204,Sheet1!$B$2:$S$333,12,FALSE),"")</f>
        <v/>
      </c>
      <c r="K204" s="58" t="str">
        <f>IFERROR(VLOOKUP($D204,Sheet1!$B$2:$S$333,14,FALSE),"")</f>
        <v/>
      </c>
      <c r="L204" s="58" t="str">
        <f>IFERROR(VLOOKUP($D204,Sheet1!$B$2:$S$333,16,FALSE),"")</f>
        <v/>
      </c>
      <c r="M204" s="58" t="str">
        <f>IFERROR(VLOOKUP($D204,Sheet1!$B$2:$S$333,18,FALSE),"")</f>
        <v/>
      </c>
    </row>
    <row r="205" spans="1:13" ht="23.25" customHeight="1" x14ac:dyDescent="0.45">
      <c r="B205" s="103"/>
      <c r="C205" s="144"/>
      <c r="D205" s="99"/>
      <c r="E205" s="100"/>
      <c r="F205" s="126"/>
      <c r="G205" s="58" t="str">
        <f>IFERROR(VLOOKUP($D205,Sheet1!$B$2:$S$333,6,FALSE),"")</f>
        <v/>
      </c>
      <c r="H205" s="58" t="str">
        <f>IFERROR(VLOOKUP($D205,Sheet1!$B$2:$S$333,8,FALSE),"")</f>
        <v/>
      </c>
      <c r="I205" s="58" t="str">
        <f>IFERROR(VLOOKUP($D205,Sheet1!$B$2:$S$333,10,FALSE),"")</f>
        <v/>
      </c>
      <c r="J205" s="58" t="str">
        <f>IFERROR(VLOOKUP($D205,Sheet1!$B$2:$S$333,12,FALSE),"")</f>
        <v/>
      </c>
      <c r="K205" s="58" t="str">
        <f>IFERROR(VLOOKUP($D205,Sheet1!$B$2:$S$333,14,FALSE),"")</f>
        <v/>
      </c>
      <c r="L205" s="58" t="str">
        <f>IFERROR(VLOOKUP($D205,Sheet1!$B$2:$S$333,16,FALSE),"")</f>
        <v/>
      </c>
      <c r="M205" s="58" t="str">
        <f>IFERROR(VLOOKUP($D205,Sheet1!$B$2:$S$333,18,FALSE),"")</f>
        <v/>
      </c>
    </row>
    <row r="206" spans="1:13" ht="23.25" customHeight="1" x14ac:dyDescent="0.45">
      <c r="B206" s="103"/>
      <c r="C206" s="143"/>
      <c r="D206" s="95"/>
      <c r="E206" s="104"/>
      <c r="F206" s="126"/>
      <c r="G206" s="58" t="str">
        <f>IFERROR(VLOOKUP($D206,Sheet1!$B$2:$S$333,6,FALSE),"")</f>
        <v/>
      </c>
      <c r="H206" s="58" t="str">
        <f>IFERROR(VLOOKUP($D206,Sheet1!$B$2:$S$333,8,FALSE),"")</f>
        <v/>
      </c>
      <c r="I206" s="58" t="str">
        <f>IFERROR(VLOOKUP($D206,Sheet1!$B$2:$S$333,10,FALSE),"")</f>
        <v/>
      </c>
      <c r="J206" s="58" t="str">
        <f>IFERROR(VLOOKUP($D206,Sheet1!$B$2:$S$333,12,FALSE),"")</f>
        <v/>
      </c>
      <c r="K206" s="58" t="str">
        <f>IFERROR(VLOOKUP($D206,Sheet1!$B$2:$S$333,14,FALSE),"")</f>
        <v/>
      </c>
      <c r="L206" s="58" t="str">
        <f>IFERROR(VLOOKUP($D206,Sheet1!$B$2:$S$333,16,FALSE),"")</f>
        <v/>
      </c>
      <c r="M206" s="58" t="str">
        <f>IFERROR(VLOOKUP($D206,Sheet1!$B$2:$S$333,18,FALSE),"")</f>
        <v/>
      </c>
    </row>
    <row r="207" spans="1:13" ht="23.25" customHeight="1" x14ac:dyDescent="0.45">
      <c r="B207" s="103"/>
      <c r="C207" s="143"/>
      <c r="D207" s="95"/>
      <c r="E207" s="104"/>
      <c r="F207" s="126"/>
      <c r="G207" s="58" t="str">
        <f>IFERROR(VLOOKUP($D207,Sheet1!$B$2:$S$333,6,FALSE),"")</f>
        <v/>
      </c>
      <c r="H207" s="58" t="str">
        <f>IFERROR(VLOOKUP($D207,Sheet1!$B$2:$S$333,8,FALSE),"")</f>
        <v/>
      </c>
      <c r="I207" s="58" t="str">
        <f>IFERROR(VLOOKUP($D207,Sheet1!$B$2:$S$333,10,FALSE),"")</f>
        <v/>
      </c>
      <c r="J207" s="58" t="str">
        <f>IFERROR(VLOOKUP($D207,Sheet1!$B$2:$S$333,12,FALSE),"")</f>
        <v/>
      </c>
      <c r="K207" s="58" t="str">
        <f>IFERROR(VLOOKUP($D207,Sheet1!$B$2:$S$333,14,FALSE),"")</f>
        <v/>
      </c>
      <c r="L207" s="58" t="str">
        <f>IFERROR(VLOOKUP($D207,Sheet1!$B$2:$S$333,16,FALSE),"")</f>
        <v/>
      </c>
      <c r="M207" s="58" t="str">
        <f>IFERROR(VLOOKUP($D207,Sheet1!$B$2:$S$333,18,FALSE),"")</f>
        <v/>
      </c>
    </row>
    <row r="208" spans="1:13" ht="23.25" customHeight="1" x14ac:dyDescent="0.45">
      <c r="B208" s="103"/>
      <c r="C208" s="143"/>
      <c r="D208" s="95"/>
      <c r="E208" s="104"/>
      <c r="F208" s="126"/>
      <c r="G208" s="58" t="str">
        <f>IFERROR(VLOOKUP($D208,Sheet1!$B$2:$S$333,6,FALSE),"")</f>
        <v/>
      </c>
      <c r="H208" s="58" t="str">
        <f>IFERROR(VLOOKUP($D208,Sheet1!$B$2:$S$333,8,FALSE),"")</f>
        <v/>
      </c>
      <c r="I208" s="58" t="str">
        <f>IFERROR(VLOOKUP($D208,Sheet1!$B$2:$S$333,10,FALSE),"")</f>
        <v/>
      </c>
      <c r="J208" s="58" t="str">
        <f>IFERROR(VLOOKUP($D208,Sheet1!$B$2:$S$333,12,FALSE),"")</f>
        <v/>
      </c>
      <c r="K208" s="58" t="str">
        <f>IFERROR(VLOOKUP($D208,Sheet1!$B$2:$S$333,14,FALSE),"")</f>
        <v/>
      </c>
      <c r="L208" s="58" t="str">
        <f>IFERROR(VLOOKUP($D208,Sheet1!$B$2:$S$333,16,FALSE),"")</f>
        <v/>
      </c>
      <c r="M208" s="58" t="str">
        <f>IFERROR(VLOOKUP($D208,Sheet1!$B$2:$S$333,18,FALSE),"")</f>
        <v/>
      </c>
    </row>
    <row r="209" spans="2:13" ht="23.25" customHeight="1" x14ac:dyDescent="0.45">
      <c r="B209" s="103"/>
      <c r="C209" s="143"/>
      <c r="D209" s="95"/>
      <c r="E209" s="104"/>
      <c r="F209" s="126"/>
      <c r="G209" s="58" t="str">
        <f>IFERROR(VLOOKUP($D209,Sheet1!$B$2:$S$333,6,FALSE),"")</f>
        <v/>
      </c>
      <c r="H209" s="58" t="str">
        <f>IFERROR(VLOOKUP($D209,Sheet1!$B$2:$S$333,8,FALSE),"")</f>
        <v/>
      </c>
      <c r="I209" s="58" t="str">
        <f>IFERROR(VLOOKUP($D209,Sheet1!$B$2:$S$333,10,FALSE),"")</f>
        <v/>
      </c>
      <c r="J209" s="58" t="str">
        <f>IFERROR(VLOOKUP($D209,Sheet1!$B$2:$S$333,12,FALSE),"")</f>
        <v/>
      </c>
      <c r="K209" s="58" t="str">
        <f>IFERROR(VLOOKUP($D209,Sheet1!$B$2:$S$333,14,FALSE),"")</f>
        <v/>
      </c>
      <c r="L209" s="58" t="str">
        <f>IFERROR(VLOOKUP($D209,Sheet1!$B$2:$S$333,16,FALSE),"")</f>
        <v/>
      </c>
      <c r="M209" s="58" t="str">
        <f>IFERROR(VLOOKUP($D209,Sheet1!$B$2:$S$333,18,FALSE),"")</f>
        <v/>
      </c>
    </row>
    <row r="210" spans="2:13" ht="23.25" customHeight="1" thickBot="1" x14ac:dyDescent="0.5">
      <c r="B210" s="105"/>
      <c r="C210" s="145"/>
      <c r="D210" s="107"/>
      <c r="E210" s="108"/>
      <c r="F210" s="128"/>
      <c r="G210" s="58" t="str">
        <f>IFERROR(VLOOKUP($D210,Sheet1!$B$2:$S$333,6,FALSE),"")</f>
        <v/>
      </c>
      <c r="H210" s="58" t="str">
        <f>IFERROR(VLOOKUP($D210,Sheet1!$B$2:$S$333,8,FALSE),"")</f>
        <v/>
      </c>
      <c r="I210" s="58" t="str">
        <f>IFERROR(VLOOKUP($D210,Sheet1!$B$2:$S$333,10,FALSE),"")</f>
        <v/>
      </c>
      <c r="J210" s="58" t="str">
        <f>IFERROR(VLOOKUP($D210,Sheet1!$B$2:$S$333,12,FALSE),"")</f>
        <v/>
      </c>
      <c r="K210" s="58" t="str">
        <f>IFERROR(VLOOKUP($D210,Sheet1!$B$2:$S$333,14,FALSE),"")</f>
        <v/>
      </c>
      <c r="L210" s="58" t="str">
        <f>IFERROR(VLOOKUP($D210,Sheet1!$B$2:$S$333,16,FALSE),"")</f>
        <v/>
      </c>
      <c r="M210" s="58" t="str">
        <f>IFERROR(VLOOKUP($D210,Sheet1!$B$2:$S$333,18,FALSE),"")</f>
        <v/>
      </c>
    </row>
  </sheetData>
  <sheetProtection sheet="1" formatCells="0"/>
  <mergeCells count="17">
    <mergeCell ref="C167:M167"/>
    <mergeCell ref="C178:M178"/>
    <mergeCell ref="N185:O185"/>
    <mergeCell ref="C189:M189"/>
    <mergeCell ref="C200:M200"/>
    <mergeCell ref="N79:O79"/>
    <mergeCell ref="C156:M156"/>
    <mergeCell ref="E1:M3"/>
    <mergeCell ref="C6:M6"/>
    <mergeCell ref="C28:M28"/>
    <mergeCell ref="C50:M50"/>
    <mergeCell ref="C72:M72"/>
    <mergeCell ref="N80:O80"/>
    <mergeCell ref="C94:M94"/>
    <mergeCell ref="C116:M116"/>
    <mergeCell ref="C138:M138"/>
    <mergeCell ref="C145:M145"/>
  </mergeCells>
  <conditionalFormatting sqref="B2:C2">
    <cfRule type="containsText" dxfId="132" priority="6" operator="containsText" text="OOS">
      <formula>NOT(ISERROR(SEARCH("OOS",B2)))</formula>
    </cfRule>
    <cfRule type="containsText" dxfId="131" priority="11" operator="containsText" text="VACATION">
      <formula>NOT(ISERROR(SEARCH("VACATION",B2)))</formula>
    </cfRule>
    <cfRule type="containsText" dxfId="130" priority="7" operator="containsText" text="MILITARY">
      <formula>NOT(ISERROR(SEARCH("MILITARY",B2)))</formula>
    </cfRule>
    <cfRule type="containsText" dxfId="129" priority="8" operator="containsText" text="OWP">
      <formula>NOT(ISERROR(SEARCH("OWP",B2)))</formula>
    </cfRule>
    <cfRule type="containsText" dxfId="128" priority="9" operator="containsText" text="MEDICAL">
      <formula>NOT(ISERROR(SEARCH("MEDICAL",B2)))</formula>
    </cfRule>
    <cfRule type="containsText" dxfId="127" priority="10" operator="containsText" text="OTP">
      <formula>NOT(ISERROR(SEARCH("OTP",B2)))</formula>
    </cfRule>
    <cfRule type="containsText" dxfId="126" priority="12" operator="containsText" text="fmla">
      <formula>NOT(ISERROR(SEARCH("fmla",B2)))</formula>
    </cfRule>
    <cfRule type="containsText" dxfId="125" priority="13" operator="containsText" text="sick">
      <formula>NOT(ISERROR(SEARCH("sick",B2)))</formula>
    </cfRule>
    <cfRule type="containsText" dxfId="124" priority="14" operator="containsText" text="OFF">
      <formula>NOT(ISERROR(SEARCH("OFF",B2)))</formula>
    </cfRule>
  </conditionalFormatting>
  <conditionalFormatting sqref="G7:M144 G146:M210">
    <cfRule type="containsText" dxfId="123" priority="2" operator="containsText" text="UB">
      <formula>NOT(ISERROR(SEARCH("UB",G7)))</formula>
    </cfRule>
    <cfRule type="containsText" dxfId="122" priority="3" operator="containsText" text="CB">
      <formula>NOT(ISERROR(SEARCH("CB",G7)))</formula>
    </cfRule>
    <cfRule type="containsText" dxfId="121" priority="4" operator="containsText" text="S-APPT">
      <formula>NOT(ISERROR(SEARCH("S-APPT",G7)))</formula>
    </cfRule>
    <cfRule type="containsText" dxfId="120" priority="5" operator="containsText" text="V-SD">
      <formula>NOT(ISERROR(SEARCH("V-SD",G7)))</formula>
    </cfRule>
    <cfRule type="containsText" dxfId="119" priority="1" operator="containsText" text="ML">
      <formula>NOT(ISERROR(SEARCH("ML",G7)))</formula>
    </cfRule>
    <cfRule type="containsText" dxfId="118" priority="40" operator="containsText" text="S-SD">
      <formula>NOT(ISERROR(SEARCH("S-SD",G7)))</formula>
    </cfRule>
    <cfRule type="containsText" dxfId="117" priority="39" operator="containsText" text="fmla">
      <formula>NOT(ISERROR(SEARCH("fmla",G7)))</formula>
    </cfRule>
    <cfRule type="containsText" dxfId="116" priority="36" operator="containsText" text="oos">
      <formula>NOT(ISERROR(SEARCH("oos",G7)))</formula>
    </cfRule>
    <cfRule type="containsText" dxfId="115" priority="38" operator="containsText" text="V-WK">
      <formula>NOT(ISERROR(SEARCH("V-WK",G7)))</formula>
    </cfRule>
    <cfRule type="containsText" dxfId="114" priority="37" operator="containsText" text="post">
      <formula>NOT(ISERROR(SEARCH("post",G7)))</formula>
    </cfRule>
    <cfRule type="containsText" dxfId="113" priority="35" operator="containsText" text="available">
      <formula>NOT(ISERROR(SEARCH("available",G7)))</formula>
    </cfRule>
    <cfRule type="containsText" dxfId="112" priority="34" operator="containsText" text="check note">
      <formula>NOT(ISERROR(SEARCH("check note",G7)))</formula>
    </cfRule>
    <cfRule type="containsText" dxfId="111" priority="41" operator="containsText" text="off">
      <formula>NOT(ISERROR(SEARCH("off",G7)))</formula>
    </cfRule>
  </conditionalFormatting>
  <conditionalFormatting sqref="N81:T94">
    <cfRule type="containsText" dxfId="110" priority="46" operator="containsText" text="MEDICAL">
      <formula>NOT(ISERROR(SEARCH("MEDICAL",N81)))</formula>
    </cfRule>
    <cfRule type="containsText" dxfId="109" priority="43" operator="containsText" text="OOS">
      <formula>NOT(ISERROR(SEARCH("OOS",N81)))</formula>
    </cfRule>
    <cfRule type="containsText" dxfId="108" priority="44" operator="containsText" text="MILITARY">
      <formula>NOT(ISERROR(SEARCH("MILITARY",N81)))</formula>
    </cfRule>
    <cfRule type="containsText" dxfId="107" priority="45" operator="containsText" text="OWP">
      <formula>NOT(ISERROR(SEARCH("OWP",N81)))</formula>
    </cfRule>
    <cfRule type="containsText" dxfId="106" priority="47" operator="containsText" text="OTP">
      <formula>NOT(ISERROR(SEARCH("OTP",N81)))</formula>
    </cfRule>
    <cfRule type="containsText" dxfId="105" priority="48" operator="containsText" text="VACATION">
      <formula>NOT(ISERROR(SEARCH("VACATION",N81)))</formula>
    </cfRule>
    <cfRule type="containsText" dxfId="104" priority="49" operator="containsText" text="fmla">
      <formula>NOT(ISERROR(SEARCH("fmla",N81)))</formula>
    </cfRule>
    <cfRule type="containsText" dxfId="103" priority="50" operator="containsText" text="sick">
      <formula>NOT(ISERROR(SEARCH("sick",N81)))</formula>
    </cfRule>
    <cfRule type="containsText" dxfId="102" priority="51" operator="containsText" text="OFF">
      <formula>NOT(ISERROR(SEARCH("OFF",N81)))</formula>
    </cfRule>
  </conditionalFormatting>
  <conditionalFormatting sqref="N186:T189">
    <cfRule type="containsText" dxfId="101" priority="23" operator="containsText" text="sick">
      <formula>NOT(ISERROR(SEARCH("sick",N186)))</formula>
    </cfRule>
    <cfRule type="containsText" dxfId="100" priority="24" operator="containsText" text="OFF">
      <formula>NOT(ISERROR(SEARCH("OFF",N186)))</formula>
    </cfRule>
    <cfRule type="containsText" dxfId="99" priority="21" operator="containsText" text="VACATION">
      <formula>NOT(ISERROR(SEARCH("VACATION",N186)))</formula>
    </cfRule>
    <cfRule type="containsText" dxfId="98" priority="20" operator="containsText" text="OTP">
      <formula>NOT(ISERROR(SEARCH("OTP",N186)))</formula>
    </cfRule>
    <cfRule type="containsText" dxfId="97" priority="17" operator="containsText" text="MILITARY">
      <formula>NOT(ISERROR(SEARCH("MILITARY",N186)))</formula>
    </cfRule>
    <cfRule type="containsText" dxfId="96" priority="22" operator="containsText" text="fmla">
      <formula>NOT(ISERROR(SEARCH("fmla",N186)))</formula>
    </cfRule>
    <cfRule type="containsText" dxfId="95" priority="19" operator="containsText" text="MEDICAL">
      <formula>NOT(ISERROR(SEARCH("MEDICAL",N186)))</formula>
    </cfRule>
    <cfRule type="containsText" dxfId="94" priority="18" operator="containsText" text="OWP">
      <formula>NOT(ISERROR(SEARCH("OWP",N186)))</formula>
    </cfRule>
    <cfRule type="containsText" dxfId="93" priority="16" operator="containsText" text="OOS">
      <formula>NOT(ISERROR(SEARCH("OOS",N186)))</formula>
    </cfRule>
  </conditionalFormatting>
  <conditionalFormatting sqref="U14">
    <cfRule type="cellIs" dxfId="92" priority="42" operator="equal">
      <formula>0</formula>
    </cfRule>
  </conditionalFormatting>
  <conditionalFormatting sqref="U149">
    <cfRule type="cellIs" dxfId="91" priority="15" operator="equal">
      <formula>0</formula>
    </cfRule>
  </conditionalFormatting>
  <pageMargins left="0.25" right="0.25" top="0.75" bottom="0.75" header="0.3" footer="0.3"/>
  <pageSetup scale="3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17FC-D3B7-4248-8A95-8FCB947AB4CE}">
  <sheetPr codeName="Sheet7">
    <tabColor theme="9" tint="0.59999389629810485"/>
  </sheetPr>
  <dimension ref="A1:AD331"/>
  <sheetViews>
    <sheetView showGridLines="0" showRowColHeaders="0" topLeftCell="C1" zoomScale="65" zoomScaleNormal="65" workbookViewId="0">
      <pane xSplit="4" ySplit="6" topLeftCell="G241" activePane="bottomRight" state="frozen"/>
      <selection pane="topRight" activeCell="J55" activeCellId="1" sqref="J26 J55"/>
      <selection pane="bottomLeft" activeCell="J55" activeCellId="1" sqref="J26 J55"/>
      <selection pane="bottomRight" activeCell="K39" sqref="K39"/>
    </sheetView>
  </sheetViews>
  <sheetFormatPr defaultColWidth="10.58203125" defaultRowHeight="16" x14ac:dyDescent="0.4"/>
  <cols>
    <col min="1" max="2" width="0" style="152" hidden="1" customWidth="1"/>
    <col min="3" max="3" width="2.08203125" style="152" customWidth="1"/>
    <col min="4" max="4" width="3.58203125" style="152" customWidth="1"/>
    <col min="5" max="5" width="19.58203125" style="161" hidden="1" customWidth="1"/>
    <col min="6" max="6" width="35.58203125" style="204" customWidth="1"/>
    <col min="7" max="13" width="35.58203125" style="152" customWidth="1"/>
    <col min="14" max="14" width="10.58203125" style="152"/>
    <col min="15" max="22" width="10.58203125" style="152" customWidth="1"/>
    <col min="23" max="23" width="25.08203125" style="152" customWidth="1"/>
    <col min="24" max="30" width="31.58203125" style="152" customWidth="1"/>
    <col min="31" max="67" width="10.58203125" style="152" customWidth="1"/>
    <col min="68" max="16384" width="10.58203125" style="152"/>
  </cols>
  <sheetData>
    <row r="1" spans="1:30" ht="11.25" customHeight="1" x14ac:dyDescent="0.4">
      <c r="A1" s="147"/>
      <c r="B1" s="148"/>
      <c r="C1" s="149"/>
      <c r="D1" s="150"/>
      <c r="E1" s="151"/>
      <c r="F1" s="421" t="s">
        <v>65</v>
      </c>
      <c r="G1" s="401"/>
      <c r="H1" s="401"/>
      <c r="I1" s="401"/>
      <c r="J1" s="401"/>
      <c r="K1" s="401"/>
      <c r="L1" s="401"/>
      <c r="M1" s="402"/>
    </row>
    <row r="2" spans="1:30" ht="11.25" customHeight="1" x14ac:dyDescent="0.4">
      <c r="A2" s="153"/>
      <c r="C2" s="154"/>
      <c r="D2" s="155"/>
      <c r="E2" s="156"/>
      <c r="F2" s="397"/>
      <c r="G2" s="397"/>
      <c r="H2" s="397"/>
      <c r="I2" s="397"/>
      <c r="J2" s="397"/>
      <c r="K2" s="397"/>
      <c r="L2" s="397"/>
      <c r="M2" s="403"/>
    </row>
    <row r="3" spans="1:30" ht="11.25" customHeight="1" thickBot="1" x14ac:dyDescent="0.6">
      <c r="A3" s="153"/>
      <c r="C3" s="154"/>
      <c r="D3" s="155"/>
      <c r="E3" s="157"/>
      <c r="F3" s="404"/>
      <c r="G3" s="404"/>
      <c r="H3" s="404"/>
      <c r="I3" s="404"/>
      <c r="J3" s="404"/>
      <c r="K3" s="404"/>
      <c r="L3" s="404"/>
      <c r="M3" s="405"/>
      <c r="N3" s="158"/>
    </row>
    <row r="4" spans="1:30" ht="18" customHeight="1" x14ac:dyDescent="0.55000000000000004">
      <c r="A4" s="153"/>
      <c r="C4" s="159"/>
      <c r="D4" s="160"/>
      <c r="F4" s="162"/>
      <c r="G4" s="163" t="str">
        <f t="shared" ref="G4:M4" si="0">TEXT(G5,"dddd")</f>
        <v>Saturday</v>
      </c>
      <c r="H4" s="163" t="str">
        <f t="shared" si="0"/>
        <v>Sunday</v>
      </c>
      <c r="I4" s="163" t="str">
        <f t="shared" si="0"/>
        <v>Monday</v>
      </c>
      <c r="J4" s="163" t="str">
        <f t="shared" si="0"/>
        <v>Tuesday</v>
      </c>
      <c r="K4" s="163" t="str">
        <f t="shared" si="0"/>
        <v>Wednesday</v>
      </c>
      <c r="L4" s="163" t="str">
        <f t="shared" si="0"/>
        <v>Thursday</v>
      </c>
      <c r="M4" s="163" t="str">
        <f t="shared" si="0"/>
        <v>Friday</v>
      </c>
      <c r="N4" s="158"/>
    </row>
    <row r="5" spans="1:30" ht="18" customHeight="1" x14ac:dyDescent="0.55000000000000004">
      <c r="A5" s="153"/>
      <c r="C5" s="159"/>
      <c r="D5" s="160"/>
      <c r="F5" s="164" t="s">
        <v>66</v>
      </c>
      <c r="G5" s="165">
        <f>Sheet1!F1</f>
        <v>45969</v>
      </c>
      <c r="H5" s="165">
        <f t="shared" ref="H5:M5" si="1">+G5+1</f>
        <v>45970</v>
      </c>
      <c r="I5" s="165">
        <f t="shared" si="1"/>
        <v>45971</v>
      </c>
      <c r="J5" s="165">
        <f t="shared" si="1"/>
        <v>45972</v>
      </c>
      <c r="K5" s="165">
        <f t="shared" si="1"/>
        <v>45973</v>
      </c>
      <c r="L5" s="165">
        <f t="shared" si="1"/>
        <v>45974</v>
      </c>
      <c r="M5" s="165">
        <f t="shared" si="1"/>
        <v>45975</v>
      </c>
      <c r="N5" s="158"/>
    </row>
    <row r="6" spans="1:30" ht="25.5" customHeight="1" x14ac:dyDescent="0.55000000000000004">
      <c r="A6" s="153"/>
      <c r="C6" s="159"/>
      <c r="D6" s="166"/>
      <c r="F6" s="422" t="s">
        <v>5</v>
      </c>
      <c r="G6" s="423"/>
      <c r="H6" s="423"/>
      <c r="I6" s="423"/>
      <c r="J6" s="423"/>
      <c r="K6" s="423"/>
      <c r="L6" s="423"/>
      <c r="M6" s="424"/>
      <c r="N6" s="158"/>
      <c r="W6" s="167"/>
      <c r="X6" s="167"/>
      <c r="Y6" s="167"/>
      <c r="Z6" s="167"/>
      <c r="AA6" s="167"/>
      <c r="AB6" s="167"/>
      <c r="AC6" s="167"/>
      <c r="AD6" s="167"/>
    </row>
    <row r="7" spans="1:30" ht="17.25" customHeight="1" x14ac:dyDescent="0.55000000000000004">
      <c r="A7" s="153"/>
      <c r="C7" s="412" t="s">
        <v>67</v>
      </c>
      <c r="D7" s="413"/>
      <c r="E7" s="168" t="s">
        <v>68</v>
      </c>
      <c r="F7" s="414" t="s">
        <v>69</v>
      </c>
      <c r="G7" s="169" t="str" cm="1">
        <f t="array" ref="G7">IF(RIGHT(_xlfn._xlws.FILTER(Sheet1!$G$2:$G$333,(Sheet1!$G$2:$G$333=$E7)+(Sheet1!$G$2:$G$333=$E8)+(Sheet1!$G$2:$G$333=$E9),""),4)="POST",CONCATENATE(_xlfn._xlws.FILTER(Sheet1!$A$2:$A$333,(Sheet1!$G$2:$G$333=$E7)+(Sheet1!$G$2:$G$333=$E8)+(Sheet1!$G$2:$G$333=$E9),""),"-","POST"),_xlfn._xlws.FILTER(Sheet1!$A$2:$A$333,(Sheet1!$G$2:$G$333=$E7)+(Sheet1!$G$2:$G$333=$E8)+(Sheet1!$G$2:$G$333=$E9),"UNFILLED"))</f>
        <v>CLAFFY, DEIDRE</v>
      </c>
      <c r="H7" s="169" t="str" cm="1">
        <f t="array" ref="H7">IF(RIGHT(_xlfn._xlws.FILTER(Sheet1!$I$2:$I$333,(Sheet1!$I$2:$I$333=$E7)+(Sheet1!$I$2:$I$333=$E8)+(Sheet1!$I$2:$I$333=$E9),""),4)="POST",CONCATENATE(_xlfn._xlws.FILTER(Sheet1!$A$2:$A$333,(Sheet1!$I$2:$I$333=$E7)+(Sheet1!$I$2:$I$333=$E8)+(Sheet1!$I$2:$I$333=$E9),""),"-","POST"),_xlfn._xlws.FILTER(Sheet1!$A$2:$A$333,(Sheet1!$I$2:$I$333=$E7)+(Sheet1!$I$2:$I$333=$E8)+(Sheet1!$I$2:$I$333=$E9),"UNFILLED"))</f>
        <v>CAMARDA, CHRIS</v>
      </c>
      <c r="I7" s="169" t="str" cm="1">
        <f t="array" ref="I7">IF(RIGHT(_xlfn._xlws.FILTER(Sheet1!$K$2:$K$333,(Sheet1!$K$2:$K$333=$E7)+(Sheet1!$K$2:$K$333=$E8)+(Sheet1!$K$2:$K$333=$E9),""),4)="POST",CONCATENATE(_xlfn._xlws.FILTER(Sheet1!$A$2:$A$333,(Sheet1!$K$2:$K$333=$E7)+(Sheet1!$K$2:$K$333=$E8)+(Sheet1!$K$2:$K$333=$E9),""),"-","POST"),_xlfn._xlws.FILTER(Sheet1!$A$2:$A$333,(Sheet1!$K$2:$K$333=$E7)+(Sheet1!$K$2:$K$333=$E8)+(Sheet1!$K$2:$K$333=$E9),"UNFILLED"))</f>
        <v>CAMARDA, CHRIS</v>
      </c>
      <c r="J7" s="169" t="str" cm="1">
        <f t="array" ref="J7">IF(RIGHT(_xlfn._xlws.FILTER(Sheet1!M$2:M$333,(Sheet1!M$2:M$333=$E7)+(Sheet1!M$2:M$333=$E8)+(Sheet1!M$2:M$333=$E9),""),4)="POST",CONCATENATE(_xlfn._xlws.FILTER(Sheet1!$A$2:$A$333,(Sheet1!M$2:M$333=$E7)+(Sheet1!M$2:M$333=$E8)+(Sheet1!M$2:M$333=$E9),""),"-","POST"),_xlfn._xlws.FILTER(Sheet1!$A$2:$A$333,(Sheet1!M$2:M$333=$E7)+(Sheet1!M$2:M$333=$E8)+(Sheet1!M$2:M$333=$E9),"UNFILLED"))</f>
        <v>CAMARDA, CHRIS</v>
      </c>
      <c r="K7" s="169" t="str" cm="1">
        <f t="array" ref="K7">IF(RIGHT(_xlfn._xlws.FILTER(Sheet1!$O$2:$O$333,(Sheet1!$O$2:$O$333=$E7)+(Sheet1!$O$2:$O$333=$E8)+(Sheet1!$O$2:$O$333=$E9),""),4)="POST",CONCATENATE(_xlfn._xlws.FILTER(Sheet1!$A$2:$A$333,(Sheet1!$O$2:$O$333=$E7)+(Sheet1!$O$2:$O$333=$E8)+(Sheet1!$O$2:$O$333=$E9),""),"-","POST"),_xlfn._xlws.FILTER(Sheet1!$A$2:$A$333,(Sheet1!$O$2:$O$333=$E7)+(Sheet1!$O$2:$O$333=$E8)+(Sheet1!$O$2:$O$333=$E9),"UNFILLED"))</f>
        <v>CAMARDA, CHRIS</v>
      </c>
      <c r="L7" s="169" t="str" cm="1">
        <f t="array" ref="L7">IF(RIGHT(_xlfn._xlws.FILTER(Sheet1!$Q$2:$Q$333,(Sheet1!$Q$2:$Q$333=$E7)+(Sheet1!$Q$2:$Q$333=$E8)+(Sheet1!$Q$2:$Q$333=$E9),""),4)="POST",CONCATENATE(_xlfn._xlws.FILTER(Sheet1!$A$2:$A$333,(Sheet1!$Q$2:$Q$333=$E7)+(Sheet1!$Q$2:$Q$333=$E8)+(Sheet1!$Q$2:$Q$333=$E9),""),"-","POST"),_xlfn._xlws.FILTER(Sheet1!$A$2:$A$333,(Sheet1!$Q$2:$Q$333=$E7)+(Sheet1!$Q$2:$Q$333=$E8)+(Sheet1!$Q$2:$Q$333=$E9),"UNFILLED"))</f>
        <v>CAMARDA, CHRIS</v>
      </c>
      <c r="M7" s="169" t="str" cm="1">
        <f t="array" ref="M7">IF(RIGHT(_xlfn._xlws.FILTER(Sheet1!$S$2:$S$333,(Sheet1!$S$2:$S$333=$E7)+(Sheet1!$S$2:$S$333=$E8)+(Sheet1!$S$2:$S$333=$E9),""),4)="POST",CONCATENATE(_xlfn._xlws.FILTER(Sheet1!$A$2:$A$333,(Sheet1!$S$2:$S$333=$E7)+(Sheet1!$S$2:$S$333=$E8)+(Sheet1!$S$2:$S$333=$E9),""),"-","POST"),_xlfn._xlws.FILTER(Sheet1!$A$2:$A$333,(Sheet1!$S$2:$S$333=$E7)+(Sheet1!$S$2:$S$333=$E8)+(Sheet1!$S$2:$S$333=$E9),"UNFILLED"))</f>
        <v>CLAFFY, DEIDRE</v>
      </c>
      <c r="N7" s="158" t="s">
        <v>70</v>
      </c>
      <c r="W7" s="417"/>
      <c r="X7" s="170"/>
      <c r="Y7" s="170"/>
      <c r="Z7" s="170"/>
      <c r="AA7" s="170"/>
      <c r="AB7" s="170"/>
      <c r="AC7" s="170"/>
      <c r="AD7" s="170"/>
    </row>
    <row r="8" spans="1:30" ht="17.25" customHeight="1" x14ac:dyDescent="0.55000000000000004">
      <c r="A8" s="153"/>
      <c r="C8" s="412"/>
      <c r="D8" s="413"/>
      <c r="E8" s="168" t="str">
        <f>_xlfn.CONCAT(E7,"-","POST")</f>
        <v>HT-1-POST</v>
      </c>
      <c r="F8" s="415"/>
      <c r="G8" s="171"/>
      <c r="H8" s="171"/>
      <c r="I8" s="171"/>
      <c r="J8" s="171"/>
      <c r="K8" s="171"/>
      <c r="L8" s="171"/>
      <c r="M8" s="171"/>
      <c r="N8" s="158"/>
      <c r="W8" s="417"/>
      <c r="X8" s="172"/>
      <c r="Y8" s="172"/>
      <c r="Z8" s="172"/>
      <c r="AA8" s="172"/>
      <c r="AB8" s="172"/>
      <c r="AC8" s="172"/>
      <c r="AD8" s="172"/>
    </row>
    <row r="9" spans="1:30" ht="17.25" customHeight="1" x14ac:dyDescent="0.55000000000000004">
      <c r="A9" s="153"/>
      <c r="C9" s="412"/>
      <c r="D9" s="413"/>
      <c r="E9" s="168" t="str">
        <f>_xlfn.CONCAT(E7,"-","PILOT")</f>
        <v>HT-1-PILOT</v>
      </c>
      <c r="F9" s="416"/>
      <c r="G9" s="173"/>
      <c r="H9" s="173"/>
      <c r="I9" s="173"/>
      <c r="J9" s="173"/>
      <c r="K9" s="173"/>
      <c r="L9" s="173"/>
      <c r="M9" s="173"/>
      <c r="N9" s="158"/>
      <c r="W9" s="417"/>
      <c r="X9" s="172"/>
      <c r="Y9" s="172"/>
      <c r="Z9" s="172"/>
      <c r="AA9" s="172"/>
      <c r="AB9" s="172"/>
      <c r="AC9" s="172"/>
      <c r="AD9" s="172"/>
    </row>
    <row r="10" spans="1:30" ht="17.25" customHeight="1" x14ac:dyDescent="0.55000000000000004">
      <c r="A10" s="153"/>
      <c r="C10" s="412"/>
      <c r="D10" s="413"/>
      <c r="E10" s="168" t="s">
        <v>71</v>
      </c>
      <c r="F10" s="414" t="s">
        <v>72</v>
      </c>
      <c r="G10" s="169" t="str" cm="1">
        <f t="array" ref="G10">IF(RIGHT(_xlfn._xlws.FILTER(Sheet1!$G$2:$G$333,(Sheet1!$G$2:$G$333=$E10)+(Sheet1!$G$2:$G$333=$E11)+(Sheet1!$G$2:$G$333=$E12),""),4)="POST",CONCATENATE(_xlfn._xlws.FILTER(Sheet1!$A$2:$A$333,(Sheet1!$G$2:$G$333=$E10)+(Sheet1!$G$2:$G$333=$E11)+(Sheet1!$G$2:$G$333=$E12),""),"-","POST"),_xlfn._xlws.FILTER(Sheet1!$A$2:$A$333,(Sheet1!$G$2:$G$333=$E10)+(Sheet1!$G$2:$G$333=$E11)+(Sheet1!$G$2:$G$333=$E12),"UNFILLED"))</f>
        <v>JONES, ANTHONY</v>
      </c>
      <c r="H10" s="169" t="str" cm="1">
        <f t="array" ref="H10">IF(RIGHT(_xlfn._xlws.FILTER(Sheet1!$I$2:$I$333,(Sheet1!$I$2:$I$333=$E10)+(Sheet1!$I$2:$I$333=$E11)+(Sheet1!$I$2:$I$333=$E12),""),4)="POST",CONCATENATE(_xlfn._xlws.FILTER(Sheet1!$A$2:$A$333,(Sheet1!$I$2:$I$333=$E10)+(Sheet1!$I$2:$I$333=$E11)+(Sheet1!$I$2:$I$333=$E12),""),"-","POST"),_xlfn._xlws.FILTER(Sheet1!$A$2:$A$333,(Sheet1!$I$2:$I$333=$E10)+(Sheet1!$I$2:$I$333=$E11)+(Sheet1!$I$2:$I$333=$E12),"UNFILLED"))</f>
        <v>TUCKER, JUSTIN</v>
      </c>
      <c r="I10" s="169" t="str" cm="1">
        <f t="array" ref="I10">IF(RIGHT(_xlfn._xlws.FILTER(Sheet1!$K$2:$K$333,(Sheet1!$K$2:$K$333=$E10)+(Sheet1!$K$2:$K$333=$E11)+(Sheet1!$K$2:$K$333=$E12),""),4)="POST",CONCATENATE(_xlfn._xlws.FILTER(Sheet1!$A$2:$A$333,(Sheet1!$K$2:$K$333=$E10)+(Sheet1!$K$2:$K$333=$E11)+(Sheet1!$K$2:$K$333=$E12),""),"-","POST"),_xlfn._xlws.FILTER(Sheet1!$A$2:$A$333,(Sheet1!$K$2:$K$333=$E10)+(Sheet1!$K$2:$K$333=$E11)+(Sheet1!$K$2:$K$333=$E12),"UNFILLED"))</f>
        <v>SLANEY, MATTHEW</v>
      </c>
      <c r="J10" s="169" t="str" cm="1">
        <f t="array" ref="J10">IF(RIGHT(_xlfn._xlws.FILTER(Sheet1!M$2:M$333,(Sheet1!M$2:M$333=$E10)+(Sheet1!M$2:M$333=$E11)+(Sheet1!M$2:M$333=$E12),""),4)="POST",CONCATENATE(_xlfn._xlws.FILTER(Sheet1!$A$2:$A$333,(Sheet1!M$2:M$333=$E10)+(Sheet1!M$2:M$333=$E11)+(Sheet1!M$2:M$333=$E12),""),"-","POST"),_xlfn._xlws.FILTER(Sheet1!$A$2:$A$333,(Sheet1!M$2:M$333=$E10)+(Sheet1!M$2:M$333=$E11)+(Sheet1!M$2:M$333=$E12),"UNFILLED"))</f>
        <v>CARR, JEREMY</v>
      </c>
      <c r="K10" s="169" t="str" cm="1">
        <f t="array" ref="K10">IF(RIGHT(_xlfn._xlws.FILTER(Sheet1!$O$2:$O$333,(Sheet1!$O$2:$O$333=$E10)+(Sheet1!$O$2:$O$333=$E11)+(Sheet1!$O$2:$O$333=$E12),""),4)="POST",CONCATENATE(_xlfn._xlws.FILTER(Sheet1!$A$2:$A$333,(Sheet1!$O$2:$O$333=$E10)+(Sheet1!$O$2:$O$333=$E11)+(Sheet1!$O$2:$O$333=$E12),""),"-","POST"),_xlfn._xlws.FILTER(Sheet1!$A$2:$A$333,(Sheet1!$O$2:$O$333=$E10)+(Sheet1!$O$2:$O$333=$E11)+(Sheet1!$O$2:$O$333=$E12),"UNFILLED"))</f>
        <v>CARR, JEREMY</v>
      </c>
      <c r="L10" s="169" t="str" cm="1">
        <f t="array" ref="L10">IF(RIGHT(_xlfn._xlws.FILTER(Sheet1!$Q$2:$Q$333,(Sheet1!$Q$2:$Q$333=$E10)+(Sheet1!$Q$2:$Q$333=$E11)+(Sheet1!$Q$2:$Q$333=$E12),""),4)="POST",CONCATENATE(_xlfn._xlws.FILTER(Sheet1!$A$2:$A$333,(Sheet1!$Q$2:$Q$333=$E10)+(Sheet1!$Q$2:$Q$333=$E11)+(Sheet1!$Q$2:$Q$333=$E12),""),"-","POST"),_xlfn._xlws.FILTER(Sheet1!$A$2:$A$333,(Sheet1!$Q$2:$Q$333=$E10)+(Sheet1!$Q$2:$Q$333=$E11)+(Sheet1!$Q$2:$Q$333=$E12),"UNFILLED"))</f>
        <v>CARR, JEREMY</v>
      </c>
      <c r="M10" s="169" t="str" cm="1">
        <f t="array" ref="M10">IF(RIGHT(_xlfn._xlws.FILTER(Sheet1!$S$2:$S$333,(Sheet1!$S$2:$S$333=$E10)+(Sheet1!$S$2:$S$333=$E11)+(Sheet1!$S$2:$S$333=$E12),""),4)="POST",CONCATENATE(_xlfn._xlws.FILTER(Sheet1!$A$2:$A$333,(Sheet1!$S$2:$S$333=$E10)+(Sheet1!$S$2:$S$333=$E11)+(Sheet1!$S$2:$S$333=$E12),""),"-","POST"),_xlfn._xlws.FILTER(Sheet1!$A$2:$A$333,(Sheet1!$S$2:$S$333=$E10)+(Sheet1!$S$2:$S$333=$E11)+(Sheet1!$S$2:$S$333=$E12),"UNFILLED"))</f>
        <v>CARR, JEREMY</v>
      </c>
      <c r="N10" s="158" t="s">
        <v>70</v>
      </c>
      <c r="W10" s="417"/>
      <c r="X10" s="170"/>
      <c r="Y10" s="170"/>
      <c r="Z10" s="170"/>
      <c r="AA10" s="170"/>
      <c r="AB10" s="170"/>
      <c r="AC10" s="170"/>
      <c r="AD10" s="170"/>
    </row>
    <row r="11" spans="1:30" ht="17.25" customHeight="1" x14ac:dyDescent="0.55000000000000004">
      <c r="A11" s="153"/>
      <c r="C11" s="412"/>
      <c r="D11" s="413"/>
      <c r="E11" s="168" t="str">
        <f>_xlfn.CONCAT(E10,"-","POST")</f>
        <v>HE-1-POST</v>
      </c>
      <c r="F11" s="415"/>
      <c r="G11" s="171"/>
      <c r="H11" s="171"/>
      <c r="I11" s="171"/>
      <c r="J11" s="171"/>
      <c r="K11" s="171"/>
      <c r="L11" s="171"/>
      <c r="M11" s="171"/>
      <c r="N11" s="158"/>
      <c r="W11" s="417"/>
      <c r="X11" s="172"/>
      <c r="Y11" s="172"/>
      <c r="Z11" s="172"/>
      <c r="AA11" s="172"/>
      <c r="AB11" s="172"/>
      <c r="AC11" s="172"/>
      <c r="AD11" s="172"/>
    </row>
    <row r="12" spans="1:30" ht="17.25" customHeight="1" x14ac:dyDescent="0.55000000000000004">
      <c r="A12" s="153"/>
      <c r="C12" s="412"/>
      <c r="D12" s="413"/>
      <c r="E12" s="168" t="str">
        <f>_xlfn.CONCAT(E10,"-","PILOT")</f>
        <v>HE-1-PILOT</v>
      </c>
      <c r="F12" s="416"/>
      <c r="G12" s="173"/>
      <c r="H12" s="173"/>
      <c r="I12" s="173"/>
      <c r="J12" s="173"/>
      <c r="K12" s="173"/>
      <c r="L12" s="173"/>
      <c r="M12" s="173"/>
      <c r="N12" s="158"/>
      <c r="W12" s="417"/>
      <c r="X12" s="172"/>
      <c r="Y12" s="172"/>
      <c r="Z12" s="172"/>
      <c r="AA12" s="172"/>
      <c r="AB12" s="172"/>
      <c r="AC12" s="172"/>
      <c r="AD12" s="172"/>
    </row>
    <row r="13" spans="1:30" ht="17.25" customHeight="1" x14ac:dyDescent="0.55000000000000004">
      <c r="A13" s="153"/>
      <c r="C13" s="412"/>
      <c r="D13" s="413"/>
      <c r="E13" s="168" t="s">
        <v>73</v>
      </c>
      <c r="F13" s="414" t="s">
        <v>74</v>
      </c>
      <c r="G13" s="169" t="str" cm="1">
        <f t="array" ref="G13:G14">IF(RIGHT(_xlfn._xlws.FILTER(Sheet1!$G$2:$G$333,(Sheet1!$G$2:$G$333=$E13)+(Sheet1!$G$2:$G$333=$E14)+(Sheet1!$G$2:$G$333=$E15),""),4)="POST",CONCATENATE(_xlfn._xlws.FILTER(Sheet1!$A$2:$A$333,(Sheet1!$G$2:$G$333=$E13)+(Sheet1!$G$2:$G$333=$E14)+(Sheet1!$G$2:$G$333=$E15),""),"-","POST"),_xlfn._xlws.FILTER(Sheet1!$A$2:$A$333,(Sheet1!$G$2:$G$333=$E13)+(Sheet1!$G$2:$G$333=$E14)+(Sheet1!$G$2:$G$333=$E15),"UNFILLED"))</f>
        <v>BOYD, MIA</v>
      </c>
      <c r="H13" s="169" t="str" cm="1">
        <f t="array" ref="H13">IF(RIGHT(_xlfn._xlws.FILTER(Sheet1!$I$2:$I$333,(Sheet1!$I$2:$I$333=$E13)+(Sheet1!$I$2:$I$333=$E14)+(Sheet1!$I$2:$I$333=$E15),""),4)="POST",CONCATENATE(_xlfn._xlws.FILTER(Sheet1!$A$2:$A$333,(Sheet1!$I$2:$I$333=$E13)+(Sheet1!$I$2:$I$333=$E14)+(Sheet1!$I$2:$I$333=$E15),""),"-","POST"),_xlfn._xlws.FILTER(Sheet1!$A$2:$A$333,(Sheet1!$I$2:$I$333=$E13)+(Sheet1!$I$2:$I$333=$E14)+(Sheet1!$I$2:$I$333=$E15),"UNFILLED"))</f>
        <v>ROTH, KATE</v>
      </c>
      <c r="I13" s="169" t="str" cm="1">
        <f t="array" ref="I13">IF(RIGHT(_xlfn._xlws.FILTER(Sheet1!$K$2:$K$333,(Sheet1!$K$2:$K$333=$E13)+(Sheet1!$K$2:$K$333=$E14)+(Sheet1!$K$2:$K$333=$E15),""),4)="POST",CONCATENATE(_xlfn._xlws.FILTER(Sheet1!$A$2:$A$333,(Sheet1!$K$2:$K$333=$E13)+(Sheet1!$K$2:$K$333=$E14)+(Sheet1!$K$2:$K$333=$E15),""),"-","POST"),_xlfn._xlws.FILTER(Sheet1!$A$2:$A$333,(Sheet1!$K$2:$K$333=$E13)+(Sheet1!$K$2:$K$333=$E14)+(Sheet1!$K$2:$K$333=$E15),"UNFILLED"))</f>
        <v>ROTH, KATE</v>
      </c>
      <c r="J13" s="169" t="str" cm="1">
        <f t="array" ref="J13">IF(RIGHT(_xlfn._xlws.FILTER(Sheet1!M$2:M$333,(Sheet1!M$2:M$333=$E13)+(Sheet1!M$2:M$333=$E14)+(Sheet1!M$2:M$333=$E15),""),4)="POST",CONCATENATE(_xlfn._xlws.FILTER(Sheet1!$A$2:$A$333,(Sheet1!M$2:M$333=$E13)+(Sheet1!M$2:M$333=$E14)+(Sheet1!M$2:M$333=$E15),""),"-","POST"),_xlfn._xlws.FILTER(Sheet1!$A$2:$A$333,(Sheet1!M$2:M$333=$E13)+(Sheet1!M$2:M$333=$E14)+(Sheet1!M$2:M$333=$E15),"UNFILLED"))</f>
        <v>ROTH, KATE</v>
      </c>
      <c r="K13" s="169" t="str" cm="1">
        <f t="array" ref="K13">IF(RIGHT(_xlfn._xlws.FILTER(Sheet1!$O$2:$O$333,(Sheet1!$O$2:$O$333=$E13)+(Sheet1!$O$2:$O$333=$E14)+(Sheet1!$O$2:$O$333=$E15),""),4)="POST",CONCATENATE(_xlfn._xlws.FILTER(Sheet1!$A$2:$A$333,(Sheet1!$O$2:$O$333=$E13)+(Sheet1!$O$2:$O$333=$E14)+(Sheet1!$O$2:$O$333=$E15),""),"-","POST"),_xlfn._xlws.FILTER(Sheet1!$A$2:$A$333,(Sheet1!$O$2:$O$333=$E13)+(Sheet1!$O$2:$O$333=$E14)+(Sheet1!$O$2:$O$333=$E15),"UNFILLED"))</f>
        <v>ROTH, KATE</v>
      </c>
      <c r="L13" s="169" t="str" cm="1">
        <f t="array" ref="L13">IF(RIGHT(_xlfn._xlws.FILTER(Sheet1!$Q$2:$Q$333,(Sheet1!$Q$2:$Q$333=$E13)+(Sheet1!$Q$2:$Q$333=$E14)+(Sheet1!$Q$2:$Q$333=$E15),""),4)="POST",CONCATENATE(_xlfn._xlws.FILTER(Sheet1!$A$2:$A$333,(Sheet1!$Q$2:$Q$333=$E13)+(Sheet1!$Q$2:$Q$333=$E14)+(Sheet1!$Q$2:$Q$333=$E15),""),"-","POST"),_xlfn._xlws.FILTER(Sheet1!$A$2:$A$333,(Sheet1!$Q$2:$Q$333=$E13)+(Sheet1!$Q$2:$Q$333=$E14)+(Sheet1!$Q$2:$Q$333=$E15),"UNFILLED"))</f>
        <v>ROTH, KATE</v>
      </c>
      <c r="M13" s="169" t="str" cm="1">
        <f t="array" ref="M13">IF(RIGHT(_xlfn._xlws.FILTER(Sheet1!$S$2:$S$333,(Sheet1!$S$2:$S$333=$E13)+(Sheet1!$S$2:$S$333=$E14)+(Sheet1!$S$2:$S$333=$E15),""),4)="POST",CONCATENATE(_xlfn._xlws.FILTER(Sheet1!$A$2:$A$333,(Sheet1!$S$2:$S$333=$E13)+(Sheet1!$S$2:$S$333=$E14)+(Sheet1!$S$2:$S$333=$E15),""),"-","POST"),_xlfn._xlws.FILTER(Sheet1!$A$2:$A$333,(Sheet1!$S$2:$S$333=$E13)+(Sheet1!$S$2:$S$333=$E14)+(Sheet1!$S$2:$S$333=$E15),"UNFILLED"))</f>
        <v>BOYD, MIA</v>
      </c>
      <c r="N13" s="158" t="s">
        <v>70</v>
      </c>
      <c r="W13" s="417"/>
      <c r="X13" s="170"/>
      <c r="Y13" s="170"/>
      <c r="Z13" s="170"/>
      <c r="AA13" s="170"/>
      <c r="AB13" s="170"/>
      <c r="AC13" s="170"/>
      <c r="AD13" s="170"/>
    </row>
    <row r="14" spans="1:30" ht="17.25" customHeight="1" x14ac:dyDescent="0.55000000000000004">
      <c r="A14" s="153"/>
      <c r="C14" s="412"/>
      <c r="D14" s="413"/>
      <c r="E14" s="168" t="str">
        <f>_xlfn.CONCAT(E13,"-","POST")</f>
        <v>RL-1-POST</v>
      </c>
      <c r="F14" s="415"/>
      <c r="G14" s="171" t="str">
        <v>TUCKER, JUSTIN-POST</v>
      </c>
      <c r="H14" s="171"/>
      <c r="I14" s="171"/>
      <c r="J14" s="171"/>
      <c r="K14" s="171"/>
      <c r="L14" s="171"/>
      <c r="M14" s="171"/>
      <c r="N14" s="158" t="s">
        <v>70</v>
      </c>
      <c r="W14" s="417"/>
      <c r="X14" s="172"/>
      <c r="Y14" s="172"/>
      <c r="Z14" s="172"/>
      <c r="AA14" s="172"/>
      <c r="AB14" s="172"/>
      <c r="AC14" s="172"/>
      <c r="AD14" s="172"/>
    </row>
    <row r="15" spans="1:30" ht="17.25" customHeight="1" x14ac:dyDescent="0.55000000000000004">
      <c r="A15" s="153"/>
      <c r="C15" s="412"/>
      <c r="D15" s="413"/>
      <c r="E15" s="168" t="str">
        <f>_xlfn.CONCAT(E13,"-","PILOT")</f>
        <v>RL-1-PILOT</v>
      </c>
      <c r="F15" s="416"/>
      <c r="G15" s="173"/>
      <c r="H15" s="173"/>
      <c r="I15" s="173"/>
      <c r="J15" s="173"/>
      <c r="K15" s="173"/>
      <c r="L15" s="173"/>
      <c r="M15" s="173"/>
      <c r="N15" s="158"/>
      <c r="W15" s="417"/>
      <c r="X15" s="172"/>
      <c r="Y15" s="172"/>
      <c r="Z15" s="172"/>
      <c r="AA15" s="172"/>
      <c r="AB15" s="172"/>
      <c r="AC15" s="172"/>
      <c r="AD15" s="172"/>
    </row>
    <row r="16" spans="1:30" ht="17.25" customHeight="1" x14ac:dyDescent="0.55000000000000004">
      <c r="A16" s="153"/>
      <c r="C16" s="412"/>
      <c r="D16" s="413"/>
      <c r="E16" s="168" t="s">
        <v>75</v>
      </c>
      <c r="F16" s="414" t="s">
        <v>76</v>
      </c>
      <c r="G16" s="169" t="str" cm="1">
        <f t="array" ref="G16">IF(RIGHT(_xlfn._xlws.FILTER(Sheet1!$G$2:$G$333,(Sheet1!$G$2:$G$333=$E16)+(Sheet1!$G$2:$G$333=$E17)+(Sheet1!$G$2:$G$333=$E18),""),4)="POST",CONCATENATE(_xlfn._xlws.FILTER(Sheet1!$A$2:$A$333,(Sheet1!$G$2:$G$333=$E16)+(Sheet1!$G$2:$G$333=$E17)+(Sheet1!$G$2:$G$333=$E18),""),"-","POST"),_xlfn._xlws.FILTER(Sheet1!$A$2:$A$333,(Sheet1!$G$2:$G$333=$E16)+(Sheet1!$G$2:$G$333=$E17)+(Sheet1!$G$2:$G$333=$E18),"UNFILLED"))</f>
        <v>ZEIGLER, KIMBERLY</v>
      </c>
      <c r="H16" s="169" t="str" cm="1">
        <f t="array" ref="H16">IF(RIGHT(_xlfn._xlws.FILTER(Sheet1!$I$2:$I$333,(Sheet1!$I$2:$I$333=$E16)+(Sheet1!$I$2:$I$333=$E17)+(Sheet1!$I$2:$I$333=$E18),""),4)="POST",CONCATENATE(_xlfn._xlws.FILTER(Sheet1!$A$2:$A$333,(Sheet1!$I$2:$I$333=$E16)+(Sheet1!$I$2:$I$333=$E17)+(Sheet1!$I$2:$I$333=$E18),""),"-","POST"),_xlfn._xlws.FILTER(Sheet1!$A$2:$A$333,(Sheet1!$I$2:$I$333=$E16)+(Sheet1!$I$2:$I$333=$E17)+(Sheet1!$I$2:$I$333=$E18),"UNFILLED"))</f>
        <v>ZEIGLER, KIMBERLY</v>
      </c>
      <c r="I16" s="169" t="str" cm="1">
        <f t="array" ref="I16">IF(RIGHT(_xlfn._xlws.FILTER(Sheet1!$K$2:$K$333,(Sheet1!$K$2:$K$333=$E16)+(Sheet1!$K$2:$K$333=$E17)+(Sheet1!$K$2:$K$333=$E18),""),4)="POST",CONCATENATE(_xlfn._xlws.FILTER(Sheet1!$A$2:$A$333,(Sheet1!$K$2:$K$333=$E16)+(Sheet1!$K$2:$K$333=$E17)+(Sheet1!$K$2:$K$333=$E18),""),"-","POST"),_xlfn._xlws.FILTER(Sheet1!$A$2:$A$333,(Sheet1!$K$2:$K$333=$E16)+(Sheet1!$K$2:$K$333=$E17)+(Sheet1!$K$2:$K$333=$E18),"UNFILLED"))</f>
        <v>WIMMER, CHRISTOPHER</v>
      </c>
      <c r="J16" s="169" t="str" cm="1">
        <f t="array" ref="J16">IF(RIGHT(_xlfn._xlws.FILTER(Sheet1!M$2:M$333,(Sheet1!M$2:M$333=$E16)+(Sheet1!M$2:M$333=$E17)+(Sheet1!M$2:M$333=$E18),""),4)="POST",CONCATENATE(_xlfn._xlws.FILTER(Sheet1!$A$2:$A$333,(Sheet1!M$2:M$333=$E16)+(Sheet1!M$2:M$333=$E17)+(Sheet1!M$2:M$333=$E18),""),"-","POST"),_xlfn._xlws.FILTER(Sheet1!$A$2:$A$333,(Sheet1!M$2:M$333=$E16)+(Sheet1!M$2:M$333=$E17)+(Sheet1!M$2:M$333=$E18),"UNFILLED"))</f>
        <v>WIMMER, CHRISTOPHER</v>
      </c>
      <c r="K16" s="169" t="str" cm="1">
        <f t="array" ref="K16">IF(RIGHT(_xlfn._xlws.FILTER(Sheet1!$O$2:$O$333,(Sheet1!$O$2:$O$333=$E16)+(Sheet1!$O$2:$O$333=$E17)+(Sheet1!$O$2:$O$333=$E18),""),4)="POST",CONCATENATE(_xlfn._xlws.FILTER(Sheet1!$A$2:$A$333,(Sheet1!$O$2:$O$333=$E16)+(Sheet1!$O$2:$O$333=$E17)+(Sheet1!$O$2:$O$333=$E18),""),"-","POST"),_xlfn._xlws.FILTER(Sheet1!$A$2:$A$333,(Sheet1!$O$2:$O$333=$E16)+(Sheet1!$O$2:$O$333=$E17)+(Sheet1!$O$2:$O$333=$E18),"UNFILLED"))</f>
        <v>WIMMER, CHRISTOPHER</v>
      </c>
      <c r="L16" s="169" t="str" cm="1">
        <f t="array" ref="L16">IF(RIGHT(_xlfn._xlws.FILTER(Sheet1!$Q$2:$Q$333,(Sheet1!$Q$2:$Q$333=$E16)+(Sheet1!$Q$2:$Q$333=$E17)+(Sheet1!$Q$2:$Q$333=$E18),""),4)="POST",CONCATENATE(_xlfn._xlws.FILTER(Sheet1!$A$2:$A$333,(Sheet1!$Q$2:$Q$333=$E16)+(Sheet1!$Q$2:$Q$333=$E17)+(Sheet1!$Q$2:$Q$333=$E18),""),"-","POST"),_xlfn._xlws.FILTER(Sheet1!$A$2:$A$333,(Sheet1!$Q$2:$Q$333=$E16)+(Sheet1!$Q$2:$Q$333=$E17)+(Sheet1!$Q$2:$Q$333=$E18),"UNFILLED"))</f>
        <v>WIMMER, CHRISTOPHER</v>
      </c>
      <c r="M16" s="169" t="str" cm="1">
        <f t="array" ref="M16">IF(RIGHT(_xlfn._xlws.FILTER(Sheet1!$S$2:$S$333,(Sheet1!$S$2:$S$333=$E16)+(Sheet1!$S$2:$S$333=$E17)+(Sheet1!$S$2:$S$333=$E18),""),4)="POST",CONCATENATE(_xlfn._xlws.FILTER(Sheet1!$A$2:$A$333,(Sheet1!$S$2:$S$333=$E16)+(Sheet1!$S$2:$S$333=$E17)+(Sheet1!$S$2:$S$333=$E18),""),"-","POST"),_xlfn._xlws.FILTER(Sheet1!$A$2:$A$333,(Sheet1!$S$2:$S$333=$E16)+(Sheet1!$S$2:$S$333=$E17)+(Sheet1!$S$2:$S$333=$E18),"UNFILLED"))</f>
        <v>WIMMER, CHRISTOPHER</v>
      </c>
      <c r="N16" s="158" t="s">
        <v>70</v>
      </c>
      <c r="W16" s="417"/>
      <c r="X16" s="170"/>
      <c r="Y16" s="170"/>
      <c r="Z16" s="170"/>
      <c r="AA16" s="170"/>
      <c r="AB16" s="170"/>
      <c r="AC16" s="170"/>
      <c r="AD16" s="170"/>
    </row>
    <row r="17" spans="1:30" ht="17.25" customHeight="1" x14ac:dyDescent="0.55000000000000004">
      <c r="A17" s="153"/>
      <c r="C17" s="412"/>
      <c r="D17" s="413"/>
      <c r="E17" s="168" t="str">
        <f>_xlfn.CONCAT(E16,"-","POST")</f>
        <v>DH-1-POST</v>
      </c>
      <c r="F17" s="415"/>
      <c r="G17" s="171"/>
      <c r="H17" s="171"/>
      <c r="I17" s="171"/>
      <c r="J17" s="171"/>
      <c r="K17" s="171"/>
      <c r="L17" s="171"/>
      <c r="M17" s="171"/>
      <c r="N17" s="158"/>
      <c r="W17" s="417"/>
      <c r="X17" s="172"/>
      <c r="Y17" s="172"/>
      <c r="Z17" s="172"/>
      <c r="AA17" s="172"/>
      <c r="AB17" s="172"/>
      <c r="AC17" s="172"/>
      <c r="AD17" s="172"/>
    </row>
    <row r="18" spans="1:30" ht="17.25" customHeight="1" x14ac:dyDescent="0.55000000000000004">
      <c r="A18" s="153"/>
      <c r="C18" s="412"/>
      <c r="D18" s="413"/>
      <c r="E18" s="168" t="str">
        <f>_xlfn.CONCAT(E16,"-","PILOT")</f>
        <v>DH-1-PILOT</v>
      </c>
      <c r="F18" s="416"/>
      <c r="G18" s="173"/>
      <c r="H18" s="173"/>
      <c r="I18" s="173"/>
      <c r="J18" s="173"/>
      <c r="K18" s="173"/>
      <c r="L18" s="173"/>
      <c r="M18" s="173"/>
      <c r="N18" s="158"/>
      <c r="W18" s="417"/>
      <c r="X18" s="172"/>
      <c r="Y18" s="172"/>
      <c r="Z18" s="172"/>
      <c r="AA18" s="172"/>
      <c r="AB18" s="172"/>
      <c r="AC18" s="172"/>
      <c r="AD18" s="172"/>
    </row>
    <row r="19" spans="1:30" ht="17.25" customHeight="1" x14ac:dyDescent="0.55000000000000004">
      <c r="A19" s="153"/>
      <c r="C19" s="412"/>
      <c r="D19" s="413"/>
      <c r="E19" s="168" t="s">
        <v>77</v>
      </c>
      <c r="F19" s="414" t="s">
        <v>78</v>
      </c>
      <c r="G19" s="169" t="str" cm="1">
        <f t="array" ref="G19">IF(RIGHT(_xlfn._xlws.FILTER(Sheet1!$G$2:$G$333,(Sheet1!$G$2:$G$333=$E19)+(Sheet1!$G$2:$G$333=$E20)+(Sheet1!$G$2:$G$333=$E21),""),4)="POST",CONCATENATE(_xlfn._xlws.FILTER(Sheet1!$A$2:$A$333,(Sheet1!$G$2:$G$333=$E19)+(Sheet1!$G$2:$G$333=$E20)+(Sheet1!$G$2:$G$333=$E21),""),"-","POST"),_xlfn._xlws.FILTER(Sheet1!$A$2:$A$333,(Sheet1!$G$2:$G$333=$E19)+(Sheet1!$G$2:$G$333=$E20)+(Sheet1!$G$2:$G$333=$E21),"UNFILLED"))</f>
        <v>PANELLA, MICHAEL</v>
      </c>
      <c r="H19" s="169" t="str" cm="1">
        <f t="array" ref="H19">IF(RIGHT(_xlfn._xlws.FILTER(Sheet1!$I$2:$I$333,(Sheet1!$I$2:$I$333=$E19)+(Sheet1!$I$2:$I$333=$E20)+(Sheet1!$I$2:$I$333=$E21),""),4)="POST",CONCATENATE(_xlfn._xlws.FILTER(Sheet1!$A$2:$A$333,(Sheet1!$I$2:$I$333=$E19)+(Sheet1!$I$2:$I$333=$E20)+(Sheet1!$I$2:$I$333=$E21),""),"-","POST"),_xlfn._xlws.FILTER(Sheet1!$A$2:$A$333,(Sheet1!$I$2:$I$333=$E19)+(Sheet1!$I$2:$I$333=$E20)+(Sheet1!$I$2:$I$333=$E21),"UNFILLED"))</f>
        <v>PIFER, BRIAN</v>
      </c>
      <c r="I19" s="169" t="str" cm="1">
        <f t="array" ref="I19">IF(RIGHT(_xlfn._xlws.FILTER(Sheet1!$K$2:$K$333,(Sheet1!$K$2:$K$333=$E19)+(Sheet1!$K$2:$K$333=$E20)+(Sheet1!$K$2:$K$333=$E21),""),4)="POST",CONCATENATE(_xlfn._xlws.FILTER(Sheet1!$A$2:$A$333,(Sheet1!$K$2:$K$333=$E19)+(Sheet1!$K$2:$K$333=$E20)+(Sheet1!$K$2:$K$333=$E21),""),"-","POST"),_xlfn._xlws.FILTER(Sheet1!$A$2:$A$333,(Sheet1!$K$2:$K$333=$E19)+(Sheet1!$K$2:$K$333=$E20)+(Sheet1!$K$2:$K$333=$E21),"UNFILLED"))</f>
        <v>PIFER, BRIAN</v>
      </c>
      <c r="J19" s="169" t="str" cm="1">
        <f t="array" ref="J19">IF(RIGHT(_xlfn._xlws.FILTER(Sheet1!M$2:M$333,(Sheet1!M$2:M$333=$E19)+(Sheet1!M$2:M$333=$E20)+(Sheet1!M$2:M$333=$E21),""),4)="POST",CONCATENATE(_xlfn._xlws.FILTER(Sheet1!$A$2:$A$333,(Sheet1!M$2:M$333=$E19)+(Sheet1!M$2:M$333=$E20)+(Sheet1!M$2:M$333=$E21),""),"-","POST"),_xlfn._xlws.FILTER(Sheet1!$A$2:$A$333,(Sheet1!M$2:M$333=$E19)+(Sheet1!M$2:M$333=$E20)+(Sheet1!M$2:M$333=$E21),"UNFILLED"))</f>
        <v>THOMAS, FRANK</v>
      </c>
      <c r="K19" s="169" t="str" cm="1">
        <f t="array" ref="K19">IF(RIGHT(_xlfn._xlws.FILTER(Sheet1!$O$2:$O$333,(Sheet1!$O$2:$O$333=$E19)+(Sheet1!$O$2:$O$333=$E20)+(Sheet1!$O$2:$O$333=$E21),""),4)="POST",CONCATENATE(_xlfn._xlws.FILTER(Sheet1!$A$2:$A$333,(Sheet1!$O$2:$O$333=$E19)+(Sheet1!$O$2:$O$333=$E20)+(Sheet1!$O$2:$O$333=$E21),""),"-","POST"),_xlfn._xlws.FILTER(Sheet1!$A$2:$A$333,(Sheet1!$O$2:$O$333=$E19)+(Sheet1!$O$2:$O$333=$E20)+(Sheet1!$O$2:$O$333=$E21),"UNFILLED"))</f>
        <v>TUCKER, JUSTIN</v>
      </c>
      <c r="L19" s="169" t="str" cm="1">
        <f t="array" ref="L19">IF(RIGHT(_xlfn._xlws.FILTER(Sheet1!$Q$2:$Q$333,(Sheet1!$Q$2:$Q$333=$E19)+(Sheet1!$Q$2:$Q$333=$E20)+(Sheet1!$Q$2:$Q$333=$E21),""),4)="POST",CONCATENATE(_xlfn._xlws.FILTER(Sheet1!$A$2:$A$333,(Sheet1!$Q$2:$Q$333=$E19)+(Sheet1!$Q$2:$Q$333=$E20)+(Sheet1!$Q$2:$Q$333=$E21),""),"-","POST"),_xlfn._xlws.FILTER(Sheet1!$A$2:$A$333,(Sheet1!$Q$2:$Q$333=$E19)+(Sheet1!$Q$2:$Q$333=$E20)+(Sheet1!$Q$2:$Q$333=$E21),"UNFILLED"))</f>
        <v>TUCKER, JUSTIN</v>
      </c>
      <c r="M19" s="169" t="str" cm="1">
        <f t="array" ref="M19">IF(RIGHT(_xlfn._xlws.FILTER(Sheet1!$S$2:$S$333,(Sheet1!$S$2:$S$333=$E19)+(Sheet1!$S$2:$S$333=$E20)+(Sheet1!$S$2:$S$333=$E21),""),4)="POST",CONCATENATE(_xlfn._xlws.FILTER(Sheet1!$A$2:$A$333,(Sheet1!$S$2:$S$333=$E19)+(Sheet1!$S$2:$S$333=$E20)+(Sheet1!$S$2:$S$333=$E21),""),"-","POST"),_xlfn._xlws.FILTER(Sheet1!$A$2:$A$333,(Sheet1!$S$2:$S$333=$E19)+(Sheet1!$S$2:$S$333=$E20)+(Sheet1!$S$2:$S$333=$E21),"UNFILLED"))</f>
        <v>PANELLA, MICHAEL</v>
      </c>
      <c r="N19" s="158"/>
      <c r="W19" s="417"/>
      <c r="X19" s="170"/>
      <c r="Y19" s="170"/>
      <c r="Z19" s="170"/>
      <c r="AA19" s="170"/>
      <c r="AB19" s="170"/>
      <c r="AC19" s="170"/>
      <c r="AD19" s="170"/>
    </row>
    <row r="20" spans="1:30" ht="17.25" customHeight="1" x14ac:dyDescent="0.55000000000000004">
      <c r="A20" s="153"/>
      <c r="C20" s="412"/>
      <c r="D20" s="413"/>
      <c r="E20" s="168" t="str">
        <f>_xlfn.CONCAT(E19,"-","POST")</f>
        <v>AL-1-POST</v>
      </c>
      <c r="F20" s="415"/>
      <c r="G20" s="171"/>
      <c r="H20" s="171"/>
      <c r="I20" s="171"/>
      <c r="J20" s="171"/>
      <c r="K20" s="171"/>
      <c r="L20" s="171"/>
      <c r="M20" s="171"/>
      <c r="N20" s="158"/>
      <c r="W20" s="417"/>
      <c r="X20" s="172"/>
      <c r="Y20" s="172"/>
      <c r="Z20" s="172"/>
      <c r="AA20" s="172"/>
      <c r="AB20" s="172"/>
      <c r="AC20" s="172"/>
      <c r="AD20" s="172"/>
    </row>
    <row r="21" spans="1:30" ht="17.25" customHeight="1" x14ac:dyDescent="0.55000000000000004">
      <c r="A21" s="153"/>
      <c r="C21" s="412"/>
      <c r="D21" s="413"/>
      <c r="E21" s="168" t="str">
        <f>_xlfn.CONCAT(E19,"-","PILOT")</f>
        <v>AL-1-PILOT</v>
      </c>
      <c r="F21" s="416"/>
      <c r="G21" s="173"/>
      <c r="H21" s="173"/>
      <c r="I21" s="173"/>
      <c r="J21" s="173"/>
      <c r="K21" s="173"/>
      <c r="L21" s="173"/>
      <c r="M21" s="173"/>
      <c r="N21" s="158"/>
      <c r="W21" s="417"/>
      <c r="X21" s="172"/>
      <c r="Y21" s="172"/>
      <c r="Z21" s="172"/>
      <c r="AA21" s="172"/>
      <c r="AB21" s="172"/>
      <c r="AC21" s="172"/>
      <c r="AD21" s="172"/>
    </row>
    <row r="22" spans="1:30" ht="17.25" customHeight="1" x14ac:dyDescent="0.4">
      <c r="A22" s="153"/>
      <c r="C22" s="412"/>
      <c r="D22" s="413"/>
      <c r="E22" s="168" t="s">
        <v>79</v>
      </c>
      <c r="F22" s="414" t="s">
        <v>80</v>
      </c>
      <c r="G22" s="169" t="str" cm="1">
        <f t="array" ref="G22">IF(RIGHT(_xlfn._xlws.FILTER(Sheet1!$G$2:$G$333,(Sheet1!$G$2:$G$333=$E22)+(Sheet1!$G$2:$G$333=$E23)+(Sheet1!$G$2:$G$333=$E24),""),4)="POST",CONCATENATE(_xlfn._xlws.FILTER(Sheet1!$A$2:$A$333,(Sheet1!$G$2:$G$333=$E22)+(Sheet1!$G$2:$G$333=$E23)+(Sheet1!$G$2:$G$333=$E24),""),"-","POST"),_xlfn._xlws.FILTER(Sheet1!$A$2:$A$333,(Sheet1!$G$2:$G$333=$E22)+(Sheet1!$G$2:$G$333=$E23)+(Sheet1!$G$2:$G$333=$E24),"UNFILLED"))</f>
        <v>REYNOLDS, RO</v>
      </c>
      <c r="H22" s="169" t="str" cm="1">
        <f t="array" ref="H22">IF(RIGHT(_xlfn._xlws.FILTER(Sheet1!$I$2:$I$333,(Sheet1!$I$2:$I$333=$E22)+(Sheet1!$I$2:$I$333=$E23)+(Sheet1!$I$2:$I$333=$E24),""),4)="POST",CONCATENATE(_xlfn._xlws.FILTER(Sheet1!$A$2:$A$333,(Sheet1!$I$2:$I$333=$E22)+(Sheet1!$I$2:$I$333=$E23)+(Sheet1!$I$2:$I$333=$E24),""),"-","POST"),_xlfn._xlws.FILTER(Sheet1!$A$2:$A$333,(Sheet1!$I$2:$I$333=$E22)+(Sheet1!$I$2:$I$333=$E23)+(Sheet1!$I$2:$I$333=$E24),"UNFILLED"))</f>
        <v>REYNOLDS, RO</v>
      </c>
      <c r="I22" s="169" t="str" cm="1">
        <f t="array" ref="I22:I23">IF(RIGHT(_xlfn._xlws.FILTER(Sheet1!$K$2:$K$333,(Sheet1!$K$2:$K$333=$E22)+(Sheet1!$K$2:$K$333=$E23)+(Sheet1!$K$2:$K$333=$E24),""),4)="POST",CONCATENATE(_xlfn._xlws.FILTER(Sheet1!$A$2:$A$333,(Sheet1!$K$2:$K$333=$E22)+(Sheet1!$K$2:$K$333=$E23)+(Sheet1!$K$2:$K$333=$E24),""),"-","POST"),_xlfn._xlws.FILTER(Sheet1!$A$2:$A$333,(Sheet1!$K$2:$K$333=$E22)+(Sheet1!$K$2:$K$333=$E23)+(Sheet1!$K$2:$K$333=$E24),"UNFILLED"))</f>
        <v>GEE, ASHLEY-POST</v>
      </c>
      <c r="J22" s="169" t="str" cm="1">
        <f t="array" ref="J22:J23">IF(RIGHT(_xlfn._xlws.FILTER(Sheet1!M$2:M$333,(Sheet1!M$2:M$333=$E22)+(Sheet1!M$2:M$333=$E23)+(Sheet1!M$2:M$333=$E24),""),4)="POST",CONCATENATE(_xlfn._xlws.FILTER(Sheet1!$A$2:$A$333,(Sheet1!M$2:M$333=$E22)+(Sheet1!M$2:M$333=$E23)+(Sheet1!M$2:M$333=$E24),""),"-","POST"),_xlfn._xlws.FILTER(Sheet1!$A$2:$A$333,(Sheet1!M$2:M$333=$E22)+(Sheet1!M$2:M$333=$E23)+(Sheet1!M$2:M$333=$E24),"UNFILLED"))</f>
        <v>GEE, ASHLEY-POST</v>
      </c>
      <c r="K22" s="169" t="str" cm="1">
        <f t="array" ref="K22:K23">IF(RIGHT(_xlfn._xlws.FILTER(Sheet1!$O$2:$O$333,(Sheet1!$O$2:$O$333=$E22)+(Sheet1!$O$2:$O$333=$E23)+(Sheet1!$O$2:$O$333=$E24),""),4)="POST",CONCATENATE(_xlfn._xlws.FILTER(Sheet1!$A$2:$A$333,(Sheet1!$O$2:$O$333=$E22)+(Sheet1!$O$2:$O$333=$E23)+(Sheet1!$O$2:$O$333=$E24),""),"-","POST"),_xlfn._xlws.FILTER(Sheet1!$A$2:$A$333,(Sheet1!$O$2:$O$333=$E22)+(Sheet1!$O$2:$O$333=$E23)+(Sheet1!$O$2:$O$333=$E24),"UNFILLED"))</f>
        <v>GEE, ASHLEY-POST</v>
      </c>
      <c r="L22" s="169" t="str" cm="1">
        <f t="array" ref="L22:L23">IF(RIGHT(_xlfn._xlws.FILTER(Sheet1!$Q$2:$Q$333,(Sheet1!$Q$2:$Q$333=$E22)+(Sheet1!$Q$2:$Q$333=$E23)+(Sheet1!$Q$2:$Q$333=$E24),""),4)="POST",CONCATENATE(_xlfn._xlws.FILTER(Sheet1!$A$2:$A$333,(Sheet1!$Q$2:$Q$333=$E22)+(Sheet1!$Q$2:$Q$333=$E23)+(Sheet1!$Q$2:$Q$333=$E24),""),"-","POST"),_xlfn._xlws.FILTER(Sheet1!$A$2:$A$333,(Sheet1!$Q$2:$Q$333=$E22)+(Sheet1!$Q$2:$Q$333=$E23)+(Sheet1!$Q$2:$Q$333=$E24),"UNFILLED"))</f>
        <v>GEE, ASHLEY-POST</v>
      </c>
      <c r="M22" s="169" t="str" cm="1">
        <f t="array" ref="M22:M23">IF(RIGHT(_xlfn._xlws.FILTER(Sheet1!$S$2:$S$333,(Sheet1!$S$2:$S$333=$E22)+(Sheet1!$S$2:$S$333=$E23)+(Sheet1!$S$2:$S$333=$E24),""),4)="POST",CONCATENATE(_xlfn._xlws.FILTER(Sheet1!$A$2:$A$333,(Sheet1!$S$2:$S$333=$E22)+(Sheet1!$S$2:$S$333=$E23)+(Sheet1!$S$2:$S$333=$E24),""),"-","POST"),_xlfn._xlws.FILTER(Sheet1!$A$2:$A$333,(Sheet1!$S$2:$S$333=$E22)+(Sheet1!$S$2:$S$333=$E23)+(Sheet1!$S$2:$S$333=$E24),"UNFILLED"))</f>
        <v>GEE, ASHLEY-POST</v>
      </c>
      <c r="W22" s="417"/>
      <c r="X22" s="170"/>
      <c r="Y22" s="170"/>
      <c r="Z22" s="170"/>
      <c r="AA22" s="170"/>
      <c r="AB22" s="170"/>
      <c r="AC22" s="170"/>
      <c r="AD22" s="170"/>
    </row>
    <row r="23" spans="1:30" ht="17.25" customHeight="1" x14ac:dyDescent="0.4">
      <c r="A23" s="153"/>
      <c r="C23" s="412"/>
      <c r="D23" s="413"/>
      <c r="E23" s="168" t="str">
        <f>_xlfn.CONCAT(E22,"-","POST")</f>
        <v>CT-1-POST</v>
      </c>
      <c r="F23" s="415"/>
      <c r="G23" s="171"/>
      <c r="H23" s="171"/>
      <c r="I23" s="171" t="str">
        <v>RITCHIE, MIKE</v>
      </c>
      <c r="J23" s="171" t="str">
        <v>HARP, KEENAN</v>
      </c>
      <c r="K23" s="171" t="str">
        <v>RITCHIE, MIKE</v>
      </c>
      <c r="L23" s="171" t="str">
        <v>RITCHIE, MIKE</v>
      </c>
      <c r="M23" s="171" t="str">
        <v>RITCHIE, MIKE</v>
      </c>
      <c r="W23" s="417"/>
      <c r="X23" s="172"/>
      <c r="Y23" s="172"/>
      <c r="Z23" s="172"/>
      <c r="AA23" s="172"/>
      <c r="AB23" s="172"/>
      <c r="AC23" s="172"/>
      <c r="AD23" s="172"/>
    </row>
    <row r="24" spans="1:30" ht="17.25" customHeight="1" x14ac:dyDescent="0.4">
      <c r="A24" s="153"/>
      <c r="C24" s="412"/>
      <c r="D24" s="413"/>
      <c r="E24" s="168" t="str">
        <f>_xlfn.CONCAT(E22,"-","PILOT")</f>
        <v>CT-1-PILOT</v>
      </c>
      <c r="F24" s="416"/>
      <c r="G24" s="173"/>
      <c r="H24" s="173"/>
      <c r="I24" s="173"/>
      <c r="J24" s="173"/>
      <c r="K24" s="173"/>
      <c r="L24" s="173"/>
      <c r="M24" s="173"/>
      <c r="W24" s="417"/>
      <c r="X24" s="172"/>
      <c r="Y24" s="172"/>
      <c r="Z24" s="172"/>
      <c r="AA24" s="172"/>
      <c r="AB24" s="172"/>
      <c r="AC24" s="172"/>
      <c r="AD24" s="172"/>
    </row>
    <row r="25" spans="1:30" ht="17.25" customHeight="1" x14ac:dyDescent="0.4">
      <c r="A25" s="153"/>
      <c r="C25" s="412"/>
      <c r="D25" s="413"/>
      <c r="E25" s="168" t="s">
        <v>81</v>
      </c>
      <c r="F25" s="414" t="s">
        <v>82</v>
      </c>
      <c r="G25" s="169" t="str" cm="1">
        <f t="array" ref="G25">IF(RIGHT(_xlfn._xlws.FILTER(Sheet1!$G$2:$G$333,(Sheet1!$G$2:$G$333=$E25)+(Sheet1!$G$2:$G$333=$E26)+(Sheet1!$G$2:$G$333=$E27),""),4)="POST",CONCATENATE(_xlfn._xlws.FILTER(Sheet1!$A$2:$A$333,(Sheet1!$G$2:$G$333=$E25)+(Sheet1!$G$2:$G$333=$E26)+(Sheet1!$G$2:$G$333=$E27),""),"-","POST"),_xlfn._xlws.FILTER(Sheet1!$A$2:$A$333,(Sheet1!$G$2:$G$333=$E25)+(Sheet1!$G$2:$G$333=$E26)+(Sheet1!$G$2:$G$333=$E27),"UNFILLED"))</f>
        <v>FERGUSON, CRAIG</v>
      </c>
      <c r="H25" s="169" t="str" cm="1">
        <f t="array" ref="H25">IF(RIGHT(_xlfn._xlws.FILTER(Sheet1!$I$2:$I$333,(Sheet1!$I$2:$I$333=$E25)+(Sheet1!$I$2:$I$333=$E26)+(Sheet1!$I$2:$I$333=$E27),""),4)="POST",CONCATENATE(_xlfn._xlws.FILTER(Sheet1!$A$2:$A$333,(Sheet1!$I$2:$I$333=$E25)+(Sheet1!$I$2:$I$333=$E26)+(Sheet1!$I$2:$I$333=$E27),""),"-","POST"),_xlfn._xlws.FILTER(Sheet1!$A$2:$A$333,(Sheet1!$I$2:$I$333=$E25)+(Sheet1!$I$2:$I$333=$E26)+(Sheet1!$I$2:$I$333=$E27),"UNFILLED"))</f>
        <v>LUTERAN, COREY</v>
      </c>
      <c r="I25" s="169" t="str" cm="1">
        <f t="array" ref="I25">IF(RIGHT(_xlfn._xlws.FILTER(Sheet1!$K$2:$K$333,(Sheet1!$K$2:$K$333=$E25)+(Sheet1!$K$2:$K$333=$E26)+(Sheet1!$K$2:$K$333=$E27),""),4)="POST",CONCATENATE(_xlfn._xlws.FILTER(Sheet1!$A$2:$A$333,(Sheet1!$K$2:$K$333=$E25)+(Sheet1!$K$2:$K$333=$E26)+(Sheet1!$K$2:$K$333=$E27),""),"-","POST"),_xlfn._xlws.FILTER(Sheet1!$A$2:$A$333,(Sheet1!$K$2:$K$333=$E25)+(Sheet1!$K$2:$K$333=$E26)+(Sheet1!$K$2:$K$333=$E27),"UNFILLED"))</f>
        <v>LUTERAN, COREY</v>
      </c>
      <c r="J25" s="169" t="str" cm="1">
        <f t="array" ref="J25">IF(RIGHT(_xlfn._xlws.FILTER(Sheet1!M$2:M$333,(Sheet1!M$2:M$333=$E25)+(Sheet1!M$2:M$333=$E26)+(Sheet1!M$2:M$333=$E27),""),4)="POST",CONCATENATE(_xlfn._xlws.FILTER(Sheet1!$A$2:$A$333,(Sheet1!M$2:M$333=$E25)+(Sheet1!M$2:M$333=$E26)+(Sheet1!M$2:M$333=$E27),""),"-","POST"),_xlfn._xlws.FILTER(Sheet1!$A$2:$A$333,(Sheet1!M$2:M$333=$E25)+(Sheet1!M$2:M$333=$E26)+(Sheet1!M$2:M$333=$E27),"UNFILLED"))</f>
        <v>LUTERAN, COREY</v>
      </c>
      <c r="K25" s="169" t="str" cm="1">
        <f t="array" ref="K25">IF(RIGHT(_xlfn._xlws.FILTER(Sheet1!$O$2:$O$333,(Sheet1!$O$2:$O$333=$E25)+(Sheet1!$O$2:$O$333=$E26)+(Sheet1!$O$2:$O$333=$E27),""),4)="POST",CONCATENATE(_xlfn._xlws.FILTER(Sheet1!$A$2:$A$333,(Sheet1!$O$2:$O$333=$E25)+(Sheet1!$O$2:$O$333=$E26)+(Sheet1!$O$2:$O$333=$E27),""),"-","POST"),_xlfn._xlws.FILTER(Sheet1!$A$2:$A$333,(Sheet1!$O$2:$O$333=$E25)+(Sheet1!$O$2:$O$333=$E26)+(Sheet1!$O$2:$O$333=$E27),"UNFILLED"))</f>
        <v>LUTERAN, COREY</v>
      </c>
      <c r="L25" s="169" t="str" cm="1">
        <f t="array" ref="L25">IF(RIGHT(_xlfn._xlws.FILTER(Sheet1!$Q$2:$Q$333,(Sheet1!$Q$2:$Q$333=$E25)+(Sheet1!$Q$2:$Q$333=$E26)+(Sheet1!$Q$2:$Q$333=$E27),""),4)="POST",CONCATENATE(_xlfn._xlws.FILTER(Sheet1!$A$2:$A$333,(Sheet1!$Q$2:$Q$333=$E25)+(Sheet1!$Q$2:$Q$333=$E26)+(Sheet1!$Q$2:$Q$333=$E27),""),"-","POST"),_xlfn._xlws.FILTER(Sheet1!$A$2:$A$333,(Sheet1!$Q$2:$Q$333=$E25)+(Sheet1!$Q$2:$Q$333=$E26)+(Sheet1!$Q$2:$Q$333=$E27),"UNFILLED"))</f>
        <v>LUTERAN, COREY</v>
      </c>
      <c r="M25" s="169" t="str" cm="1">
        <f t="array" ref="M25">IF(RIGHT(_xlfn._xlws.FILTER(Sheet1!$S$2:$S$333,(Sheet1!$S$2:$S$333=$E25)+(Sheet1!$S$2:$S$333=$E26)+(Sheet1!$S$2:$S$333=$E27),""),4)="POST",CONCATENATE(_xlfn._xlws.FILTER(Sheet1!$A$2:$A$333,(Sheet1!$S$2:$S$333=$E25)+(Sheet1!$S$2:$S$333=$E26)+(Sheet1!$S$2:$S$333=$E27),""),"-","POST"),_xlfn._xlws.FILTER(Sheet1!$A$2:$A$333,(Sheet1!$S$2:$S$333=$E25)+(Sheet1!$S$2:$S$333=$E26)+(Sheet1!$S$2:$S$333=$E27),"UNFILLED"))</f>
        <v>MALCOLM, JOSH</v>
      </c>
      <c r="W25" s="417"/>
      <c r="X25" s="170"/>
      <c r="Y25" s="170"/>
      <c r="Z25" s="170"/>
      <c r="AA25" s="170"/>
      <c r="AB25" s="170"/>
      <c r="AC25" s="170"/>
      <c r="AD25" s="170"/>
    </row>
    <row r="26" spans="1:30" ht="17.25" customHeight="1" x14ac:dyDescent="0.4">
      <c r="A26" s="153"/>
      <c r="C26" s="412"/>
      <c r="D26" s="413"/>
      <c r="E26" s="168" t="str">
        <f>_xlfn.CONCAT(E25,"-","POST")</f>
        <v>PE-1-POST</v>
      </c>
      <c r="F26" s="415"/>
      <c r="G26" s="171"/>
      <c r="H26" s="171"/>
      <c r="I26" s="171"/>
      <c r="J26" s="171"/>
      <c r="K26" s="171"/>
      <c r="L26" s="171"/>
      <c r="M26" s="171"/>
      <c r="W26" s="417"/>
      <c r="X26" s="172"/>
      <c r="Y26" s="172"/>
      <c r="Z26" s="172"/>
      <c r="AA26" s="172"/>
      <c r="AB26" s="172"/>
      <c r="AC26" s="172"/>
      <c r="AD26" s="172"/>
    </row>
    <row r="27" spans="1:30" ht="17.25" customHeight="1" x14ac:dyDescent="0.4">
      <c r="A27" s="153"/>
      <c r="C27" s="412"/>
      <c r="D27" s="413"/>
      <c r="E27" s="168" t="str">
        <f>_xlfn.CONCAT(E25,"-","PILOT")</f>
        <v>PE-1-PILOT</v>
      </c>
      <c r="F27" s="416"/>
      <c r="G27" s="173"/>
      <c r="H27" s="173"/>
      <c r="I27" s="173"/>
      <c r="J27" s="173"/>
      <c r="K27" s="173"/>
      <c r="L27" s="173"/>
      <c r="M27" s="173"/>
      <c r="W27" s="417"/>
      <c r="X27" s="172"/>
      <c r="Y27" s="172"/>
      <c r="Z27" s="172"/>
      <c r="AA27" s="172"/>
      <c r="AB27" s="172"/>
      <c r="AC27" s="172"/>
      <c r="AD27" s="172"/>
    </row>
    <row r="28" spans="1:30" ht="17.25" customHeight="1" x14ac:dyDescent="0.4">
      <c r="A28" s="153"/>
      <c r="C28" s="412"/>
      <c r="D28" s="413"/>
      <c r="E28" s="168" t="s">
        <v>83</v>
      </c>
      <c r="F28" s="414" t="s">
        <v>84</v>
      </c>
      <c r="G28" s="169" t="str" cm="1">
        <f t="array" ref="G28">IF(RIGHT(_xlfn._xlws.FILTER(Sheet1!$G$2:$G$333,(Sheet1!$G$2:$G$333=$E28)+(Sheet1!$G$2:$G$333=$E29)+(Sheet1!$G$2:$G$333=$E30),""),4)="POST",CONCATENATE(_xlfn._xlws.FILTER(Sheet1!$A$2:$A$333,(Sheet1!$G$2:$G$333=$E28)+(Sheet1!$G$2:$G$333=$E29)+(Sheet1!$G$2:$G$333=$E30),""),"-","POST"),_xlfn._xlws.FILTER(Sheet1!$A$2:$A$333,(Sheet1!$G$2:$G$333=$E28)+(Sheet1!$G$2:$G$333=$E29)+(Sheet1!$G$2:$G$333=$E30),"UNFILLED"))</f>
        <v>BAUMAN, BRENT</v>
      </c>
      <c r="H28" s="169" t="str" cm="1">
        <f t="array" ref="H28">IF(RIGHT(_xlfn._xlws.FILTER(Sheet1!$I$2:$I$333,(Sheet1!$I$2:$I$333=$E28)+(Sheet1!$I$2:$I$333=$E29)+(Sheet1!$I$2:$I$333=$E30),""),4)="POST",CONCATENATE(_xlfn._xlws.FILTER(Sheet1!$A$2:$A$333,(Sheet1!$I$2:$I$333=$E28)+(Sheet1!$I$2:$I$333=$E29)+(Sheet1!$I$2:$I$333=$E30),""),"-","POST"),_xlfn._xlws.FILTER(Sheet1!$A$2:$A$333,(Sheet1!$I$2:$I$333=$E28)+(Sheet1!$I$2:$I$333=$E29)+(Sheet1!$I$2:$I$333=$E30),"UNFILLED"))</f>
        <v>BAUMAN, BRENT</v>
      </c>
      <c r="I28" s="169" t="str" cm="1">
        <f t="array" ref="I28">IF(RIGHT(_xlfn._xlws.FILTER(Sheet1!$K$2:$K$333,(Sheet1!$K$2:$K$333=$E28)+(Sheet1!$K$2:$K$333=$E29)+(Sheet1!$K$2:$K$333=$E30),""),4)="POST",CONCATENATE(_xlfn._xlws.FILTER(Sheet1!$A$2:$A$333,(Sheet1!$K$2:$K$333=$E28)+(Sheet1!$K$2:$K$333=$E29)+(Sheet1!$K$2:$K$333=$E30),""),"-","POST"),_xlfn._xlws.FILTER(Sheet1!$A$2:$A$333,(Sheet1!$K$2:$K$333=$E28)+(Sheet1!$K$2:$K$333=$E29)+(Sheet1!$K$2:$K$333=$E30),"UNFILLED"))</f>
        <v>HARP, KEENAN</v>
      </c>
      <c r="J28" s="169" t="str" cm="1">
        <f t="array" ref="J28">IF(RIGHT(_xlfn._xlws.FILTER(Sheet1!M$2:M$333,(Sheet1!M$2:M$333=$E28)+(Sheet1!M$2:M$333=$E29)+(Sheet1!M$2:M$333=$E30),""),4)="POST",CONCATENATE(_xlfn._xlws.FILTER(Sheet1!$A$2:$A$333,(Sheet1!M$2:M$333=$E28)+(Sheet1!M$2:M$333=$E29)+(Sheet1!M$2:M$333=$E30),""),"-","POST"),_xlfn._xlws.FILTER(Sheet1!$A$2:$A$333,(Sheet1!M$2:M$333=$E28)+(Sheet1!M$2:M$333=$E29)+(Sheet1!M$2:M$333=$E30),"UNFILLED"))</f>
        <v>SLANEY, MATTHEW</v>
      </c>
      <c r="K28" s="169" t="str" cm="1">
        <f t="array" ref="K28">IF(RIGHT(_xlfn._xlws.FILTER(Sheet1!$O$2:$O$333,(Sheet1!$O$2:$O$333=$E28)+(Sheet1!$O$2:$O$333=$E29)+(Sheet1!$O$2:$O$333=$E30),""),4)="POST",CONCATENATE(_xlfn._xlws.FILTER(Sheet1!$A$2:$A$333,(Sheet1!$O$2:$O$333=$E28)+(Sheet1!$O$2:$O$333=$E29)+(Sheet1!$O$2:$O$333=$E30),""),"-","POST"),_xlfn._xlws.FILTER(Sheet1!$A$2:$A$333,(Sheet1!$O$2:$O$333=$E28)+(Sheet1!$O$2:$O$333=$E29)+(Sheet1!$O$2:$O$333=$E30),"UNFILLED"))</f>
        <v>BAUMAN, BRENT</v>
      </c>
      <c r="L28" s="169" t="str" cm="1">
        <f t="array" ref="L28">IF(RIGHT(_xlfn._xlws.FILTER(Sheet1!$Q$2:$Q$333,(Sheet1!$Q$2:$Q$333=$E28)+(Sheet1!$Q$2:$Q$333=$E29)+(Sheet1!$Q$2:$Q$333=$E30),""),4)="POST",CONCATENATE(_xlfn._xlws.FILTER(Sheet1!$A$2:$A$333,(Sheet1!$Q$2:$Q$333=$E28)+(Sheet1!$Q$2:$Q$333=$E29)+(Sheet1!$Q$2:$Q$333=$E30),""),"-","POST"),_xlfn._xlws.FILTER(Sheet1!$A$2:$A$333,(Sheet1!$Q$2:$Q$333=$E28)+(Sheet1!$Q$2:$Q$333=$E29)+(Sheet1!$Q$2:$Q$333=$E30),"UNFILLED"))</f>
        <v>BAUMAN, BRENT</v>
      </c>
      <c r="M28" s="169" t="str" cm="1">
        <f t="array" ref="M28">IF(RIGHT(_xlfn._xlws.FILTER(Sheet1!$S$2:$S$333,(Sheet1!$S$2:$S$333=$E28)+(Sheet1!$S$2:$S$333=$E29)+(Sheet1!$S$2:$S$333=$E30),""),4)="POST",CONCATENATE(_xlfn._xlws.FILTER(Sheet1!$A$2:$A$333,(Sheet1!$S$2:$S$333=$E28)+(Sheet1!$S$2:$S$333=$E29)+(Sheet1!$S$2:$S$333=$E30),""),"-","POST"),_xlfn._xlws.FILTER(Sheet1!$A$2:$A$333,(Sheet1!$S$2:$S$333=$E28)+(Sheet1!$S$2:$S$333=$E29)+(Sheet1!$S$2:$S$333=$E30),"UNFILLED"))</f>
        <v>BAUMAN, BRENT</v>
      </c>
      <c r="W28" s="417"/>
      <c r="X28" s="170"/>
      <c r="Y28" s="170"/>
      <c r="Z28" s="170"/>
      <c r="AA28" s="170"/>
      <c r="AB28" s="170"/>
      <c r="AC28" s="170"/>
      <c r="AD28" s="170"/>
    </row>
    <row r="29" spans="1:30" ht="17.25" customHeight="1" x14ac:dyDescent="0.4">
      <c r="A29" s="153"/>
      <c r="C29" s="412"/>
      <c r="D29" s="413"/>
      <c r="E29" s="168" t="str">
        <f>_xlfn.CONCAT(E28,"-","POST")</f>
        <v>MV-1-POST</v>
      </c>
      <c r="F29" s="415"/>
      <c r="G29" s="171"/>
      <c r="H29" s="171"/>
      <c r="I29" s="171"/>
      <c r="J29" s="171"/>
      <c r="K29" s="171"/>
      <c r="L29" s="171"/>
      <c r="M29" s="171"/>
      <c r="W29" s="417"/>
      <c r="X29" s="172"/>
      <c r="Y29" s="172"/>
      <c r="Z29" s="172"/>
      <c r="AA29" s="172"/>
      <c r="AB29" s="172"/>
      <c r="AC29" s="172"/>
      <c r="AD29" s="172"/>
    </row>
    <row r="30" spans="1:30" ht="17.25" customHeight="1" x14ac:dyDescent="0.4">
      <c r="A30" s="153"/>
      <c r="C30" s="412"/>
      <c r="D30" s="413"/>
      <c r="E30" s="168" t="str">
        <f>_xlfn.CONCAT(E28,"-","PILOT")</f>
        <v>MV-1-PILOT</v>
      </c>
      <c r="F30" s="416"/>
      <c r="G30" s="173"/>
      <c r="H30" s="173"/>
      <c r="I30" s="173"/>
      <c r="J30" s="173"/>
      <c r="K30" s="173"/>
      <c r="L30" s="173"/>
      <c r="M30" s="173"/>
      <c r="W30" s="417"/>
      <c r="X30" s="172"/>
      <c r="Y30" s="172"/>
      <c r="Z30" s="172"/>
      <c r="AA30" s="172"/>
      <c r="AB30" s="172"/>
      <c r="AC30" s="172"/>
      <c r="AD30" s="172"/>
    </row>
    <row r="31" spans="1:30" ht="17.25" customHeight="1" x14ac:dyDescent="0.4">
      <c r="A31" s="153"/>
      <c r="C31" s="412"/>
      <c r="D31" s="413"/>
      <c r="E31" s="168" t="s">
        <v>85</v>
      </c>
      <c r="F31" s="414" t="s">
        <v>86</v>
      </c>
      <c r="G31" s="169" t="str" cm="1">
        <f t="array" ref="G31">IF(RIGHT(_xlfn._xlws.FILTER(Sheet1!$G$2:$G$333,(Sheet1!$G$2:$G$333=$E31)+(Sheet1!$G$2:$G$333=$E32)+(Sheet1!$G$2:$G$333=$E33),""),4)="POST",CONCATENATE(_xlfn._xlws.FILTER(Sheet1!$A$2:$A$333,(Sheet1!$G$2:$G$333=$E31)+(Sheet1!$G$2:$G$333=$E32)+(Sheet1!$G$2:$G$333=$E33),""),"-","POST"),_xlfn._xlws.FILTER(Sheet1!$A$2:$A$333,(Sheet1!$G$2:$G$333=$E31)+(Sheet1!$G$2:$G$333=$E32)+(Sheet1!$G$2:$G$333=$E33),"UNFILLED"))</f>
        <v>FLEITES, FRANK</v>
      </c>
      <c r="H31" s="169" t="str" cm="1">
        <f t="array" ref="H31">IF(RIGHT(_xlfn._xlws.FILTER(Sheet1!$I$2:$I$333,(Sheet1!$I$2:$I$333=$E31)+(Sheet1!$I$2:$I$333=$E32)+(Sheet1!$I$2:$I$333=$E33),""),4)="POST",CONCATENATE(_xlfn._xlws.FILTER(Sheet1!$A$2:$A$333,(Sheet1!$I$2:$I$333=$E31)+(Sheet1!$I$2:$I$333=$E32)+(Sheet1!$I$2:$I$333=$E33),""),"-","POST"),_xlfn._xlws.FILTER(Sheet1!$A$2:$A$333,(Sheet1!$I$2:$I$333=$E31)+(Sheet1!$I$2:$I$333=$E32)+(Sheet1!$I$2:$I$333=$E33),"UNFILLED"))</f>
        <v>FLEITES, FRANK</v>
      </c>
      <c r="I31" s="169" t="str" cm="1">
        <f t="array" ref="I31">IF(RIGHT(_xlfn._xlws.FILTER(Sheet1!$K$2:$K$333,(Sheet1!$K$2:$K$333=$E31)+(Sheet1!$K$2:$K$333=$E32)+(Sheet1!$K$2:$K$333=$E33),""),4)="POST",CONCATENATE(_xlfn._xlws.FILTER(Sheet1!$A$2:$A$333,(Sheet1!$K$2:$K$333=$E31)+(Sheet1!$K$2:$K$333=$E32)+(Sheet1!$K$2:$K$333=$E33),""),"-","POST"),_xlfn._xlws.FILTER(Sheet1!$A$2:$A$333,(Sheet1!$K$2:$K$333=$E31)+(Sheet1!$K$2:$K$333=$E32)+(Sheet1!$K$2:$K$333=$E33),"UNFILLED"))</f>
        <v>DEJESUS, DAVE</v>
      </c>
      <c r="J31" s="169" t="str" cm="1">
        <f t="array" ref="J31">IF(RIGHT(_xlfn._xlws.FILTER(Sheet1!M$2:M$333,(Sheet1!M$2:M$333=$E31)+(Sheet1!M$2:M$333=$E32)+(Sheet1!M$2:M$333=$E33),""),4)="POST",CONCATENATE(_xlfn._xlws.FILTER(Sheet1!$A$2:$A$333,(Sheet1!M$2:M$333=$E31)+(Sheet1!M$2:M$333=$E32)+(Sheet1!M$2:M$333=$E33),""),"-","POST"),_xlfn._xlws.FILTER(Sheet1!$A$2:$A$333,(Sheet1!M$2:M$333=$E31)+(Sheet1!M$2:M$333=$E32)+(Sheet1!M$2:M$333=$E33),"UNFILLED"))</f>
        <v>DEJESUS, DAVE</v>
      </c>
      <c r="K31" s="169" t="str" cm="1">
        <f t="array" ref="K31">IF(RIGHT(_xlfn._xlws.FILTER(Sheet1!$O$2:$O$333,(Sheet1!$O$2:$O$333=$E31)+(Sheet1!$O$2:$O$333=$E32)+(Sheet1!$O$2:$O$333=$E33),""),4)="POST",CONCATENATE(_xlfn._xlws.FILTER(Sheet1!$A$2:$A$333,(Sheet1!$O$2:$O$333=$E31)+(Sheet1!$O$2:$O$333=$E32)+(Sheet1!$O$2:$O$333=$E33),""),"-","POST"),_xlfn._xlws.FILTER(Sheet1!$A$2:$A$333,(Sheet1!$O$2:$O$333=$E31)+(Sheet1!$O$2:$O$333=$E32)+(Sheet1!$O$2:$O$333=$E33),"UNFILLED"))</f>
        <v>DEJESUS, DAVE</v>
      </c>
      <c r="L31" s="169" t="str" cm="1">
        <f t="array" ref="L31">IF(RIGHT(_xlfn._xlws.FILTER(Sheet1!$Q$2:$Q$333,(Sheet1!$Q$2:$Q$333=$E31)+(Sheet1!$Q$2:$Q$333=$E32)+(Sheet1!$Q$2:$Q$333=$E33),""),4)="POST",CONCATENATE(_xlfn._xlws.FILTER(Sheet1!$A$2:$A$333,(Sheet1!$Q$2:$Q$333=$E31)+(Sheet1!$Q$2:$Q$333=$E32)+(Sheet1!$Q$2:$Q$333=$E33),""),"-","POST"),_xlfn._xlws.FILTER(Sheet1!$A$2:$A$333,(Sheet1!$Q$2:$Q$333=$E31)+(Sheet1!$Q$2:$Q$333=$E32)+(Sheet1!$Q$2:$Q$333=$E33),"UNFILLED"))</f>
        <v>DEJESUS, DAVE</v>
      </c>
      <c r="M31" s="169" t="str" cm="1">
        <f t="array" ref="M31">IF(RIGHT(_xlfn._xlws.FILTER(Sheet1!$S$2:$S$333,(Sheet1!$S$2:$S$333=$E31)+(Sheet1!$S$2:$S$333=$E32)+(Sheet1!$S$2:$S$333=$E33),""),4)="POST",CONCATENATE(_xlfn._xlws.FILTER(Sheet1!$A$2:$A$333,(Sheet1!$S$2:$S$333=$E31)+(Sheet1!$S$2:$S$333=$E32)+(Sheet1!$S$2:$S$333=$E33),""),"-","POST"),_xlfn._xlws.FILTER(Sheet1!$A$2:$A$333,(Sheet1!$S$2:$S$333=$E31)+(Sheet1!$S$2:$S$333=$E32)+(Sheet1!$S$2:$S$333=$E33),"UNFILLED"))</f>
        <v>DEJESUS, DAVE</v>
      </c>
      <c r="W31" s="417"/>
      <c r="X31" s="170"/>
      <c r="Y31" s="170"/>
      <c r="Z31" s="170"/>
      <c r="AA31" s="170"/>
      <c r="AB31" s="170"/>
      <c r="AC31" s="170"/>
      <c r="AD31" s="170"/>
    </row>
    <row r="32" spans="1:30" ht="17.25" customHeight="1" x14ac:dyDescent="0.4">
      <c r="A32" s="153"/>
      <c r="C32" s="412"/>
      <c r="D32" s="413"/>
      <c r="E32" s="168" t="str">
        <f>_xlfn.CONCAT(E31,"-","POST")</f>
        <v>CE-1-POST</v>
      </c>
      <c r="F32" s="415"/>
      <c r="G32" s="171"/>
      <c r="H32" s="171"/>
      <c r="I32" s="171"/>
      <c r="J32" s="171"/>
      <c r="K32" s="171"/>
      <c r="L32" s="171"/>
      <c r="M32" s="171"/>
      <c r="W32" s="417"/>
      <c r="X32" s="172"/>
      <c r="Y32" s="172"/>
      <c r="Z32" s="172"/>
      <c r="AA32" s="172"/>
      <c r="AB32" s="172"/>
      <c r="AC32" s="172"/>
      <c r="AD32" s="172"/>
    </row>
    <row r="33" spans="1:30" ht="17.25" customHeight="1" x14ac:dyDescent="0.4">
      <c r="A33" s="153"/>
      <c r="C33" s="412"/>
      <c r="D33" s="413"/>
      <c r="E33" s="168" t="str">
        <f>_xlfn.CONCAT(E31,"-","PILOT")</f>
        <v>CE-1-PILOT</v>
      </c>
      <c r="F33" s="416"/>
      <c r="G33" s="173"/>
      <c r="H33" s="173"/>
      <c r="I33" s="173"/>
      <c r="J33" s="173"/>
      <c r="K33" s="173"/>
      <c r="L33" s="173"/>
      <c r="M33" s="173"/>
      <c r="W33" s="417"/>
      <c r="X33" s="172"/>
      <c r="Y33" s="172"/>
      <c r="Z33" s="172"/>
      <c r="AA33" s="172"/>
      <c r="AB33" s="172"/>
      <c r="AC33" s="172"/>
      <c r="AD33" s="172"/>
    </row>
    <row r="34" spans="1:30" ht="25.5" customHeight="1" thickBot="1" x14ac:dyDescent="0.45">
      <c r="A34" s="153"/>
      <c r="C34" s="412"/>
      <c r="D34" s="413"/>
      <c r="E34" s="174"/>
      <c r="F34" s="418" t="s">
        <v>19</v>
      </c>
      <c r="G34" s="419"/>
      <c r="H34" s="419"/>
      <c r="I34" s="419"/>
      <c r="J34" s="419"/>
      <c r="K34" s="419"/>
      <c r="L34" s="419"/>
      <c r="M34" s="420"/>
      <c r="W34" s="167"/>
      <c r="X34" s="167"/>
      <c r="Y34" s="172"/>
      <c r="Z34" s="172"/>
      <c r="AA34" s="172"/>
      <c r="AB34" s="172"/>
      <c r="AC34" s="172"/>
      <c r="AD34" s="172"/>
    </row>
    <row r="35" spans="1:30" ht="17.25" customHeight="1" thickTop="1" x14ac:dyDescent="0.4">
      <c r="A35" s="153"/>
      <c r="C35" s="412"/>
      <c r="D35" s="413"/>
      <c r="E35" s="168" t="s">
        <v>87</v>
      </c>
      <c r="F35" s="414" t="s">
        <v>88</v>
      </c>
      <c r="G35" s="169" t="str" cm="1">
        <f t="array" ref="G35">IF(RIGHT(_xlfn._xlws.FILTER(Sheet1!$G$2:$G$333,(Sheet1!$G$2:$G$333=$E35)+(Sheet1!$G$2:$G$333=$E36)+(Sheet1!$G$2:$G$333=$E37),""),4)="POST",CONCATENATE(_xlfn._xlws.FILTER(Sheet1!$A$2:$A$333,(Sheet1!$G$2:$G$333=$E35)+(Sheet1!$G$2:$G$333=$E36)+(Sheet1!$G$2:$G$333=$E37),""),"-","POST"),_xlfn._xlws.FILTER(Sheet1!$A$2:$A$333,(Sheet1!$G$2:$G$333=$E35)+(Sheet1!$G$2:$G$333=$E36)+(Sheet1!$G$2:$G$333=$E37),"UNFILLED"))</f>
        <v>BOUCHARD, SHARLIE</v>
      </c>
      <c r="H35" s="169" t="str" cm="1">
        <f t="array" ref="H35">IF(RIGHT(_xlfn._xlws.FILTER(Sheet1!$I$2:$I$333,(Sheet1!$I$2:$I$333=$E35)+(Sheet1!$I$2:$I$333=$E36)+(Sheet1!$I$2:$I$333=$E37),""),4)="POST",CONCATENATE(_xlfn._xlws.FILTER(Sheet1!$A$2:$A$333,(Sheet1!$I$2:$I$333=$E35)+(Sheet1!$I$2:$I$333=$E36)+(Sheet1!$I$2:$I$333=$E37),""),"-","POST"),_xlfn._xlws.FILTER(Sheet1!$A$2:$A$333,(Sheet1!$I$2:$I$333=$E35)+(Sheet1!$I$2:$I$333=$E36)+(Sheet1!$I$2:$I$333=$E37),"UNFILLED"))</f>
        <v>CLUBBS, DARIN</v>
      </c>
      <c r="I35" s="169" t="str" cm="1">
        <f t="array" ref="I35">IF(RIGHT(_xlfn._xlws.FILTER(Sheet1!$K$2:$K$333,(Sheet1!$K$2:$K$333=$E35)+(Sheet1!$K$2:$K$333=$E36)+(Sheet1!$K$2:$K$333=$E37),""),4)="POST",CONCATENATE(_xlfn._xlws.FILTER(Sheet1!$A$2:$A$333,(Sheet1!$K$2:$K$333=$E35)+(Sheet1!$K$2:$K$333=$E36)+(Sheet1!$K$2:$K$333=$E37),""),"-","POST"),_xlfn._xlws.FILTER(Sheet1!$A$2:$A$333,(Sheet1!$K$2:$K$333=$E35)+(Sheet1!$K$2:$K$333=$E36)+(Sheet1!$K$2:$K$333=$E37),"UNFILLED"))</f>
        <v>CLUBBS, DARIN</v>
      </c>
      <c r="J35" s="169" t="str" cm="1">
        <f t="array" ref="J35">IF(RIGHT(_xlfn._xlws.FILTER(Sheet1!M$2:M$333,(Sheet1!M$2:M$333=$E35)+(Sheet1!M$2:M$333=$E36)+(Sheet1!M$2:M$333=$E37),""),4)="POST",CONCATENATE(_xlfn._xlws.FILTER(Sheet1!$A$2:$A$333,(Sheet1!M$2:M$333=$E35)+(Sheet1!M$2:M$333=$E36)+(Sheet1!M$2:M$333=$E37),""),"-","POST"),_xlfn._xlws.FILTER(Sheet1!$A$2:$A$333,(Sheet1!M$2:M$333=$E35)+(Sheet1!M$2:M$333=$E36)+(Sheet1!M$2:M$333=$E37),"UNFILLED"))</f>
        <v>CLUBBS, DARIN</v>
      </c>
      <c r="K35" s="169" t="str" cm="1">
        <f t="array" ref="K35">IF(RIGHT(_xlfn._xlws.FILTER(Sheet1!$O$2:$O$333,(Sheet1!$O$2:$O$333=$E35)+(Sheet1!$O$2:$O$333=$E36)+(Sheet1!$O$2:$O$333=$E37),""),4)="POST",CONCATENATE(_xlfn._xlws.FILTER(Sheet1!$A$2:$A$333,(Sheet1!$O$2:$O$333=$E35)+(Sheet1!$O$2:$O$333=$E36)+(Sheet1!$O$2:$O$333=$E37),""),"-","POST"),_xlfn._xlws.FILTER(Sheet1!$A$2:$A$333,(Sheet1!$O$2:$O$333=$E35)+(Sheet1!$O$2:$O$333=$E36)+(Sheet1!$O$2:$O$333=$E37),"UNFILLED"))</f>
        <v>CLUBBS, DARIN</v>
      </c>
      <c r="L35" s="169" t="str" cm="1">
        <f t="array" ref="L35">IF(RIGHT(_xlfn._xlws.FILTER(Sheet1!$Q$2:$Q$333,(Sheet1!$Q$2:$Q$333=$E35)+(Sheet1!$Q$2:$Q$333=$E36)+(Sheet1!$Q$2:$Q$333=$E37),""),4)="POST",CONCATENATE(_xlfn._xlws.FILTER(Sheet1!$A$2:$A$333,(Sheet1!$Q$2:$Q$333=$E35)+(Sheet1!$Q$2:$Q$333=$E36)+(Sheet1!$Q$2:$Q$333=$E37),""),"-","POST"),_xlfn._xlws.FILTER(Sheet1!$A$2:$A$333,(Sheet1!$Q$2:$Q$333=$E35)+(Sheet1!$Q$2:$Q$333=$E36)+(Sheet1!$Q$2:$Q$333=$E37),"UNFILLED"))</f>
        <v>CLUBBS, DARIN</v>
      </c>
      <c r="M35" s="169" t="str" cm="1">
        <f t="array" ref="M35">IF(RIGHT(_xlfn._xlws.FILTER(Sheet1!$S$2:$S$333,(Sheet1!$S$2:$S$333=$E35)+(Sheet1!$S$2:$S$333=$E36)+(Sheet1!$S$2:$S$333=$E37),""),4)="POST",CONCATENATE(_xlfn._xlws.FILTER(Sheet1!$A$2:$A$333,(Sheet1!$S$2:$S$333=$E35)+(Sheet1!$S$2:$S$333=$E36)+(Sheet1!$S$2:$S$333=$E37),""),"-","POST"),_xlfn._xlws.FILTER(Sheet1!$A$2:$A$333,(Sheet1!$S$2:$S$333=$E35)+(Sheet1!$S$2:$S$333=$E36)+(Sheet1!$S$2:$S$333=$E37),"UNFILLED"))</f>
        <v>MCGOLDRICK, MATT</v>
      </c>
      <c r="W35" s="417"/>
      <c r="X35" s="170"/>
      <c r="Y35" s="170"/>
      <c r="Z35" s="170"/>
      <c r="AA35" s="170"/>
      <c r="AB35" s="170"/>
      <c r="AC35" s="170"/>
      <c r="AD35" s="170"/>
    </row>
    <row r="36" spans="1:30" ht="17.25" customHeight="1" x14ac:dyDescent="0.4">
      <c r="A36" s="153"/>
      <c r="C36" s="412"/>
      <c r="D36" s="413"/>
      <c r="E36" s="168" t="str">
        <f>_xlfn.CONCAT(E35,"-","POST")</f>
        <v>CD-1-POST</v>
      </c>
      <c r="F36" s="415"/>
      <c r="G36" s="171"/>
      <c r="H36" s="171"/>
      <c r="I36" s="171"/>
      <c r="J36" s="171"/>
      <c r="K36" s="171"/>
      <c r="L36" s="171"/>
      <c r="M36" s="171"/>
      <c r="W36" s="417"/>
      <c r="X36" s="172"/>
      <c r="Y36" s="172"/>
      <c r="Z36" s="172"/>
      <c r="AA36" s="172"/>
      <c r="AB36" s="172"/>
      <c r="AC36" s="172"/>
      <c r="AD36" s="172"/>
    </row>
    <row r="37" spans="1:30" ht="17.25" customHeight="1" x14ac:dyDescent="0.4">
      <c r="A37" s="153"/>
      <c r="C37" s="412"/>
      <c r="D37" s="413"/>
      <c r="E37" s="168" t="str">
        <f>_xlfn.CONCAT(E35,"-","PILOT")</f>
        <v>CD-1-PILOT</v>
      </c>
      <c r="F37" s="416"/>
      <c r="G37" s="173"/>
      <c r="H37" s="173"/>
      <c r="I37" s="173"/>
      <c r="J37" s="173"/>
      <c r="K37" s="173"/>
      <c r="L37" s="173"/>
      <c r="M37" s="173"/>
      <c r="W37" s="417"/>
      <c r="X37" s="172"/>
      <c r="Y37" s="172"/>
      <c r="Z37" s="172"/>
      <c r="AA37" s="172"/>
      <c r="AB37" s="172"/>
      <c r="AC37" s="172"/>
      <c r="AD37" s="172"/>
    </row>
    <row r="38" spans="1:30" ht="17.25" customHeight="1" x14ac:dyDescent="0.4">
      <c r="A38" s="153"/>
      <c r="C38" s="412"/>
      <c r="D38" s="413"/>
      <c r="E38" s="168" t="s">
        <v>89</v>
      </c>
      <c r="F38" s="414" t="s">
        <v>90</v>
      </c>
      <c r="G38" s="169" t="str" cm="1">
        <f t="array" ref="G38">IF(RIGHT(_xlfn._xlws.FILTER(Sheet1!$G$2:$G$333,(Sheet1!$G$2:$G$333=$E38)+(Sheet1!$G$2:$G$333=$E39)+(Sheet1!$G$2:$G$333=$E40),""),4)="POST",CONCATENATE(_xlfn._xlws.FILTER(Sheet1!$A$2:$A$333,(Sheet1!$G$2:$G$333=$E38)+(Sheet1!$G$2:$G$333=$E39)+(Sheet1!$G$2:$G$333=$E40),""),"-","POST"),_xlfn._xlws.FILTER(Sheet1!$A$2:$A$333,(Sheet1!$G$2:$G$333=$E38)+(Sheet1!$G$2:$G$333=$E39)+(Sheet1!$G$2:$G$333=$E40),"UNFILLED"))</f>
        <v>ROBERTS, KIRVIN</v>
      </c>
      <c r="H38" s="169" t="str" cm="1">
        <f t="array" ref="H38">IF(RIGHT(_xlfn._xlws.FILTER(Sheet1!$I$2:$I$333,(Sheet1!$I$2:$I$333=$E38)+(Sheet1!$I$2:$I$333=$E39)+(Sheet1!$I$2:$I$333=$E40),""),4)="POST",CONCATENATE(_xlfn._xlws.FILTER(Sheet1!$A$2:$A$333,(Sheet1!$I$2:$I$333=$E38)+(Sheet1!$I$2:$I$333=$E39)+(Sheet1!$I$2:$I$333=$E40),""),"-","POST"),_xlfn._xlws.FILTER(Sheet1!$A$2:$A$333,(Sheet1!$I$2:$I$333=$E38)+(Sheet1!$I$2:$I$333=$E39)+(Sheet1!$I$2:$I$333=$E40),"UNFILLED"))</f>
        <v>ROBERTS, KIRVIN</v>
      </c>
      <c r="I38" s="169" t="str" cm="1">
        <f t="array" ref="I38">IF(RIGHT(_xlfn._xlws.FILTER(Sheet1!$K$2:$K$333,(Sheet1!$K$2:$K$333=$E38)+(Sheet1!$K$2:$K$333=$E39)+(Sheet1!$K$2:$K$333=$E40),""),4)="POST",CONCATENATE(_xlfn._xlws.FILTER(Sheet1!$A$2:$A$333,(Sheet1!$K$2:$K$333=$E38)+(Sheet1!$K$2:$K$333=$E39)+(Sheet1!$K$2:$K$333=$E40),""),"-","POST"),_xlfn._xlws.FILTER(Sheet1!$A$2:$A$333,(Sheet1!$K$2:$K$333=$E38)+(Sheet1!$K$2:$K$333=$E39)+(Sheet1!$K$2:$K$333=$E40),"UNFILLED"))</f>
        <v>NEGLEY, ANTHONY</v>
      </c>
      <c r="J38" s="169" t="str" cm="1">
        <f t="array" ref="J38">IF(RIGHT(_xlfn._xlws.FILTER(Sheet1!M$2:M$333,(Sheet1!M$2:M$333=$E38)+(Sheet1!M$2:M$333=$E39)+(Sheet1!M$2:M$333=$E40),""),4)="POST",CONCATENATE(_xlfn._xlws.FILTER(Sheet1!$A$2:$A$333,(Sheet1!M$2:M$333=$E38)+(Sheet1!M$2:M$333=$E39)+(Sheet1!M$2:M$333=$E40),""),"-","POST"),_xlfn._xlws.FILTER(Sheet1!$A$2:$A$333,(Sheet1!M$2:M$333=$E38)+(Sheet1!M$2:M$333=$E39)+(Sheet1!M$2:M$333=$E40),"UNFILLED"))</f>
        <v>NEGLEY, ANTHONY</v>
      </c>
      <c r="K38" s="169" t="str" cm="1">
        <f t="array" ref="K38">IF(RIGHT(_xlfn._xlws.FILTER(Sheet1!$O$2:$O$333,(Sheet1!$O$2:$O$333=$E38)+(Sheet1!$O$2:$O$333=$E39)+(Sheet1!$O$2:$O$333=$E40),""),4)="POST",CONCATENATE(_xlfn._xlws.FILTER(Sheet1!$A$2:$A$333,(Sheet1!$O$2:$O$333=$E38)+(Sheet1!$O$2:$O$333=$E39)+(Sheet1!$O$2:$O$333=$E40),""),"-","POST"),_xlfn._xlws.FILTER(Sheet1!$A$2:$A$333,(Sheet1!$O$2:$O$333=$E38)+(Sheet1!$O$2:$O$333=$E39)+(Sheet1!$O$2:$O$333=$E40),"UNFILLED"))</f>
        <v>NEGLEY, ANTHONY</v>
      </c>
      <c r="L38" s="169" t="str" cm="1">
        <f t="array" ref="L38">IF(RIGHT(_xlfn._xlws.FILTER(Sheet1!$Q$2:$Q$333,(Sheet1!$Q$2:$Q$333=$E38)+(Sheet1!$Q$2:$Q$333=$E39)+(Sheet1!$Q$2:$Q$333=$E40),""),4)="POST",CONCATENATE(_xlfn._xlws.FILTER(Sheet1!$A$2:$A$333,(Sheet1!$Q$2:$Q$333=$E38)+(Sheet1!$Q$2:$Q$333=$E39)+(Sheet1!$Q$2:$Q$333=$E40),""),"-","POST"),_xlfn._xlws.FILTER(Sheet1!$A$2:$A$333,(Sheet1!$Q$2:$Q$333=$E38)+(Sheet1!$Q$2:$Q$333=$E39)+(Sheet1!$Q$2:$Q$333=$E40),"UNFILLED"))</f>
        <v>NEGLEY, ANTHONY</v>
      </c>
      <c r="M38" s="169" t="str" cm="1">
        <f t="array" ref="M38">IF(RIGHT(_xlfn._xlws.FILTER(Sheet1!$S$2:$S$333,(Sheet1!$S$2:$S$333=$E38)+(Sheet1!$S$2:$S$333=$E39)+(Sheet1!$S$2:$S$333=$E40),""),4)="POST",CONCATENATE(_xlfn._xlws.FILTER(Sheet1!$A$2:$A$333,(Sheet1!$S$2:$S$333=$E38)+(Sheet1!$S$2:$S$333=$E39)+(Sheet1!$S$2:$S$333=$E40),""),"-","POST"),_xlfn._xlws.FILTER(Sheet1!$A$2:$A$333,(Sheet1!$S$2:$S$333=$E38)+(Sheet1!$S$2:$S$333=$E39)+(Sheet1!$S$2:$S$333=$E40),"UNFILLED"))</f>
        <v>NEGLEY, ANTHONY</v>
      </c>
      <c r="W38" s="417"/>
      <c r="X38" s="170"/>
      <c r="Y38" s="170"/>
      <c r="Z38" s="170"/>
      <c r="AA38" s="170"/>
      <c r="AB38" s="170"/>
      <c r="AC38" s="170"/>
      <c r="AD38" s="170"/>
    </row>
    <row r="39" spans="1:30" ht="17.25" customHeight="1" x14ac:dyDescent="0.4">
      <c r="A39" s="153"/>
      <c r="C39" s="412"/>
      <c r="D39" s="413"/>
      <c r="E39" s="168" t="str">
        <f>_xlfn.CONCAT(E38,"-","POST")</f>
        <v>EL-1-POST</v>
      </c>
      <c r="F39" s="415"/>
      <c r="G39" s="171"/>
      <c r="H39" s="171"/>
      <c r="I39" s="171"/>
      <c r="J39" s="171"/>
      <c r="K39" s="171"/>
      <c r="L39" s="171"/>
      <c r="M39" s="171"/>
      <c r="W39" s="417"/>
      <c r="X39" s="172"/>
      <c r="Y39" s="172"/>
      <c r="Z39" s="172"/>
      <c r="AA39" s="172"/>
      <c r="AB39" s="172"/>
      <c r="AC39" s="172"/>
      <c r="AD39" s="172"/>
    </row>
    <row r="40" spans="1:30" ht="17.25" customHeight="1" x14ac:dyDescent="0.4">
      <c r="A40" s="153"/>
      <c r="C40" s="412"/>
      <c r="D40" s="413"/>
      <c r="E40" s="168" t="str">
        <f>_xlfn.CONCAT(E38,"-","PILOT")</f>
        <v>EL-1-PILOT</v>
      </c>
      <c r="F40" s="416"/>
      <c r="G40" s="173"/>
      <c r="H40" s="173"/>
      <c r="I40" s="173"/>
      <c r="J40" s="173"/>
      <c r="K40" s="173"/>
      <c r="L40" s="173"/>
      <c r="M40" s="173"/>
      <c r="W40" s="417"/>
      <c r="X40" s="172"/>
      <c r="Y40" s="172"/>
      <c r="Z40" s="172"/>
      <c r="AA40" s="172"/>
      <c r="AB40" s="172"/>
      <c r="AC40" s="172"/>
      <c r="AD40" s="172"/>
    </row>
    <row r="41" spans="1:30" ht="17.25" customHeight="1" x14ac:dyDescent="0.4">
      <c r="A41" s="153"/>
      <c r="C41" s="412"/>
      <c r="D41" s="413"/>
      <c r="E41" s="168" t="s">
        <v>91</v>
      </c>
      <c r="F41" s="414" t="s">
        <v>92</v>
      </c>
      <c r="G41" s="169" t="str" cm="1">
        <f t="array" ref="G41">IF(RIGHT(_xlfn._xlws.FILTER(Sheet1!$G$2:$G$333,(Sheet1!$G$2:$G$333=$E41)+(Sheet1!$G$2:$G$333=$E42)+(Sheet1!$G$2:$G$333=$E43),""),4)="POST",CONCATENATE(_xlfn._xlws.FILTER(Sheet1!$A$2:$A$333,(Sheet1!$G$2:$G$333=$E41)+(Sheet1!$G$2:$G$333=$E42)+(Sheet1!$G$2:$G$333=$E43),""),"-","POST"),_xlfn._xlws.FILTER(Sheet1!$A$2:$A$333,(Sheet1!$G$2:$G$333=$E41)+(Sheet1!$G$2:$G$333=$E42)+(Sheet1!$G$2:$G$333=$E43),"UNFILLED"))</f>
        <v>VANNIER, RYAN</v>
      </c>
      <c r="H41" s="169" t="str" cm="1">
        <f t="array" ref="H41">IF(RIGHT(_xlfn._xlws.FILTER(Sheet1!$I$2:$I$333,(Sheet1!$I$2:$I$333=$E41)+(Sheet1!$I$2:$I$333=$E42)+(Sheet1!$I$2:$I$333=$E43),""),4)="POST",CONCATENATE(_xlfn._xlws.FILTER(Sheet1!$A$2:$A$333,(Sheet1!$I$2:$I$333=$E41)+(Sheet1!$I$2:$I$333=$E42)+(Sheet1!$I$2:$I$333=$E43),""),"-","POST"),_xlfn._xlws.FILTER(Sheet1!$A$2:$A$333,(Sheet1!$I$2:$I$333=$E41)+(Sheet1!$I$2:$I$333=$E42)+(Sheet1!$I$2:$I$333=$E43),"UNFILLED"))</f>
        <v>TURNER, CHERTARVEYA</v>
      </c>
      <c r="I41" s="169" t="str" cm="1">
        <f t="array" ref="I41">IF(RIGHT(_xlfn._xlws.FILTER(Sheet1!$K$2:$K$333,(Sheet1!$K$2:$K$333=$E41)+(Sheet1!$K$2:$K$333=$E42)+(Sheet1!$K$2:$K$333=$E43),""),4)="POST",CONCATENATE(_xlfn._xlws.FILTER(Sheet1!$A$2:$A$333,(Sheet1!$K$2:$K$333=$E41)+(Sheet1!$K$2:$K$333=$E42)+(Sheet1!$K$2:$K$333=$E43),""),"-","POST"),_xlfn._xlws.FILTER(Sheet1!$A$2:$A$333,(Sheet1!$K$2:$K$333=$E41)+(Sheet1!$K$2:$K$333=$E42)+(Sheet1!$K$2:$K$333=$E43),"UNFILLED"))</f>
        <v>TURNER, CHERTARVEYA</v>
      </c>
      <c r="J41" s="169" t="str" cm="1">
        <f t="array" ref="J41">IF(RIGHT(_xlfn._xlws.FILTER(Sheet1!M$2:M$333,(Sheet1!M$2:M$333=$E41)+(Sheet1!M$2:M$333=$E42)+(Sheet1!M$2:M$333=$E43),""),4)="POST",CONCATENATE(_xlfn._xlws.FILTER(Sheet1!$A$2:$A$333,(Sheet1!M$2:M$333=$E41)+(Sheet1!M$2:M$333=$E42)+(Sheet1!M$2:M$333=$E43),""),"-","POST"),_xlfn._xlws.FILTER(Sheet1!$A$2:$A$333,(Sheet1!M$2:M$333=$E41)+(Sheet1!M$2:M$333=$E42)+(Sheet1!M$2:M$333=$E43),"UNFILLED"))</f>
        <v>VANNIER, RYAN</v>
      </c>
      <c r="K41" s="169" t="str" cm="1">
        <f t="array" ref="K41">IF(RIGHT(_xlfn._xlws.FILTER(Sheet1!$O$2:$O$333,(Sheet1!$O$2:$O$333=$E41)+(Sheet1!$O$2:$O$333=$E42)+(Sheet1!$O$2:$O$333=$E43),""),4)="POST",CONCATENATE(_xlfn._xlws.FILTER(Sheet1!$A$2:$A$333,(Sheet1!$O$2:$O$333=$E41)+(Sheet1!$O$2:$O$333=$E42)+(Sheet1!$O$2:$O$333=$E43),""),"-","POST"),_xlfn._xlws.FILTER(Sheet1!$A$2:$A$333,(Sheet1!$O$2:$O$333=$E41)+(Sheet1!$O$2:$O$333=$E42)+(Sheet1!$O$2:$O$333=$E43),"UNFILLED"))</f>
        <v>VANNIER, RYAN</v>
      </c>
      <c r="L41" s="169" t="str" cm="1">
        <f t="array" ref="L41">IF(RIGHT(_xlfn._xlws.FILTER(Sheet1!$Q$2:$Q$333,(Sheet1!$Q$2:$Q$333=$E41)+(Sheet1!$Q$2:$Q$333=$E42)+(Sheet1!$Q$2:$Q$333=$E43),""),4)="POST",CONCATENATE(_xlfn._xlws.FILTER(Sheet1!$A$2:$A$333,(Sheet1!$Q$2:$Q$333=$E41)+(Sheet1!$Q$2:$Q$333=$E42)+(Sheet1!$Q$2:$Q$333=$E43),""),"-","POST"),_xlfn._xlws.FILTER(Sheet1!$A$2:$A$333,(Sheet1!$Q$2:$Q$333=$E41)+(Sheet1!$Q$2:$Q$333=$E42)+(Sheet1!$Q$2:$Q$333=$E43),"UNFILLED"))</f>
        <v>VANNIER, RYAN</v>
      </c>
      <c r="M41" s="169" t="str" cm="1">
        <f t="array" ref="M41">IF(RIGHT(_xlfn._xlws.FILTER(Sheet1!$S$2:$S$333,(Sheet1!$S$2:$S$333=$E41)+(Sheet1!$S$2:$S$333=$E42)+(Sheet1!$S$2:$S$333=$E43),""),4)="POST",CONCATENATE(_xlfn._xlws.FILTER(Sheet1!$A$2:$A$333,(Sheet1!$S$2:$S$333=$E41)+(Sheet1!$S$2:$S$333=$E42)+(Sheet1!$S$2:$S$333=$E43),""),"-","POST"),_xlfn._xlws.FILTER(Sheet1!$A$2:$A$333,(Sheet1!$S$2:$S$333=$E41)+(Sheet1!$S$2:$S$333=$E42)+(Sheet1!$S$2:$S$333=$E43),"UNFILLED"))</f>
        <v>VANNIER, RYAN</v>
      </c>
      <c r="W41" s="417"/>
      <c r="X41" s="170"/>
      <c r="Y41" s="170"/>
      <c r="Z41" s="170"/>
      <c r="AA41" s="170"/>
      <c r="AB41" s="170"/>
      <c r="AC41" s="170"/>
      <c r="AD41" s="170"/>
    </row>
    <row r="42" spans="1:30" ht="17.25" customHeight="1" x14ac:dyDescent="0.4">
      <c r="A42" s="153"/>
      <c r="C42" s="412"/>
      <c r="D42" s="413"/>
      <c r="E42" s="168" t="str">
        <f>_xlfn.CONCAT(E41,"-","POST")</f>
        <v>TT-1-POST</v>
      </c>
      <c r="F42" s="415"/>
      <c r="G42" s="171"/>
      <c r="H42" s="171"/>
      <c r="I42" s="171"/>
      <c r="J42" s="171"/>
      <c r="K42" s="171"/>
      <c r="L42" s="171"/>
      <c r="M42" s="171"/>
      <c r="W42" s="417"/>
      <c r="X42" s="172"/>
      <c r="Y42" s="172"/>
      <c r="Z42" s="172"/>
      <c r="AA42" s="172"/>
      <c r="AB42" s="172"/>
      <c r="AC42" s="172"/>
      <c r="AD42" s="172"/>
    </row>
    <row r="43" spans="1:30" ht="17.25" customHeight="1" x14ac:dyDescent="0.4">
      <c r="A43" s="153"/>
      <c r="C43" s="412"/>
      <c r="D43" s="413"/>
      <c r="E43" s="168" t="str">
        <f>_xlfn.CONCAT(E41,"-","PILOT")</f>
        <v>TT-1-PILOT</v>
      </c>
      <c r="F43" s="416"/>
      <c r="G43" s="173"/>
      <c r="H43" s="173"/>
      <c r="I43" s="173"/>
      <c r="J43" s="173"/>
      <c r="K43" s="173"/>
      <c r="L43" s="173"/>
      <c r="M43" s="173"/>
      <c r="W43" s="417"/>
      <c r="X43" s="172"/>
      <c r="Y43" s="172"/>
      <c r="Z43" s="172"/>
      <c r="AA43" s="172"/>
      <c r="AB43" s="172"/>
      <c r="AC43" s="172"/>
      <c r="AD43" s="172"/>
    </row>
    <row r="44" spans="1:30" ht="17.25" customHeight="1" x14ac:dyDescent="0.4">
      <c r="A44" s="153"/>
      <c r="C44" s="412"/>
      <c r="D44" s="413"/>
      <c r="E44" s="168" t="s">
        <v>93</v>
      </c>
      <c r="F44" s="414" t="s">
        <v>94</v>
      </c>
      <c r="G44" s="169" t="str" cm="1">
        <f t="array" ref="G44">IF(RIGHT(_xlfn._xlws.FILTER(Sheet1!$G$2:$G$333,(Sheet1!$G$2:$G$333=$E44)+(Sheet1!$G$2:$G$333=$E45)+(Sheet1!$G$2:$G$333=$E46),""),4)="POST",CONCATENATE(_xlfn._xlws.FILTER(Sheet1!$A$2:$A$333,(Sheet1!$G$2:$G$333=$E44)+(Sheet1!$G$2:$G$333=$E45)+(Sheet1!$G$2:$G$333=$E46),""),"-","POST"),_xlfn._xlws.FILTER(Sheet1!$A$2:$A$333,(Sheet1!$G$2:$G$333=$E44)+(Sheet1!$G$2:$G$333=$E45)+(Sheet1!$G$2:$G$333=$E46),"UNFILLED"))</f>
        <v>DOUGHERTY, MIKE</v>
      </c>
      <c r="H44" s="169" t="str" cm="1">
        <f t="array" ref="H44">IF(RIGHT(_xlfn._xlws.FILTER(Sheet1!$I$2:$I$333,(Sheet1!$I$2:$I$333=$E44)+(Sheet1!$I$2:$I$333=$E45)+(Sheet1!$I$2:$I$333=$E46),""),4)="POST",CONCATENATE(_xlfn._xlws.FILTER(Sheet1!$A$2:$A$333,(Sheet1!$I$2:$I$333=$E44)+(Sheet1!$I$2:$I$333=$E45)+(Sheet1!$I$2:$I$333=$E46),""),"-","POST"),_xlfn._xlws.FILTER(Sheet1!$A$2:$A$333,(Sheet1!$I$2:$I$333=$E44)+(Sheet1!$I$2:$I$333=$E45)+(Sheet1!$I$2:$I$333=$E46),"UNFILLED"))</f>
        <v>BROSKIN, CHRIS</v>
      </c>
      <c r="I44" s="169" t="str" cm="1">
        <f t="array" ref="I44">IF(RIGHT(_xlfn._xlws.FILTER(Sheet1!$K$2:$K$333,(Sheet1!$K$2:$K$333=$E44)+(Sheet1!$K$2:$K$333=$E45)+(Sheet1!$K$2:$K$333=$E46),""),4)="POST",CONCATENATE(_xlfn._xlws.FILTER(Sheet1!$A$2:$A$333,(Sheet1!$K$2:$K$333=$E44)+(Sheet1!$K$2:$K$333=$E45)+(Sheet1!$K$2:$K$333=$E46),""),"-","POST"),_xlfn._xlws.FILTER(Sheet1!$A$2:$A$333,(Sheet1!$K$2:$K$333=$E44)+(Sheet1!$K$2:$K$333=$E45)+(Sheet1!$K$2:$K$333=$E46),"UNFILLED"))</f>
        <v>BROSKIN, CHRIS</v>
      </c>
      <c r="J44" s="169" t="str" cm="1">
        <f t="array" ref="J44">IF(RIGHT(_xlfn._xlws.FILTER(Sheet1!M$2:M$333,(Sheet1!M$2:M$333=$E44)+(Sheet1!M$2:M$333=$E45)+(Sheet1!M$2:M$333=$E46),""),4)="POST",CONCATENATE(_xlfn._xlws.FILTER(Sheet1!$A$2:$A$333,(Sheet1!M$2:M$333=$E44)+(Sheet1!M$2:M$333=$E45)+(Sheet1!M$2:M$333=$E46),""),"-","POST"),_xlfn._xlws.FILTER(Sheet1!$A$2:$A$333,(Sheet1!M$2:M$333=$E44)+(Sheet1!M$2:M$333=$E45)+(Sheet1!M$2:M$333=$E46),"UNFILLED"))</f>
        <v>BROSKIN, CHRIS</v>
      </c>
      <c r="K44" s="169" t="str" cm="1">
        <f t="array" ref="K44">IF(RIGHT(_xlfn._xlws.FILTER(Sheet1!$O$2:$O$333,(Sheet1!$O$2:$O$333=$E44)+(Sheet1!$O$2:$O$333=$E45)+(Sheet1!$O$2:$O$333=$E46),""),4)="POST",CONCATENATE(_xlfn._xlws.FILTER(Sheet1!$A$2:$A$333,(Sheet1!$O$2:$O$333=$E44)+(Sheet1!$O$2:$O$333=$E45)+(Sheet1!$O$2:$O$333=$E46),""),"-","POST"),_xlfn._xlws.FILTER(Sheet1!$A$2:$A$333,(Sheet1!$O$2:$O$333=$E44)+(Sheet1!$O$2:$O$333=$E45)+(Sheet1!$O$2:$O$333=$E46),"UNFILLED"))</f>
        <v>BROSKIN, CHRIS</v>
      </c>
      <c r="L44" s="169" t="str" cm="1">
        <f t="array" ref="L44">IF(RIGHT(_xlfn._xlws.FILTER(Sheet1!$Q$2:$Q$333,(Sheet1!$Q$2:$Q$333=$E44)+(Sheet1!$Q$2:$Q$333=$E45)+(Sheet1!$Q$2:$Q$333=$E46),""),4)="POST",CONCATENATE(_xlfn._xlws.FILTER(Sheet1!$A$2:$A$333,(Sheet1!$Q$2:$Q$333=$E44)+(Sheet1!$Q$2:$Q$333=$E45)+(Sheet1!$Q$2:$Q$333=$E46),""),"-","POST"),_xlfn._xlws.FILTER(Sheet1!$A$2:$A$333,(Sheet1!$Q$2:$Q$333=$E44)+(Sheet1!$Q$2:$Q$333=$E45)+(Sheet1!$Q$2:$Q$333=$E46),"UNFILLED"))</f>
        <v>BROSKIN, CHRIS</v>
      </c>
      <c r="M44" s="169" t="str" cm="1">
        <f t="array" ref="M44">IF(RIGHT(_xlfn._xlws.FILTER(Sheet1!$S$2:$S$333,(Sheet1!$S$2:$S$333=$E44)+(Sheet1!$S$2:$S$333=$E45)+(Sheet1!$S$2:$S$333=$E46),""),4)="POST",CONCATENATE(_xlfn._xlws.FILTER(Sheet1!$A$2:$A$333,(Sheet1!$S$2:$S$333=$E44)+(Sheet1!$S$2:$S$333=$E45)+(Sheet1!$S$2:$S$333=$E46),""),"-","POST"),_xlfn._xlws.FILTER(Sheet1!$A$2:$A$333,(Sheet1!$S$2:$S$333=$E44)+(Sheet1!$S$2:$S$333=$E45)+(Sheet1!$S$2:$S$333=$E46),"UNFILLED"))</f>
        <v>GRUBBS, TUJUANA</v>
      </c>
      <c r="W44" s="417"/>
      <c r="X44" s="170"/>
      <c r="Y44" s="170"/>
      <c r="Z44" s="170"/>
      <c r="AA44" s="170"/>
      <c r="AB44" s="170"/>
      <c r="AC44" s="170"/>
      <c r="AD44" s="170"/>
    </row>
    <row r="45" spans="1:30" ht="17.25" customHeight="1" x14ac:dyDescent="0.4">
      <c r="A45" s="153"/>
      <c r="C45" s="412"/>
      <c r="D45" s="413"/>
      <c r="E45" s="168" t="str">
        <f>_xlfn.CONCAT(E44,"-","POST")</f>
        <v>DT-1-POST</v>
      </c>
      <c r="F45" s="415"/>
      <c r="G45" s="171"/>
      <c r="H45" s="171"/>
      <c r="I45" s="171"/>
      <c r="J45" s="171"/>
      <c r="K45" s="171"/>
      <c r="L45" s="171"/>
      <c r="M45" s="171"/>
      <c r="W45" s="417"/>
      <c r="X45" s="172"/>
      <c r="Y45" s="172"/>
      <c r="Z45" s="172"/>
      <c r="AA45" s="172"/>
      <c r="AB45" s="172"/>
      <c r="AC45" s="172"/>
      <c r="AD45" s="172"/>
    </row>
    <row r="46" spans="1:30" ht="17.25" customHeight="1" x14ac:dyDescent="0.4">
      <c r="A46" s="153"/>
      <c r="C46" s="412"/>
      <c r="D46" s="413"/>
      <c r="E46" s="168" t="str">
        <f>_xlfn.CONCAT(E44,"-","PILOT")</f>
        <v>DT-1-PILOT</v>
      </c>
      <c r="F46" s="416"/>
      <c r="G46" s="173"/>
      <c r="H46" s="173"/>
      <c r="I46" s="173"/>
      <c r="J46" s="173"/>
      <c r="K46" s="173"/>
      <c r="L46" s="173"/>
      <c r="M46" s="173"/>
      <c r="W46" s="417"/>
      <c r="X46" s="172"/>
      <c r="Y46" s="172"/>
      <c r="Z46" s="172"/>
      <c r="AA46" s="172"/>
      <c r="AB46" s="172"/>
      <c r="AC46" s="172"/>
      <c r="AD46" s="172"/>
    </row>
    <row r="47" spans="1:30" ht="17.25" customHeight="1" x14ac:dyDescent="0.45">
      <c r="A47" s="153"/>
      <c r="C47" s="412"/>
      <c r="D47" s="413"/>
      <c r="E47" s="175" t="s">
        <v>95</v>
      </c>
      <c r="F47" s="414" t="s">
        <v>96</v>
      </c>
      <c r="G47" s="169" t="str" cm="1">
        <f t="array" ref="G47:G48">IF(RIGHT(_xlfn._xlws.FILTER(Sheet1!$G$2:$G$333,(Sheet1!$G$2:$G$333=$E47)+(Sheet1!$G$2:$G$333=$E48)+(Sheet1!$G$2:$G$333=$E49),""),4)="POST",CONCATENATE(_xlfn._xlws.FILTER(Sheet1!$A$2:$A$333,(Sheet1!$G$2:$G$333=$E47)+(Sheet1!$G$2:$G$333=$E48)+(Sheet1!$G$2:$G$333=$E49),""),"-","POST"),_xlfn._xlws.FILTER(Sheet1!$A$2:$A$333,(Sheet1!$G$2:$G$333=$E47)+(Sheet1!$G$2:$G$333=$E48)+(Sheet1!$G$2:$G$333=$E49),"UNFILLED"))</f>
        <v>WAGUESPACK, SAMMY</v>
      </c>
      <c r="H47" s="169" t="str" cm="1">
        <f t="array" ref="H47">IF(RIGHT(_xlfn._xlws.FILTER(Sheet1!$I$2:$I$333,(Sheet1!$I$2:$I$333=$E47)+(Sheet1!$I$2:$I$333=$E48)+(Sheet1!$I$2:$I$333=$E49),""),4)="POST",CONCATENATE(_xlfn._xlws.FILTER(Sheet1!$A$2:$A$333,(Sheet1!$I$2:$I$333=$E47)+(Sheet1!$I$2:$I$333=$E48)+(Sheet1!$I$2:$I$333=$E49),""),"-","POST"),_xlfn._xlws.FILTER(Sheet1!$A$2:$A$333,(Sheet1!$I$2:$I$333=$E47)+(Sheet1!$I$2:$I$333=$E48)+(Sheet1!$I$2:$I$333=$E49),"UNFILLED"))</f>
        <v>GLACE, JOSH</v>
      </c>
      <c r="I47" s="169" t="str" cm="1">
        <f t="array" ref="I47">IF(RIGHT(_xlfn._xlws.FILTER(Sheet1!$K$2:$K$333,(Sheet1!$K$2:$K$333=$E47)+(Sheet1!$K$2:$K$333=$E48)+(Sheet1!$K$2:$K$333=$E49),""),4)="POST",CONCATENATE(_xlfn._xlws.FILTER(Sheet1!$A$2:$A$333,(Sheet1!$K$2:$K$333=$E47)+(Sheet1!$K$2:$K$333=$E48)+(Sheet1!$K$2:$K$333=$E49),""),"-","POST"),_xlfn._xlws.FILTER(Sheet1!$A$2:$A$333,(Sheet1!$K$2:$K$333=$E47)+(Sheet1!$K$2:$K$333=$E48)+(Sheet1!$K$2:$K$333=$E49),"UNFILLED"))</f>
        <v>GLACE, JOSH</v>
      </c>
      <c r="J47" s="169" t="str" cm="1">
        <f t="array" ref="J47">IF(RIGHT(_xlfn._xlws.FILTER(Sheet1!M$2:M$333,(Sheet1!M$2:M$333=$E47)+(Sheet1!M$2:M$333=$E48)+(Sheet1!M$2:M$333=$E49),""),4)="POST",CONCATENATE(_xlfn._xlws.FILTER(Sheet1!$A$2:$A$333,(Sheet1!M$2:M$333=$E47)+(Sheet1!M$2:M$333=$E48)+(Sheet1!M$2:M$333=$E49),""),"-","POST"),_xlfn._xlws.FILTER(Sheet1!$A$2:$A$333,(Sheet1!M$2:M$333=$E47)+(Sheet1!M$2:M$333=$E48)+(Sheet1!M$2:M$333=$E49),"UNFILLED"))</f>
        <v>GLACE, JOSH</v>
      </c>
      <c r="K47" s="169" t="str" cm="1">
        <f t="array" ref="K47">IF(RIGHT(_xlfn._xlws.FILTER(Sheet1!$O$2:$O$333,(Sheet1!$O$2:$O$333=$E47)+(Sheet1!$O$2:$O$333=$E48)+(Sheet1!$O$2:$O$333=$E49),""),4)="POST",CONCATENATE(_xlfn._xlws.FILTER(Sheet1!$A$2:$A$333,(Sheet1!$O$2:$O$333=$E47)+(Sheet1!$O$2:$O$333=$E48)+(Sheet1!$O$2:$O$333=$E49),""),"-","POST"),_xlfn._xlws.FILTER(Sheet1!$A$2:$A$333,(Sheet1!$O$2:$O$333=$E47)+(Sheet1!$O$2:$O$333=$E48)+(Sheet1!$O$2:$O$333=$E49),"UNFILLED"))</f>
        <v>GLACE, JOSH</v>
      </c>
      <c r="L47" s="169" t="str" cm="1">
        <f t="array" ref="L47">IF(RIGHT(_xlfn._xlws.FILTER(Sheet1!$Q$2:$Q$333,(Sheet1!$Q$2:$Q$333=$E47)+(Sheet1!$Q$2:$Q$333=$E48)+(Sheet1!$Q$2:$Q$333=$E49),""),4)="POST",CONCATENATE(_xlfn._xlws.FILTER(Sheet1!$A$2:$A$333,(Sheet1!$Q$2:$Q$333=$E47)+(Sheet1!$Q$2:$Q$333=$E48)+(Sheet1!$Q$2:$Q$333=$E49),""),"-","POST"),_xlfn._xlws.FILTER(Sheet1!$A$2:$A$333,(Sheet1!$Q$2:$Q$333=$E47)+(Sheet1!$Q$2:$Q$333=$E48)+(Sheet1!$Q$2:$Q$333=$E49),"UNFILLED"))</f>
        <v>GLACE, JOSH</v>
      </c>
      <c r="M47" s="169" t="str" cm="1">
        <f t="array" ref="M47">IF(RIGHT(_xlfn._xlws.FILTER(Sheet1!$S$2:$S$333,(Sheet1!$S$2:$S$333=$E47)+(Sheet1!$S$2:$S$333=$E48)+(Sheet1!$S$2:$S$333=$E49),""),4)="POST",CONCATENATE(_xlfn._xlws.FILTER(Sheet1!$A$2:$A$333,(Sheet1!$S$2:$S$333=$E47)+(Sheet1!$S$2:$S$333=$E48)+(Sheet1!$S$2:$S$333=$E49),""),"-","POST"),_xlfn._xlws.FILTER(Sheet1!$A$2:$A$333,(Sheet1!$S$2:$S$333=$E47)+(Sheet1!$S$2:$S$333=$E48)+(Sheet1!$S$2:$S$333=$E49),"UNFILLED"))</f>
        <v>BOUCHARD, SHARLIE</v>
      </c>
      <c r="W47" s="417"/>
      <c r="X47" s="170"/>
      <c r="Y47" s="170"/>
      <c r="Z47" s="170"/>
      <c r="AA47" s="170"/>
      <c r="AB47" s="170"/>
      <c r="AC47" s="170"/>
      <c r="AD47" s="170"/>
    </row>
    <row r="48" spans="1:30" ht="17.25" customHeight="1" x14ac:dyDescent="0.4">
      <c r="A48" s="153"/>
      <c r="C48" s="412"/>
      <c r="D48" s="413"/>
      <c r="E48" s="168" t="str">
        <f>_xlfn.CONCAT(E47,"-","POST")</f>
        <v>CG-1-POST</v>
      </c>
      <c r="F48" s="415"/>
      <c r="G48" s="171" t="str">
        <v>WAVER, ANDREW-POST</v>
      </c>
      <c r="H48" s="171"/>
      <c r="I48" s="171"/>
      <c r="J48" s="171"/>
      <c r="K48" s="171"/>
      <c r="L48" s="171"/>
      <c r="M48" s="171"/>
      <c r="W48" s="417"/>
      <c r="X48" s="172"/>
      <c r="Y48" s="172"/>
      <c r="Z48" s="172"/>
      <c r="AA48" s="172"/>
      <c r="AB48" s="172"/>
      <c r="AC48" s="172"/>
      <c r="AD48" s="172"/>
    </row>
    <row r="49" spans="1:30" ht="17.25" customHeight="1" x14ac:dyDescent="0.4">
      <c r="A49" s="153"/>
      <c r="C49" s="412"/>
      <c r="D49" s="413"/>
      <c r="E49" s="168" t="str">
        <f>_xlfn.CONCAT(E47,"-","PILOT")</f>
        <v>CG-1-PILOT</v>
      </c>
      <c r="F49" s="416"/>
      <c r="G49" s="173"/>
      <c r="H49" s="173"/>
      <c r="I49" s="173"/>
      <c r="J49" s="173"/>
      <c r="K49" s="173"/>
      <c r="L49" s="173"/>
      <c r="M49" s="173"/>
      <c r="W49" s="417"/>
      <c r="X49" s="172"/>
      <c r="Y49" s="172"/>
      <c r="Z49" s="172"/>
      <c r="AA49" s="172"/>
      <c r="AB49" s="172"/>
      <c r="AC49" s="172"/>
      <c r="AD49" s="172"/>
    </row>
    <row r="50" spans="1:30" ht="17.25" customHeight="1" x14ac:dyDescent="0.45">
      <c r="A50" s="153"/>
      <c r="C50" s="412"/>
      <c r="D50" s="413"/>
      <c r="E50" s="175" t="s">
        <v>97</v>
      </c>
      <c r="F50" s="414" t="s">
        <v>98</v>
      </c>
      <c r="G50" s="169" t="str" cm="1">
        <f t="array" ref="G50">IF(RIGHT(_xlfn._xlws.FILTER(Sheet1!$G$2:$G$333,(Sheet1!$G$2:$G$333=$E50)+(Sheet1!$G$2:$G$333=$E51)+(Sheet1!$G$2:$G$333=$E52),""),4)="POST",CONCATENATE(_xlfn._xlws.FILTER(Sheet1!$A$2:$A$333,(Sheet1!$G$2:$G$333=$E50)+(Sheet1!$G$2:$G$333=$E51)+(Sheet1!$G$2:$G$333=$E52),""),"-","POST"),_xlfn._xlws.FILTER(Sheet1!$A$2:$A$333,(Sheet1!$G$2:$G$333=$E50)+(Sheet1!$G$2:$G$333=$E51)+(Sheet1!$G$2:$G$333=$E52),"UNFILLED"))</f>
        <v>JAMES, NICHOLAS</v>
      </c>
      <c r="H50" s="169" t="str" cm="1">
        <f t="array" ref="H50">IF(RIGHT(_xlfn._xlws.FILTER(Sheet1!$I$2:$I$333,(Sheet1!$I$2:$I$333=$E50)+(Sheet1!$I$2:$I$333=$E51)+(Sheet1!$I$2:$I$333=$E52),""),4)="POST",CONCATENATE(_xlfn._xlws.FILTER(Sheet1!$A$2:$A$333,(Sheet1!$I$2:$I$333=$E50)+(Sheet1!$I$2:$I$333=$E51)+(Sheet1!$I$2:$I$333=$E52),""),"-","POST"),_xlfn._xlws.FILTER(Sheet1!$A$2:$A$333,(Sheet1!$I$2:$I$333=$E50)+(Sheet1!$I$2:$I$333=$E51)+(Sheet1!$I$2:$I$333=$E52),"UNFILLED"))</f>
        <v>JAMES, NICHOLAS</v>
      </c>
      <c r="I50" s="169" t="str" cm="1">
        <f t="array" ref="I50">IF(RIGHT(_xlfn._xlws.FILTER(Sheet1!$K$2:$K$333,(Sheet1!$K$2:$K$333=$E50)+(Sheet1!$K$2:$K$333=$E51)+(Sheet1!$K$2:$K$333=$E52),""),4)="POST",CONCATENATE(_xlfn._xlws.FILTER(Sheet1!$A$2:$A$333,(Sheet1!$K$2:$K$333=$E50)+(Sheet1!$K$2:$K$333=$E51)+(Sheet1!$K$2:$K$333=$E52),""),"-","POST"),_xlfn._xlws.FILTER(Sheet1!$A$2:$A$333,(Sheet1!$K$2:$K$333=$E50)+(Sheet1!$K$2:$K$333=$E51)+(Sheet1!$K$2:$K$333=$E52),"UNFILLED"))</f>
        <v>JAMES, GREGG</v>
      </c>
      <c r="J50" s="169" t="str" cm="1">
        <f t="array" ref="J50">IF(RIGHT(_xlfn._xlws.FILTER(Sheet1!M$2:M$333,(Sheet1!M$2:M$333=$E50)+(Sheet1!M$2:M$333=$E51)+(Sheet1!M$2:M$333=$E52),""),4)="POST",CONCATENATE(_xlfn._xlws.FILTER(Sheet1!$A$2:$A$333,(Sheet1!M$2:M$333=$E50)+(Sheet1!M$2:M$333=$E51)+(Sheet1!M$2:M$333=$E52),""),"-","POST"),_xlfn._xlws.FILTER(Sheet1!$A$2:$A$333,(Sheet1!M$2:M$333=$E50)+(Sheet1!M$2:M$333=$E51)+(Sheet1!M$2:M$333=$E52),"UNFILLED"))</f>
        <v>JAMES, GREGG</v>
      </c>
      <c r="K50" s="169" t="str" cm="1">
        <f t="array" ref="K50">IF(RIGHT(_xlfn._xlws.FILTER(Sheet1!$O$2:$O$333,(Sheet1!$O$2:$O$333=$E50)+(Sheet1!$O$2:$O$333=$E51)+(Sheet1!$O$2:$O$333=$E52),""),4)="POST",CONCATENATE(_xlfn._xlws.FILTER(Sheet1!$A$2:$A$333,(Sheet1!$O$2:$O$333=$E50)+(Sheet1!$O$2:$O$333=$E51)+(Sheet1!$O$2:$O$333=$E52),""),"-","POST"),_xlfn._xlws.FILTER(Sheet1!$A$2:$A$333,(Sheet1!$O$2:$O$333=$E50)+(Sheet1!$O$2:$O$333=$E51)+(Sheet1!$O$2:$O$333=$E52),"UNFILLED"))</f>
        <v>JAMES, GREGG</v>
      </c>
      <c r="L50" s="169" t="str" cm="1">
        <f t="array" ref="L50">IF(RIGHT(_xlfn._xlws.FILTER(Sheet1!$Q$2:$Q$333,(Sheet1!$Q$2:$Q$333=$E50)+(Sheet1!$Q$2:$Q$333=$E51)+(Sheet1!$Q$2:$Q$333=$E52),""),4)="POST",CONCATENATE(_xlfn._xlws.FILTER(Sheet1!$A$2:$A$333,(Sheet1!$Q$2:$Q$333=$E50)+(Sheet1!$Q$2:$Q$333=$E51)+(Sheet1!$Q$2:$Q$333=$E52),""),"-","POST"),_xlfn._xlws.FILTER(Sheet1!$A$2:$A$333,(Sheet1!$Q$2:$Q$333=$E50)+(Sheet1!$Q$2:$Q$333=$E51)+(Sheet1!$Q$2:$Q$333=$E52),"UNFILLED"))</f>
        <v>JAMES, GREGG</v>
      </c>
      <c r="M50" s="169" t="str" cm="1">
        <f t="array" ref="M50">IF(RIGHT(_xlfn._xlws.FILTER(Sheet1!$S$2:$S$333,(Sheet1!$S$2:$S$333=$E50)+(Sheet1!$S$2:$S$333=$E51)+(Sheet1!$S$2:$S$333=$E52),""),4)="POST",CONCATENATE(_xlfn._xlws.FILTER(Sheet1!$A$2:$A$333,(Sheet1!$S$2:$S$333=$E50)+(Sheet1!$S$2:$S$333=$E51)+(Sheet1!$S$2:$S$333=$E52),""),"-","POST"),_xlfn._xlws.FILTER(Sheet1!$A$2:$A$333,(Sheet1!$S$2:$S$333=$E50)+(Sheet1!$S$2:$S$333=$E51)+(Sheet1!$S$2:$S$333=$E52),"UNFILLED"))</f>
        <v>JAMES, GREGG</v>
      </c>
      <c r="W50" s="417"/>
      <c r="X50" s="170"/>
      <c r="Y50" s="170"/>
      <c r="Z50" s="170"/>
      <c r="AA50" s="170"/>
      <c r="AB50" s="170"/>
      <c r="AC50" s="170"/>
      <c r="AD50" s="170"/>
    </row>
    <row r="51" spans="1:30" ht="17.25" customHeight="1" x14ac:dyDescent="0.4">
      <c r="A51" s="153"/>
      <c r="C51" s="412"/>
      <c r="D51" s="413"/>
      <c r="E51" s="168" t="str">
        <f>_xlfn.CONCAT(E50,"-","POST")</f>
        <v>DE-1-POST</v>
      </c>
      <c r="F51" s="415"/>
      <c r="G51" s="171"/>
      <c r="H51" s="171"/>
      <c r="I51" s="171"/>
      <c r="J51" s="171"/>
      <c r="K51" s="171"/>
      <c r="L51" s="171"/>
      <c r="M51" s="171"/>
      <c r="W51" s="417"/>
      <c r="X51" s="172"/>
      <c r="Y51" s="172"/>
      <c r="Z51" s="172"/>
      <c r="AA51" s="172"/>
      <c r="AB51" s="172"/>
      <c r="AC51" s="172"/>
      <c r="AD51" s="172"/>
    </row>
    <row r="52" spans="1:30" ht="17.25" customHeight="1" x14ac:dyDescent="0.4">
      <c r="A52" s="153"/>
      <c r="C52" s="412"/>
      <c r="D52" s="413"/>
      <c r="E52" s="168" t="str">
        <f>_xlfn.CONCAT(E50,"-","PILOT")</f>
        <v>DE-1-PILOT</v>
      </c>
      <c r="F52" s="416"/>
      <c r="G52" s="173"/>
      <c r="H52" s="173"/>
      <c r="I52" s="173"/>
      <c r="J52" s="173"/>
      <c r="K52" s="173"/>
      <c r="L52" s="173"/>
      <c r="M52" s="173"/>
      <c r="W52" s="417"/>
      <c r="X52" s="172"/>
      <c r="Y52" s="172"/>
      <c r="Z52" s="172"/>
      <c r="AA52" s="172"/>
      <c r="AB52" s="172"/>
      <c r="AC52" s="172"/>
      <c r="AD52" s="172"/>
    </row>
    <row r="53" spans="1:30" ht="17.25" customHeight="1" x14ac:dyDescent="0.45">
      <c r="A53" s="153"/>
      <c r="C53" s="412"/>
      <c r="D53" s="413"/>
      <c r="E53" s="175" t="s">
        <v>99</v>
      </c>
      <c r="F53" s="414" t="s">
        <v>100</v>
      </c>
      <c r="G53" s="169" t="str" cm="1">
        <f t="array" ref="G53">IF(RIGHT(_xlfn._xlws.FILTER(Sheet1!$G$2:$G$333,(Sheet1!$G$2:$G$333=$E53)+(Sheet1!$G$2:$G$333=$E54)+(Sheet1!$G$2:$G$333=$E55),""),4)="POST",CONCATENATE(_xlfn._xlws.FILTER(Sheet1!$A$2:$A$333,(Sheet1!$G$2:$G$333=$E53)+(Sheet1!$G$2:$G$333=$E54)+(Sheet1!$G$2:$G$333=$E55),""),"-","POST"),_xlfn._xlws.FILTER(Sheet1!$A$2:$A$333,(Sheet1!$G$2:$G$333=$E53)+(Sheet1!$G$2:$G$333=$E54)+(Sheet1!$G$2:$G$333=$E55),"UNFILLED"))</f>
        <v>ZIMA, ART</v>
      </c>
      <c r="H53" s="169" t="str" cm="1">
        <f t="array" ref="H53">IF(RIGHT(_xlfn._xlws.FILTER(Sheet1!$I$2:$I$333,(Sheet1!$I$2:$I$333=$E53)+(Sheet1!$I$2:$I$333=$E54)+(Sheet1!$I$2:$I$333=$E55),""),4)="POST",CONCATENATE(_xlfn._xlws.FILTER(Sheet1!$A$2:$A$333,(Sheet1!$I$2:$I$333=$E53)+(Sheet1!$I$2:$I$333=$E54)+(Sheet1!$I$2:$I$333=$E55),""),"-","POST"),_xlfn._xlws.FILTER(Sheet1!$A$2:$A$333,(Sheet1!$I$2:$I$333=$E53)+(Sheet1!$I$2:$I$333=$E54)+(Sheet1!$I$2:$I$333=$E55),"UNFILLED"))</f>
        <v>BRIMAH, ABDUL</v>
      </c>
      <c r="I53" s="169" t="str" cm="1">
        <f t="array" ref="I53">IF(RIGHT(_xlfn._xlws.FILTER(Sheet1!$K$2:$K$333,(Sheet1!$K$2:$K$333=$E53)+(Sheet1!$K$2:$K$333=$E54)+(Sheet1!$K$2:$K$333=$E55),""),4)="POST",CONCATENATE(_xlfn._xlws.FILTER(Sheet1!$A$2:$A$333,(Sheet1!$K$2:$K$333=$E53)+(Sheet1!$K$2:$K$333=$E54)+(Sheet1!$K$2:$K$333=$E55),""),"-","POST"),_xlfn._xlws.FILTER(Sheet1!$A$2:$A$333,(Sheet1!$K$2:$K$333=$E53)+(Sheet1!$K$2:$K$333=$E54)+(Sheet1!$K$2:$K$333=$E55),"UNFILLED"))</f>
        <v>BRIMAH, ABDUL</v>
      </c>
      <c r="J53" s="169" t="str" cm="1">
        <f t="array" ref="J53">IF(RIGHT(_xlfn._xlws.FILTER(Sheet1!M$2:M$333,(Sheet1!M$2:M$333=$E53)+(Sheet1!M$2:M$333=$E54)+(Sheet1!M$2:M$333=$E55),""),4)="POST",CONCATENATE(_xlfn._xlws.FILTER(Sheet1!$A$2:$A$333,(Sheet1!M$2:M$333=$E53)+(Sheet1!M$2:M$333=$E54)+(Sheet1!M$2:M$333=$E55),""),"-","POST"),_xlfn._xlws.FILTER(Sheet1!$A$2:$A$333,(Sheet1!M$2:M$333=$E53)+(Sheet1!M$2:M$333=$E54)+(Sheet1!M$2:M$333=$E55),"UNFILLED"))</f>
        <v>ZIMA, ART</v>
      </c>
      <c r="K53" s="169" t="str" cm="1">
        <f t="array" ref="K53">IF(RIGHT(_xlfn._xlws.FILTER(Sheet1!$O$2:$O$333,(Sheet1!$O$2:$O$333=$E53)+(Sheet1!$O$2:$O$333=$E54)+(Sheet1!$O$2:$O$333=$E55),""),4)="POST",CONCATENATE(_xlfn._xlws.FILTER(Sheet1!$A$2:$A$333,(Sheet1!$O$2:$O$333=$E53)+(Sheet1!$O$2:$O$333=$E54)+(Sheet1!$O$2:$O$333=$E55),""),"-","POST"),_xlfn._xlws.FILTER(Sheet1!$A$2:$A$333,(Sheet1!$O$2:$O$333=$E53)+(Sheet1!$O$2:$O$333=$E54)+(Sheet1!$O$2:$O$333=$E55),"UNFILLED"))</f>
        <v>ZIMA, ART</v>
      </c>
      <c r="L53" s="169" t="str" cm="1">
        <f t="array" ref="L53">IF(RIGHT(_xlfn._xlws.FILTER(Sheet1!$Q$2:$Q$333,(Sheet1!$Q$2:$Q$333=$E53)+(Sheet1!$Q$2:$Q$333=$E54)+(Sheet1!$Q$2:$Q$333=$E55),""),4)="POST",CONCATENATE(_xlfn._xlws.FILTER(Sheet1!$A$2:$A$333,(Sheet1!$Q$2:$Q$333=$E53)+(Sheet1!$Q$2:$Q$333=$E54)+(Sheet1!$Q$2:$Q$333=$E55),""),"-","POST"),_xlfn._xlws.FILTER(Sheet1!$A$2:$A$333,(Sheet1!$Q$2:$Q$333=$E53)+(Sheet1!$Q$2:$Q$333=$E54)+(Sheet1!$Q$2:$Q$333=$E55),"UNFILLED"))</f>
        <v>ZIMA, ART</v>
      </c>
      <c r="M53" s="169" t="str" cm="1">
        <f t="array" ref="M53:M55">IF(RIGHT(_xlfn._xlws.FILTER(Sheet1!$S$2:$S$333,(Sheet1!$S$2:$S$333=$E53)+(Sheet1!$S$2:$S$333=$E54)+(Sheet1!$S$2:$S$333=$E55),""),4)="POST",CONCATENATE(_xlfn._xlws.FILTER(Sheet1!$A$2:$A$333,(Sheet1!$S$2:$S$333=$E53)+(Sheet1!$S$2:$S$333=$E54)+(Sheet1!$S$2:$S$333=$E55),""),"-","POST"),_xlfn._xlws.FILTER(Sheet1!$A$2:$A$333,(Sheet1!$S$2:$S$333=$E53)+(Sheet1!$S$2:$S$333=$E54)+(Sheet1!$S$2:$S$333=$E55),"UNFILLED"))</f>
        <v>WAGUESPACK, SAMMY-POST</v>
      </c>
      <c r="W53" s="417"/>
      <c r="X53" s="170"/>
      <c r="Y53" s="170"/>
      <c r="Z53" s="170"/>
      <c r="AA53" s="170"/>
      <c r="AB53" s="170"/>
      <c r="AC53" s="170"/>
      <c r="AD53" s="170"/>
    </row>
    <row r="54" spans="1:30" ht="17.25" customHeight="1" x14ac:dyDescent="0.4">
      <c r="A54" s="153"/>
      <c r="C54" s="412"/>
      <c r="D54" s="413"/>
      <c r="E54" s="168" t="str">
        <f>_xlfn.CONCAT(E53,"-","POST")</f>
        <v>MT-1-POST</v>
      </c>
      <c r="F54" s="415"/>
      <c r="G54" s="171"/>
      <c r="H54" s="171"/>
      <c r="I54" s="171"/>
      <c r="J54" s="171"/>
      <c r="K54" s="171"/>
      <c r="L54" s="171"/>
      <c r="M54" s="171" t="str">
        <v>YEAGER, DOROTHY</v>
      </c>
      <c r="W54" s="417"/>
      <c r="X54" s="172"/>
      <c r="Y54" s="172"/>
      <c r="Z54" s="172"/>
      <c r="AA54" s="172"/>
      <c r="AB54" s="172"/>
      <c r="AC54" s="172"/>
      <c r="AD54" s="172"/>
    </row>
    <row r="55" spans="1:30" ht="17.25" customHeight="1" x14ac:dyDescent="0.4">
      <c r="A55" s="153"/>
      <c r="C55" s="412"/>
      <c r="D55" s="413"/>
      <c r="E55" s="168" t="str">
        <f>_xlfn.CONCAT(E53,"-","PILOT")</f>
        <v>MT-1-PILOT</v>
      </c>
      <c r="F55" s="416"/>
      <c r="G55" s="173"/>
      <c r="H55" s="173"/>
      <c r="I55" s="173"/>
      <c r="J55" s="173"/>
      <c r="K55" s="173"/>
      <c r="L55" s="173"/>
      <c r="M55" s="173" t="str">
        <v>ZIMA, ART</v>
      </c>
      <c r="W55" s="417"/>
      <c r="X55" s="172"/>
      <c r="Y55" s="172"/>
      <c r="Z55" s="172"/>
      <c r="AA55" s="172"/>
      <c r="AB55" s="172"/>
      <c r="AC55" s="172"/>
      <c r="AD55" s="172"/>
    </row>
    <row r="56" spans="1:30" ht="17.25" customHeight="1" x14ac:dyDescent="0.45">
      <c r="A56" s="153"/>
      <c r="C56" s="412"/>
      <c r="D56" s="413"/>
      <c r="E56" s="175" t="s">
        <v>101</v>
      </c>
      <c r="F56" s="414" t="s">
        <v>102</v>
      </c>
      <c r="G56" s="169" t="str" cm="1">
        <f t="array" ref="G56">IF(RIGHT(_xlfn._xlws.FILTER(Sheet1!$G$2:$G$333,(Sheet1!$G$2:$G$333=$E56)+(Sheet1!$G$2:$G$333=$E57)+(Sheet1!$G$2:$G$333=$E58),""),4)="POST",CONCATENATE(_xlfn._xlws.FILTER(Sheet1!$A$2:$A$333,(Sheet1!$G$2:$G$333=$E56)+(Sheet1!$G$2:$G$333=$E57)+(Sheet1!$G$2:$G$333=$E58),""),"-","POST"),_xlfn._xlws.FILTER(Sheet1!$A$2:$A$333,(Sheet1!$G$2:$G$333=$E56)+(Sheet1!$G$2:$G$333=$E57)+(Sheet1!$G$2:$G$333=$E58),"UNFILLED"))</f>
        <v>BONNER, DEVIAN</v>
      </c>
      <c r="H56" s="169" t="str" cm="1">
        <f t="array" ref="H56">IF(RIGHT(_xlfn._xlws.FILTER(Sheet1!$I$2:$I$333,(Sheet1!$I$2:$I$333=$E56)+(Sheet1!$I$2:$I$333=$E57)+(Sheet1!$I$2:$I$333=$E58),""),4)="POST",CONCATENATE(_xlfn._xlws.FILTER(Sheet1!$A$2:$A$333,(Sheet1!$I$2:$I$333=$E56)+(Sheet1!$I$2:$I$333=$E57)+(Sheet1!$I$2:$I$333=$E58),""),"-","POST"),_xlfn._xlws.FILTER(Sheet1!$A$2:$A$333,(Sheet1!$I$2:$I$333=$E56)+(Sheet1!$I$2:$I$333=$E57)+(Sheet1!$I$2:$I$333=$E58),"UNFILLED"))</f>
        <v>BRENNEKE, TAMI</v>
      </c>
      <c r="I56" s="169" t="str" cm="1">
        <f t="array" ref="I56">IF(RIGHT(_xlfn._xlws.FILTER(Sheet1!$K$2:$K$333,(Sheet1!$K$2:$K$333=$E56)+(Sheet1!$K$2:$K$333=$E57)+(Sheet1!$K$2:$K$333=$E58),""),4)="POST",CONCATENATE(_xlfn._xlws.FILTER(Sheet1!$A$2:$A$333,(Sheet1!$K$2:$K$333=$E56)+(Sheet1!$K$2:$K$333=$E57)+(Sheet1!$K$2:$K$333=$E58),""),"-","POST"),_xlfn._xlws.FILTER(Sheet1!$A$2:$A$333,(Sheet1!$K$2:$K$333=$E56)+(Sheet1!$K$2:$K$333=$E57)+(Sheet1!$K$2:$K$333=$E58),"UNFILLED"))</f>
        <v>BRENNEKE, TAMI</v>
      </c>
      <c r="J56" s="169" t="str" cm="1">
        <f t="array" ref="J56:J57">IF(RIGHT(_xlfn._xlws.FILTER(Sheet1!M$2:M$333,(Sheet1!M$2:M$333=$E56)+(Sheet1!M$2:M$333=$E57)+(Sheet1!M$2:M$333=$E58),""),4)="POST",CONCATENATE(_xlfn._xlws.FILTER(Sheet1!$A$2:$A$333,(Sheet1!M$2:M$333=$E56)+(Sheet1!M$2:M$333=$E57)+(Sheet1!M$2:M$333=$E58),""),"-","POST"),_xlfn._xlws.FILTER(Sheet1!$A$2:$A$333,(Sheet1!M$2:M$333=$E56)+(Sheet1!M$2:M$333=$E57)+(Sheet1!M$2:M$333=$E58),"UNFILLED"))</f>
        <v>BRENNEKE, TAMI</v>
      </c>
      <c r="K56" s="169" t="str" cm="1">
        <f t="array" ref="K56">IF(RIGHT(_xlfn._xlws.FILTER(Sheet1!$O$2:$O$333,(Sheet1!$O$2:$O$333=$E56)+(Sheet1!$O$2:$O$333=$E57)+(Sheet1!$O$2:$O$333=$E58),""),4)="POST",CONCATENATE(_xlfn._xlws.FILTER(Sheet1!$A$2:$A$333,(Sheet1!$O$2:$O$333=$E56)+(Sheet1!$O$2:$O$333=$E57)+(Sheet1!$O$2:$O$333=$E58),""),"-","POST"),_xlfn._xlws.FILTER(Sheet1!$A$2:$A$333,(Sheet1!$O$2:$O$333=$E56)+(Sheet1!$O$2:$O$333=$E57)+(Sheet1!$O$2:$O$333=$E58),"UNFILLED"))</f>
        <v>BRENNEKE, TAMI</v>
      </c>
      <c r="L56" s="169" t="str" cm="1">
        <f t="array" ref="L56">IF(RIGHT(_xlfn._xlws.FILTER(Sheet1!$Q$2:$Q$333,(Sheet1!$Q$2:$Q$333=$E56)+(Sheet1!$Q$2:$Q$333=$E57)+(Sheet1!$Q$2:$Q$333=$E58),""),4)="POST",CONCATENATE(_xlfn._xlws.FILTER(Sheet1!$A$2:$A$333,(Sheet1!$Q$2:$Q$333=$E56)+(Sheet1!$Q$2:$Q$333=$E57)+(Sheet1!$Q$2:$Q$333=$E58),""),"-","POST"),_xlfn._xlws.FILTER(Sheet1!$A$2:$A$333,(Sheet1!$Q$2:$Q$333=$E56)+(Sheet1!$Q$2:$Q$333=$E57)+(Sheet1!$Q$2:$Q$333=$E58),"UNFILLED"))</f>
        <v>BRENNEKE, TAMI</v>
      </c>
      <c r="M56" s="169" t="str" cm="1">
        <f t="array" ref="M56">IF(RIGHT(_xlfn._xlws.FILTER(Sheet1!$S$2:$S$333,(Sheet1!$S$2:$S$333=$E56)+(Sheet1!$S$2:$S$333=$E57)+(Sheet1!$S$2:$S$333=$E58),""),4)="POST",CONCATENATE(_xlfn._xlws.FILTER(Sheet1!$A$2:$A$333,(Sheet1!$S$2:$S$333=$E56)+(Sheet1!$S$2:$S$333=$E57)+(Sheet1!$S$2:$S$333=$E58),""),"-","POST"),_xlfn._xlws.FILTER(Sheet1!$A$2:$A$333,(Sheet1!$S$2:$S$333=$E56)+(Sheet1!$S$2:$S$333=$E57)+(Sheet1!$S$2:$S$333=$E58),"UNFILLED"))</f>
        <v>TAYLOR, JASMINE</v>
      </c>
      <c r="W56" s="417"/>
      <c r="X56" s="170"/>
      <c r="Y56" s="170"/>
      <c r="Z56" s="170"/>
      <c r="AA56" s="170"/>
      <c r="AB56" s="170"/>
      <c r="AC56" s="170"/>
      <c r="AD56" s="170"/>
    </row>
    <row r="57" spans="1:30" ht="17.25" customHeight="1" x14ac:dyDescent="0.4">
      <c r="A57" s="153"/>
      <c r="C57" s="412"/>
      <c r="D57" s="413"/>
      <c r="E57" s="168" t="str">
        <f>_xlfn.CONCAT(E56,"-","POST")</f>
        <v>SA-1-POST</v>
      </c>
      <c r="F57" s="415"/>
      <c r="G57" s="171"/>
      <c r="H57" s="171"/>
      <c r="I57" s="171"/>
      <c r="J57" s="171" t="str">
        <v>HARBIN, BRYANT-POST</v>
      </c>
      <c r="K57" s="171"/>
      <c r="L57" s="171"/>
      <c r="M57" s="171"/>
      <c r="W57" s="417"/>
      <c r="X57" s="172"/>
      <c r="Y57" s="172"/>
      <c r="Z57" s="172"/>
      <c r="AA57" s="172"/>
      <c r="AB57" s="172"/>
      <c r="AC57" s="172"/>
      <c r="AD57" s="172"/>
    </row>
    <row r="58" spans="1:30" ht="17.25" customHeight="1" x14ac:dyDescent="0.4">
      <c r="A58" s="153"/>
      <c r="C58" s="412"/>
      <c r="D58" s="413"/>
      <c r="E58" s="168" t="str">
        <f>_xlfn.CONCAT(E56,"-","PILOT")</f>
        <v>SA-1-PILOT</v>
      </c>
      <c r="F58" s="416"/>
      <c r="G58" s="173"/>
      <c r="H58" s="173"/>
      <c r="I58" s="173"/>
      <c r="J58" s="173"/>
      <c r="K58" s="173"/>
      <c r="L58" s="173"/>
      <c r="M58" s="173"/>
      <c r="W58" s="417"/>
      <c r="X58" s="172"/>
      <c r="Y58" s="172"/>
      <c r="Z58" s="172"/>
      <c r="AA58" s="172"/>
      <c r="AB58" s="172"/>
      <c r="AC58" s="172"/>
      <c r="AD58" s="172"/>
    </row>
    <row r="59" spans="1:30" ht="25.5" customHeight="1" thickBot="1" x14ac:dyDescent="0.5">
      <c r="A59" s="153"/>
      <c r="C59" s="412"/>
      <c r="D59" s="413"/>
      <c r="E59" s="175"/>
      <c r="F59" s="418" t="s">
        <v>26</v>
      </c>
      <c r="G59" s="419"/>
      <c r="H59" s="419"/>
      <c r="I59" s="419"/>
      <c r="J59" s="419"/>
      <c r="K59" s="419"/>
      <c r="L59" s="419"/>
      <c r="M59" s="420"/>
      <c r="W59" s="167"/>
      <c r="X59" s="167"/>
      <c r="Y59" s="167"/>
      <c r="Z59" s="167"/>
      <c r="AA59" s="167"/>
      <c r="AB59" s="167"/>
      <c r="AC59" s="167"/>
      <c r="AD59" s="167"/>
    </row>
    <row r="60" spans="1:30" ht="17.25" customHeight="1" thickTop="1" x14ac:dyDescent="0.45">
      <c r="A60" s="153"/>
      <c r="C60" s="412"/>
      <c r="D60" s="413"/>
      <c r="E60" s="175" t="s">
        <v>103</v>
      </c>
      <c r="F60" s="414" t="s">
        <v>104</v>
      </c>
      <c r="G60" s="169" t="str" cm="1">
        <f t="array" ref="G60">IF(RIGHT(_xlfn._xlws.FILTER(Sheet1!$G$2:$G$333,(Sheet1!$G$2:$G$333=$E60)+(Sheet1!$G$2:$G$333=$E61)+(Sheet1!$G$2:$G$333=$E62),""),4)="POST",CONCATENATE(_xlfn._xlws.FILTER(Sheet1!$A$2:$A$333,(Sheet1!$G$2:$G$333=$E60)+(Sheet1!$G$2:$G$333=$E61)+(Sheet1!$G$2:$G$333=$E62),""),"-","POST"),_xlfn._xlws.FILTER(Sheet1!$A$2:$A$333,(Sheet1!$G$2:$G$333=$E60)+(Sheet1!$G$2:$G$333=$E61)+(Sheet1!$G$2:$G$333=$E62),"UNFILLED"))</f>
        <v>KOSHY, SUJIT</v>
      </c>
      <c r="H60" s="169" t="str" cm="1">
        <f t="array" ref="H60">IF(RIGHT(_xlfn._xlws.FILTER(Sheet1!$I$2:$I$333,(Sheet1!$I$2:$I$333=$E60)+(Sheet1!$I$2:$I$333=$E61)+(Sheet1!$I$2:$I$333=$E62),""),4)="POST",CONCATENATE(_xlfn._xlws.FILTER(Sheet1!$A$2:$A$333,(Sheet1!$I$2:$I$333=$E60)+(Sheet1!$I$2:$I$333=$E61)+(Sheet1!$I$2:$I$333=$E62),""),"-","POST"),_xlfn._xlws.FILTER(Sheet1!$A$2:$A$333,(Sheet1!$I$2:$I$333=$E60)+(Sheet1!$I$2:$I$333=$E61)+(Sheet1!$I$2:$I$333=$E62),"UNFILLED"))</f>
        <v>GARRETT, DARREN</v>
      </c>
      <c r="I60" s="169" t="str" cm="1">
        <f t="array" ref="I60">IF(RIGHT(_xlfn._xlws.FILTER(Sheet1!$K$2:$K$333,(Sheet1!$K$2:$K$333=$E60)+(Sheet1!$K$2:$K$333=$E61)+(Sheet1!$K$2:$K$333=$E62),""),4)="POST",CONCATENATE(_xlfn._xlws.FILTER(Sheet1!$A$2:$A$333,(Sheet1!$K$2:$K$333=$E60)+(Sheet1!$K$2:$K$333=$E61)+(Sheet1!$K$2:$K$333=$E62),""),"-","POST"),_xlfn._xlws.FILTER(Sheet1!$A$2:$A$333,(Sheet1!$K$2:$K$333=$E60)+(Sheet1!$K$2:$K$333=$E61)+(Sheet1!$K$2:$K$333=$E62),"UNFILLED"))</f>
        <v>GARRETT, DARREN</v>
      </c>
      <c r="J60" s="169" t="str" cm="1">
        <f t="array" ref="J60">IF(RIGHT(_xlfn._xlws.FILTER(Sheet1!M$2:M$333,(Sheet1!M$2:M$333=$E60)+(Sheet1!M$2:M$333=$E61)+(Sheet1!M$2:M$333=$E62),""),4)="POST",CONCATENATE(_xlfn._xlws.FILTER(Sheet1!$A$2:$A$333,(Sheet1!M$2:M$333=$E60)+(Sheet1!M$2:M$333=$E61)+(Sheet1!M$2:M$333=$E62),""),"-","POST"),_xlfn._xlws.FILTER(Sheet1!$A$2:$A$333,(Sheet1!M$2:M$333=$E60)+(Sheet1!M$2:M$333=$E61)+(Sheet1!M$2:M$333=$E62),"UNFILLED"))</f>
        <v>KOSHY, SUJIT</v>
      </c>
      <c r="K60" s="169" t="str" cm="1">
        <f t="array" ref="K60">IF(RIGHT(_xlfn._xlws.FILTER(Sheet1!$O$2:$O$333,(Sheet1!$O$2:$O$333=$E60)+(Sheet1!$O$2:$O$333=$E61)+(Sheet1!$O$2:$O$333=$E62),""),4)="POST",CONCATENATE(_xlfn._xlws.FILTER(Sheet1!$A$2:$A$333,(Sheet1!$O$2:$O$333=$E60)+(Sheet1!$O$2:$O$333=$E61)+(Sheet1!$O$2:$O$333=$E62),""),"-","POST"),_xlfn._xlws.FILTER(Sheet1!$A$2:$A$333,(Sheet1!$O$2:$O$333=$E60)+(Sheet1!$O$2:$O$333=$E61)+(Sheet1!$O$2:$O$333=$E62),"UNFILLED"))</f>
        <v>KOSHY, SUJIT</v>
      </c>
      <c r="L60" s="169" t="str" cm="1">
        <f t="array" ref="L60">IF(RIGHT(_xlfn._xlws.FILTER(Sheet1!$Q$2:$Q$333,(Sheet1!$Q$2:$Q$333=$E60)+(Sheet1!$Q$2:$Q$333=$E61)+(Sheet1!$Q$2:$Q$333=$E62),""),4)="POST",CONCATENATE(_xlfn._xlws.FILTER(Sheet1!$A$2:$A$333,(Sheet1!$Q$2:$Q$333=$E60)+(Sheet1!$Q$2:$Q$333=$E61)+(Sheet1!$Q$2:$Q$333=$E62),""),"-","POST"),_xlfn._xlws.FILTER(Sheet1!$A$2:$A$333,(Sheet1!$Q$2:$Q$333=$E60)+(Sheet1!$Q$2:$Q$333=$E61)+(Sheet1!$Q$2:$Q$333=$E62),"UNFILLED"))</f>
        <v>KOSHY, SUJIT</v>
      </c>
      <c r="M60" s="169" t="str" cm="1">
        <f t="array" ref="M60">IF(RIGHT(_xlfn._xlws.FILTER(Sheet1!$S$2:$S$333,(Sheet1!$S$2:$S$333=$E60)+(Sheet1!$S$2:$S$333=$E61)+(Sheet1!$S$2:$S$333=$E62),""),4)="POST",CONCATENATE(_xlfn._xlws.FILTER(Sheet1!$A$2:$A$333,(Sheet1!$S$2:$S$333=$E60)+(Sheet1!$S$2:$S$333=$E61)+(Sheet1!$S$2:$S$333=$E62),""),"-","POST"),_xlfn._xlws.FILTER(Sheet1!$A$2:$A$333,(Sheet1!$S$2:$S$333=$E60)+(Sheet1!$S$2:$S$333=$E61)+(Sheet1!$S$2:$S$333=$E62),"UNFILLED"))</f>
        <v>KOSHY, SUJIT</v>
      </c>
      <c r="W60" s="417"/>
      <c r="X60" s="170"/>
      <c r="Y60" s="170"/>
      <c r="Z60" s="170"/>
      <c r="AA60" s="170"/>
      <c r="AB60" s="170"/>
      <c r="AC60" s="170"/>
      <c r="AD60" s="170"/>
    </row>
    <row r="61" spans="1:30" ht="17.25" customHeight="1" x14ac:dyDescent="0.4">
      <c r="A61" s="153"/>
      <c r="C61" s="412"/>
      <c r="D61" s="413"/>
      <c r="E61" s="168" t="str">
        <f>_xlfn.CONCAT(E60,"-","POST")</f>
        <v>KC-1-POST</v>
      </c>
      <c r="F61" s="415"/>
      <c r="G61" s="171"/>
      <c r="H61" s="171"/>
      <c r="I61" s="171"/>
      <c r="J61" s="171"/>
      <c r="K61" s="171"/>
      <c r="L61" s="171"/>
      <c r="M61" s="171"/>
      <c r="W61" s="417"/>
      <c r="X61" s="172"/>
      <c r="Y61" s="172"/>
      <c r="Z61" s="172"/>
      <c r="AA61" s="172"/>
      <c r="AB61" s="172"/>
      <c r="AC61" s="172"/>
      <c r="AD61" s="172"/>
    </row>
    <row r="62" spans="1:30" ht="17.25" customHeight="1" x14ac:dyDescent="0.4">
      <c r="A62" s="153"/>
      <c r="C62" s="412"/>
      <c r="D62" s="413"/>
      <c r="E62" s="168" t="str">
        <f>_xlfn.CONCAT(E60,"-","PILOT")</f>
        <v>KC-1-PILOT</v>
      </c>
      <c r="F62" s="416"/>
      <c r="G62" s="173"/>
      <c r="H62" s="173"/>
      <c r="I62" s="173"/>
      <c r="J62" s="173"/>
      <c r="K62" s="173"/>
      <c r="L62" s="173"/>
      <c r="M62" s="173"/>
      <c r="W62" s="417"/>
      <c r="X62" s="172"/>
      <c r="Y62" s="172"/>
      <c r="Z62" s="172"/>
      <c r="AA62" s="172"/>
      <c r="AB62" s="172"/>
      <c r="AC62" s="172"/>
      <c r="AD62" s="172"/>
    </row>
    <row r="63" spans="1:30" ht="17.25" customHeight="1" x14ac:dyDescent="0.45">
      <c r="A63" s="153"/>
      <c r="C63" s="412"/>
      <c r="D63" s="413"/>
      <c r="E63" s="175" t="s">
        <v>105</v>
      </c>
      <c r="F63" s="414" t="s">
        <v>106</v>
      </c>
      <c r="G63" s="169" t="str" cm="1">
        <f t="array" ref="G63">IF(RIGHT(_xlfn._xlws.FILTER(Sheet1!$G$2:$G$333,(Sheet1!$G$2:$G$333=$E63)+(Sheet1!$G$2:$G$333=$E64)+(Sheet1!$G$2:$G$333=$E65),""),4)="POST",CONCATENATE(_xlfn._xlws.FILTER(Sheet1!$A$2:$A$333,(Sheet1!$G$2:$G$333=$E63)+(Sheet1!$G$2:$G$333=$E64)+(Sheet1!$G$2:$G$333=$E65),""),"-","POST"),_xlfn._xlws.FILTER(Sheet1!$A$2:$A$333,(Sheet1!$G$2:$G$333=$E63)+(Sheet1!$G$2:$G$333=$E64)+(Sheet1!$G$2:$G$333=$E65),"UNFILLED"))</f>
        <v>ROBINSON, AARON</v>
      </c>
      <c r="H63" s="169" t="str" cm="1">
        <f t="array" ref="H63">IF(RIGHT(_xlfn._xlws.FILTER(Sheet1!$I$2:$I$333,(Sheet1!$I$2:$I$333=$E63)+(Sheet1!$I$2:$I$333=$E64)+(Sheet1!$I$2:$I$333=$E65),""),4)="POST",CONCATENATE(_xlfn._xlws.FILTER(Sheet1!$A$2:$A$333,(Sheet1!$I$2:$I$333=$E63)+(Sheet1!$I$2:$I$333=$E64)+(Sheet1!$I$2:$I$333=$E65),""),"-","POST"),_xlfn._xlws.FILTER(Sheet1!$A$2:$A$333,(Sheet1!$I$2:$I$333=$E63)+(Sheet1!$I$2:$I$333=$E64)+(Sheet1!$I$2:$I$333=$E65),"UNFILLED"))</f>
        <v>WENNEMAN, BRYAN</v>
      </c>
      <c r="I63" s="169" t="str" cm="1">
        <f t="array" ref="I63">IF(RIGHT(_xlfn._xlws.FILTER(Sheet1!$K$2:$K$333,(Sheet1!$K$2:$K$333=$E63)+(Sheet1!$K$2:$K$333=$E64)+(Sheet1!$K$2:$K$333=$E65),""),4)="POST",CONCATENATE(_xlfn._xlws.FILTER(Sheet1!$A$2:$A$333,(Sheet1!$K$2:$K$333=$E63)+(Sheet1!$K$2:$K$333=$E64)+(Sheet1!$K$2:$K$333=$E65),""),"-","POST"),_xlfn._xlws.FILTER(Sheet1!$A$2:$A$333,(Sheet1!$K$2:$K$333=$E63)+(Sheet1!$K$2:$K$333=$E64)+(Sheet1!$K$2:$K$333=$E65),"UNFILLED"))</f>
        <v>WENNEMAN, BRYAN</v>
      </c>
      <c r="J63" s="169" t="str" cm="1">
        <f t="array" ref="J63">IF(RIGHT(_xlfn._xlws.FILTER(Sheet1!M$2:M$333,(Sheet1!M$2:M$333=$E63)+(Sheet1!M$2:M$333=$E64)+(Sheet1!M$2:M$333=$E65),""),4)="POST",CONCATENATE(_xlfn._xlws.FILTER(Sheet1!$A$2:$A$333,(Sheet1!M$2:M$333=$E63)+(Sheet1!M$2:M$333=$E64)+(Sheet1!M$2:M$333=$E65),""),"-","POST"),_xlfn._xlws.FILTER(Sheet1!$A$2:$A$333,(Sheet1!M$2:M$333=$E63)+(Sheet1!M$2:M$333=$E64)+(Sheet1!M$2:M$333=$E65),"UNFILLED"))</f>
        <v>WENNEMAN, BRYAN</v>
      </c>
      <c r="K63" s="169" t="str" cm="1">
        <f t="array" ref="K63">IF(RIGHT(_xlfn._xlws.FILTER(Sheet1!$O$2:$O$333,(Sheet1!$O$2:$O$333=$E63)+(Sheet1!$O$2:$O$333=$E64)+(Sheet1!$O$2:$O$333=$E65),""),4)="POST",CONCATENATE(_xlfn._xlws.FILTER(Sheet1!$A$2:$A$333,(Sheet1!$O$2:$O$333=$E63)+(Sheet1!$O$2:$O$333=$E64)+(Sheet1!$O$2:$O$333=$E65),""),"-","POST"),_xlfn._xlws.FILTER(Sheet1!$A$2:$A$333,(Sheet1!$O$2:$O$333=$E63)+(Sheet1!$O$2:$O$333=$E64)+(Sheet1!$O$2:$O$333=$E65),"UNFILLED"))</f>
        <v>WENNEMAN, BRYAN</v>
      </c>
      <c r="L63" s="169" t="str" cm="1">
        <f t="array" ref="L63">IF(RIGHT(_xlfn._xlws.FILTER(Sheet1!$Q$2:$Q$333,(Sheet1!$Q$2:$Q$333=$E63)+(Sheet1!$Q$2:$Q$333=$E64)+(Sheet1!$Q$2:$Q$333=$E65),""),4)="POST",CONCATENATE(_xlfn._xlws.FILTER(Sheet1!$A$2:$A$333,(Sheet1!$Q$2:$Q$333=$E63)+(Sheet1!$Q$2:$Q$333=$E64)+(Sheet1!$Q$2:$Q$333=$E65),""),"-","POST"),_xlfn._xlws.FILTER(Sheet1!$A$2:$A$333,(Sheet1!$Q$2:$Q$333=$E63)+(Sheet1!$Q$2:$Q$333=$E64)+(Sheet1!$Q$2:$Q$333=$E65),"UNFILLED"))</f>
        <v>FALLINGS-AMIS, JAMISON</v>
      </c>
      <c r="M63" s="169" t="str" cm="1">
        <f t="array" ref="M63">IF(RIGHT(_xlfn._xlws.FILTER(Sheet1!$S$2:$S$333,(Sheet1!$S$2:$S$333=$E63)+(Sheet1!$S$2:$S$333=$E64)+(Sheet1!$S$2:$S$333=$E65),""),4)="POST",CONCATENATE(_xlfn._xlws.FILTER(Sheet1!$A$2:$A$333,(Sheet1!$S$2:$S$333=$E63)+(Sheet1!$S$2:$S$333=$E64)+(Sheet1!$S$2:$S$333=$E65),""),"-","POST"),_xlfn._xlws.FILTER(Sheet1!$A$2:$A$333,(Sheet1!$S$2:$S$333=$E63)+(Sheet1!$S$2:$S$333=$E64)+(Sheet1!$S$2:$S$333=$E65),"UNFILLED"))</f>
        <v>ROBINSON, AARON</v>
      </c>
      <c r="W63" s="417"/>
      <c r="X63" s="170"/>
      <c r="Y63" s="170"/>
      <c r="Z63" s="170"/>
      <c r="AA63" s="170"/>
      <c r="AB63" s="170"/>
      <c r="AC63" s="170"/>
      <c r="AD63" s="170"/>
    </row>
    <row r="64" spans="1:30" ht="17.25" customHeight="1" x14ac:dyDescent="0.4">
      <c r="A64" s="153"/>
      <c r="C64" s="412"/>
      <c r="D64" s="413"/>
      <c r="E64" s="168" t="str">
        <f>_xlfn.CONCAT(E63,"-","POST")</f>
        <v>SP-1-POST</v>
      </c>
      <c r="F64" s="415"/>
      <c r="G64" s="171"/>
      <c r="H64" s="171"/>
      <c r="I64" s="171"/>
      <c r="J64" s="171"/>
      <c r="K64" s="171"/>
      <c r="L64" s="171"/>
      <c r="M64" s="171"/>
      <c r="W64" s="417"/>
      <c r="X64" s="172"/>
      <c r="Y64" s="172"/>
      <c r="Z64" s="172"/>
      <c r="AA64" s="172"/>
      <c r="AB64" s="172"/>
      <c r="AC64" s="172"/>
      <c r="AD64" s="172"/>
    </row>
    <row r="65" spans="1:30" ht="17.25" customHeight="1" x14ac:dyDescent="0.4">
      <c r="A65" s="153"/>
      <c r="C65" s="412"/>
      <c r="D65" s="413"/>
      <c r="E65" s="168" t="str">
        <f>_xlfn.CONCAT(E63,"-","PILOT")</f>
        <v>SP-1-PILOT</v>
      </c>
      <c r="F65" s="416"/>
      <c r="G65" s="173"/>
      <c r="H65" s="173"/>
      <c r="I65" s="173"/>
      <c r="J65" s="173"/>
      <c r="K65" s="173"/>
      <c r="L65" s="173"/>
      <c r="M65" s="173"/>
      <c r="W65" s="417"/>
      <c r="X65" s="172"/>
      <c r="Y65" s="172"/>
      <c r="Z65" s="172"/>
      <c r="AA65" s="172"/>
      <c r="AB65" s="172"/>
      <c r="AC65" s="172"/>
      <c r="AD65" s="172"/>
    </row>
    <row r="66" spans="1:30" ht="17.25" customHeight="1" x14ac:dyDescent="0.45">
      <c r="A66" s="153"/>
      <c r="C66" s="412"/>
      <c r="D66" s="413"/>
      <c r="E66" s="175" t="s">
        <v>107</v>
      </c>
      <c r="F66" s="414" t="s">
        <v>108</v>
      </c>
      <c r="G66" s="169" t="str" cm="1">
        <f t="array" ref="G66">IF(RIGHT(_xlfn._xlws.FILTER(Sheet1!$G$2:$G$333,(Sheet1!$G$2:$G$333=$E66)+(Sheet1!$G$2:$G$333=$E67)+(Sheet1!$G$2:$G$333=$E68),""),4)="POST",CONCATENATE(_xlfn._xlws.FILTER(Sheet1!$A$2:$A$333,(Sheet1!$G$2:$G$333=$E66)+(Sheet1!$G$2:$G$333=$E67)+(Sheet1!$G$2:$G$333=$E68),""),"-","POST"),_xlfn._xlws.FILTER(Sheet1!$A$2:$A$333,(Sheet1!$G$2:$G$333=$E66)+(Sheet1!$G$2:$G$333=$E67)+(Sheet1!$G$2:$G$333=$E68),"UNFILLED"))</f>
        <v>OWENS, XAVIER</v>
      </c>
      <c r="H66" s="169" t="str" cm="1">
        <f t="array" ref="H66">IF(RIGHT(_xlfn._xlws.FILTER(Sheet1!$I$2:$I$333,(Sheet1!$I$2:$I$333=$E66)+(Sheet1!$I$2:$I$333=$E67)+(Sheet1!$I$2:$I$333=$E68),""),4)="POST",CONCATENATE(_xlfn._xlws.FILTER(Sheet1!$A$2:$A$333,(Sheet1!$I$2:$I$333=$E66)+(Sheet1!$I$2:$I$333=$E67)+(Sheet1!$I$2:$I$333=$E68),""),"-","POST"),_xlfn._xlws.FILTER(Sheet1!$A$2:$A$333,(Sheet1!$I$2:$I$333=$E66)+(Sheet1!$I$2:$I$333=$E67)+(Sheet1!$I$2:$I$333=$E68),"UNFILLED"))</f>
        <v>OWENS, XAVIER</v>
      </c>
      <c r="I66" s="169" t="str" cm="1">
        <f t="array" ref="I66:I67">IF(RIGHT(_xlfn._xlws.FILTER(Sheet1!$K$2:$K$333,(Sheet1!$K$2:$K$333=$E66)+(Sheet1!$K$2:$K$333=$E67)+(Sheet1!$K$2:$K$333=$E68),""),4)="POST",CONCATENATE(_xlfn._xlws.FILTER(Sheet1!$A$2:$A$333,(Sheet1!$K$2:$K$333=$E66)+(Sheet1!$K$2:$K$333=$E67)+(Sheet1!$K$2:$K$333=$E68),""),"-","POST"),_xlfn._xlws.FILTER(Sheet1!$A$2:$A$333,(Sheet1!$K$2:$K$333=$E66)+(Sheet1!$K$2:$K$333=$E67)+(Sheet1!$K$2:$K$333=$E68),"UNFILLED"))</f>
        <v>MERCER, LLOYD</v>
      </c>
      <c r="J66" s="169" t="str" cm="1">
        <f t="array" ref="J66:J67">IF(RIGHT(_xlfn._xlws.FILTER(Sheet1!M$2:M$333,(Sheet1!M$2:M$333=$E66)+(Sheet1!M$2:M$333=$E67)+(Sheet1!M$2:M$333=$E68),""),4)="POST",CONCATENATE(_xlfn._xlws.FILTER(Sheet1!$A$2:$A$333,(Sheet1!M$2:M$333=$E66)+(Sheet1!M$2:M$333=$E67)+(Sheet1!M$2:M$333=$E68),""),"-","POST"),_xlfn._xlws.FILTER(Sheet1!$A$2:$A$333,(Sheet1!M$2:M$333=$E66)+(Sheet1!M$2:M$333=$E67)+(Sheet1!M$2:M$333=$E68),"UNFILLED"))</f>
        <v>MERCER, LLOYD</v>
      </c>
      <c r="K66" s="169" t="str" cm="1">
        <f t="array" ref="K66:K67">IF(RIGHT(_xlfn._xlws.FILTER(Sheet1!$O$2:$O$333,(Sheet1!$O$2:$O$333=$E66)+(Sheet1!$O$2:$O$333=$E67)+(Sheet1!$O$2:$O$333=$E68),""),4)="POST",CONCATENATE(_xlfn._xlws.FILTER(Sheet1!$A$2:$A$333,(Sheet1!$O$2:$O$333=$E66)+(Sheet1!$O$2:$O$333=$E67)+(Sheet1!$O$2:$O$333=$E68),""),"-","POST"),_xlfn._xlws.FILTER(Sheet1!$A$2:$A$333,(Sheet1!$O$2:$O$333=$E66)+(Sheet1!$O$2:$O$333=$E67)+(Sheet1!$O$2:$O$333=$E68),"UNFILLED"))</f>
        <v>MERCER, LLOYD</v>
      </c>
      <c r="L66" s="169" t="str" cm="1">
        <f t="array" ref="L66:L67">IF(RIGHT(_xlfn._xlws.FILTER(Sheet1!$Q$2:$Q$333,(Sheet1!$Q$2:$Q$333=$E66)+(Sheet1!$Q$2:$Q$333=$E67)+(Sheet1!$Q$2:$Q$333=$E68),""),4)="POST",CONCATENATE(_xlfn._xlws.FILTER(Sheet1!$A$2:$A$333,(Sheet1!$Q$2:$Q$333=$E66)+(Sheet1!$Q$2:$Q$333=$E67)+(Sheet1!$Q$2:$Q$333=$E68),""),"-","POST"),_xlfn._xlws.FILTER(Sheet1!$A$2:$A$333,(Sheet1!$Q$2:$Q$333=$E66)+(Sheet1!$Q$2:$Q$333=$E67)+(Sheet1!$Q$2:$Q$333=$E68),"UNFILLED"))</f>
        <v>MERCER, LLOYD</v>
      </c>
      <c r="M66" s="169" t="str" cm="1">
        <f t="array" ref="M66:M67">IF(RIGHT(_xlfn._xlws.FILTER(Sheet1!$S$2:$S$333,(Sheet1!$S$2:$S$333=$E66)+(Sheet1!$S$2:$S$333=$E67)+(Sheet1!$S$2:$S$333=$E68),""),4)="POST",CONCATENATE(_xlfn._xlws.FILTER(Sheet1!$A$2:$A$333,(Sheet1!$S$2:$S$333=$E66)+(Sheet1!$S$2:$S$333=$E67)+(Sheet1!$S$2:$S$333=$E68),""),"-","POST"),_xlfn._xlws.FILTER(Sheet1!$A$2:$A$333,(Sheet1!$S$2:$S$333=$E66)+(Sheet1!$S$2:$S$333=$E67)+(Sheet1!$S$2:$S$333=$E68),"UNFILLED"))</f>
        <v>MERCER, LLOYD</v>
      </c>
      <c r="W66" s="417"/>
      <c r="X66" s="170"/>
      <c r="Y66" s="170"/>
      <c r="Z66" s="170"/>
      <c r="AA66" s="170"/>
      <c r="AB66" s="170"/>
      <c r="AC66" s="170"/>
      <c r="AD66" s="170"/>
    </row>
    <row r="67" spans="1:30" ht="17.25" customHeight="1" x14ac:dyDescent="0.4">
      <c r="A67" s="153"/>
      <c r="C67" s="412"/>
      <c r="D67" s="413"/>
      <c r="E67" s="168" t="str">
        <f>_xlfn.CONCAT(E66,"-","POST")</f>
        <v>LF-1-POST</v>
      </c>
      <c r="F67" s="415"/>
      <c r="G67" s="171"/>
      <c r="H67" s="171"/>
      <c r="I67" s="171" t="str">
        <v>ROSSER, JARREL-POST</v>
      </c>
      <c r="J67" s="171" t="str">
        <v>ROSSER, JARREL-POST</v>
      </c>
      <c r="K67" s="171" t="str">
        <v>ROSSER, JARREL-POST</v>
      </c>
      <c r="L67" s="171" t="str">
        <v>ROSSER, JARREL-POST</v>
      </c>
      <c r="M67" s="171" t="str">
        <v>ROSSER, JARREL-POST</v>
      </c>
      <c r="W67" s="417"/>
      <c r="X67" s="172"/>
      <c r="Y67" s="172"/>
      <c r="Z67" s="172"/>
      <c r="AA67" s="172"/>
      <c r="AB67" s="172"/>
      <c r="AC67" s="172"/>
      <c r="AD67" s="172"/>
    </row>
    <row r="68" spans="1:30" ht="17.25" customHeight="1" x14ac:dyDescent="0.4">
      <c r="A68" s="153"/>
      <c r="C68" s="412"/>
      <c r="D68" s="413"/>
      <c r="E68" s="168" t="str">
        <f>_xlfn.CONCAT(E66,"-","PILOT")</f>
        <v>LF-1-PILOT</v>
      </c>
      <c r="F68" s="416"/>
      <c r="G68" s="173"/>
      <c r="H68" s="173"/>
      <c r="I68" s="173"/>
      <c r="J68" s="173"/>
      <c r="K68" s="173"/>
      <c r="L68" s="173"/>
      <c r="M68" s="173"/>
      <c r="W68" s="417"/>
      <c r="X68" s="172"/>
      <c r="Y68" s="172"/>
      <c r="Z68" s="172"/>
      <c r="AA68" s="172"/>
      <c r="AB68" s="172"/>
      <c r="AC68" s="172"/>
      <c r="AD68" s="172"/>
    </row>
    <row r="69" spans="1:30" ht="17.25" customHeight="1" x14ac:dyDescent="0.45">
      <c r="A69" s="153"/>
      <c r="C69" s="412"/>
      <c r="D69" s="413"/>
      <c r="E69" s="175" t="s">
        <v>109</v>
      </c>
      <c r="F69" s="414" t="s">
        <v>110</v>
      </c>
      <c r="G69" s="169" t="str" cm="1">
        <f t="array" ref="G69">IF(RIGHT(_xlfn._xlws.FILTER(Sheet1!$G$2:$G$333,(Sheet1!$G$2:$G$333=$E69)+(Sheet1!$G$2:$G$333=$E70)+(Sheet1!$G$2:$G$333=$E71),""),4)="POST",CONCATENATE(_xlfn._xlws.FILTER(Sheet1!$A$2:$A$333,(Sheet1!$G$2:$G$333=$E69)+(Sheet1!$G$2:$G$333=$E70)+(Sheet1!$G$2:$G$333=$E71),""),"-","POST"),_xlfn._xlws.FILTER(Sheet1!$A$2:$A$333,(Sheet1!$G$2:$G$333=$E69)+(Sheet1!$G$2:$G$333=$E70)+(Sheet1!$G$2:$G$333=$E71),"UNFILLED"))</f>
        <v>CHERRY, ERICA</v>
      </c>
      <c r="H69" s="169" t="str" cm="1">
        <f t="array" ref="H69">IF(RIGHT(_xlfn._xlws.FILTER(Sheet1!$I$2:$I$333,(Sheet1!$I$2:$I$333=$E69)+(Sheet1!$I$2:$I$333=$E70)+(Sheet1!$I$2:$I$333=$E71),""),4)="POST",CONCATENATE(_xlfn._xlws.FILTER(Sheet1!$A$2:$A$333,(Sheet1!$I$2:$I$333=$E69)+(Sheet1!$I$2:$I$333=$E70)+(Sheet1!$I$2:$I$333=$E71),""),"-","POST"),_xlfn._xlws.FILTER(Sheet1!$A$2:$A$333,(Sheet1!$I$2:$I$333=$E69)+(Sheet1!$I$2:$I$333=$E70)+(Sheet1!$I$2:$I$333=$E71),"UNFILLED"))</f>
        <v>ROUNSAVALL, MIKE</v>
      </c>
      <c r="I69" s="169" t="str" cm="1">
        <f t="array" ref="I69">IF(RIGHT(_xlfn._xlws.FILTER(Sheet1!$K$2:$K$333,(Sheet1!$K$2:$K$333=$E69)+(Sheet1!$K$2:$K$333=$E70)+(Sheet1!$K$2:$K$333=$E71),""),4)="POST",CONCATENATE(_xlfn._xlws.FILTER(Sheet1!$A$2:$A$333,(Sheet1!$K$2:$K$333=$E69)+(Sheet1!$K$2:$K$333=$E70)+(Sheet1!$K$2:$K$333=$E71),""),"-","POST"),_xlfn._xlws.FILTER(Sheet1!$A$2:$A$333,(Sheet1!$K$2:$K$333=$E69)+(Sheet1!$K$2:$K$333=$E70)+(Sheet1!$K$2:$K$333=$E71),"UNFILLED"))</f>
        <v>WASHINGTON, JOHN</v>
      </c>
      <c r="J69" s="169" t="str" cm="1">
        <f t="array" ref="J69">IF(RIGHT(_xlfn._xlws.FILTER(Sheet1!M$2:M$333,(Sheet1!M$2:M$333=$E69)+(Sheet1!M$2:M$333=$E70)+(Sheet1!M$2:M$333=$E71),""),4)="POST",CONCATENATE(_xlfn._xlws.FILTER(Sheet1!$A$2:$A$333,(Sheet1!M$2:M$333=$E69)+(Sheet1!M$2:M$333=$E70)+(Sheet1!M$2:M$333=$E71),""),"-","POST"),_xlfn._xlws.FILTER(Sheet1!$A$2:$A$333,(Sheet1!M$2:M$333=$E69)+(Sheet1!M$2:M$333=$E70)+(Sheet1!M$2:M$333=$E71),"UNFILLED"))</f>
        <v>LITTLE, CHRISTAL</v>
      </c>
      <c r="K69" s="169" t="str" cm="1">
        <f t="array" ref="K69">IF(RIGHT(_xlfn._xlws.FILTER(Sheet1!$O$2:$O$333,(Sheet1!$O$2:$O$333=$E69)+(Sheet1!$O$2:$O$333=$E70)+(Sheet1!$O$2:$O$333=$E71),""),4)="POST",CONCATENATE(_xlfn._xlws.FILTER(Sheet1!$A$2:$A$333,(Sheet1!$O$2:$O$333=$E69)+(Sheet1!$O$2:$O$333=$E70)+(Sheet1!$O$2:$O$333=$E71),""),"-","POST"),_xlfn._xlws.FILTER(Sheet1!$A$2:$A$333,(Sheet1!$O$2:$O$333=$E69)+(Sheet1!$O$2:$O$333=$E70)+(Sheet1!$O$2:$O$333=$E71),"UNFILLED"))</f>
        <v>LITTLE, CHRISTAL</v>
      </c>
      <c r="L69" s="169" t="str" cm="1">
        <f t="array" ref="L69">IF(RIGHT(_xlfn._xlws.FILTER(Sheet1!$Q$2:$Q$333,(Sheet1!$Q$2:$Q$333=$E69)+(Sheet1!$Q$2:$Q$333=$E70)+(Sheet1!$Q$2:$Q$333=$E71),""),4)="POST",CONCATENATE(_xlfn._xlws.FILTER(Sheet1!$A$2:$A$333,(Sheet1!$Q$2:$Q$333=$E69)+(Sheet1!$Q$2:$Q$333=$E70)+(Sheet1!$Q$2:$Q$333=$E71),""),"-","POST"),_xlfn._xlws.FILTER(Sheet1!$A$2:$A$333,(Sheet1!$Q$2:$Q$333=$E69)+(Sheet1!$Q$2:$Q$333=$E70)+(Sheet1!$Q$2:$Q$333=$E71),"UNFILLED"))</f>
        <v>LITTLE, CHRISTAL</v>
      </c>
      <c r="M69" s="169" t="str" cm="1">
        <f t="array" ref="M69">IF(RIGHT(_xlfn._xlws.FILTER(Sheet1!$S$2:$S$333,(Sheet1!$S$2:$S$333=$E69)+(Sheet1!$S$2:$S$333=$E70)+(Sheet1!$S$2:$S$333=$E71),""),4)="POST",CONCATENATE(_xlfn._xlws.FILTER(Sheet1!$A$2:$A$333,(Sheet1!$S$2:$S$333=$E69)+(Sheet1!$S$2:$S$333=$E70)+(Sheet1!$S$2:$S$333=$E71),""),"-","POST"),_xlfn._xlws.FILTER(Sheet1!$A$2:$A$333,(Sheet1!$S$2:$S$333=$E69)+(Sheet1!$S$2:$S$333=$E70)+(Sheet1!$S$2:$S$333=$E71),"UNFILLED"))</f>
        <v>CHERRY, ERICA</v>
      </c>
      <c r="W69" s="417"/>
      <c r="X69" s="170"/>
      <c r="Y69" s="170"/>
      <c r="Z69" s="170"/>
      <c r="AA69" s="170"/>
      <c r="AB69" s="170"/>
      <c r="AC69" s="170"/>
      <c r="AD69" s="170"/>
    </row>
    <row r="70" spans="1:30" ht="17.25" customHeight="1" x14ac:dyDescent="0.4">
      <c r="A70" s="153"/>
      <c r="C70" s="412"/>
      <c r="D70" s="413"/>
      <c r="E70" s="168" t="str">
        <f>_xlfn.CONCAT(E69,"-","POST")</f>
        <v>SW-1-POST</v>
      </c>
      <c r="F70" s="415"/>
      <c r="G70" s="171"/>
      <c r="H70" s="171"/>
      <c r="I70" s="171"/>
      <c r="J70" s="171"/>
      <c r="K70" s="171"/>
      <c r="L70" s="171"/>
      <c r="M70" s="171"/>
      <c r="W70" s="417"/>
      <c r="X70" s="172"/>
      <c r="Y70" s="172"/>
      <c r="Z70" s="172"/>
      <c r="AA70" s="172"/>
      <c r="AB70" s="172"/>
      <c r="AC70" s="172"/>
      <c r="AD70" s="172"/>
    </row>
    <row r="71" spans="1:30" ht="17.25" customHeight="1" x14ac:dyDescent="0.4">
      <c r="A71" s="153"/>
      <c r="C71" s="412"/>
      <c r="D71" s="413"/>
      <c r="E71" s="168" t="str">
        <f>_xlfn.CONCAT(E69,"-","PILOT")</f>
        <v>SW-1-PILOT</v>
      </c>
      <c r="F71" s="416"/>
      <c r="G71" s="173"/>
      <c r="H71" s="173"/>
      <c r="I71" s="173"/>
      <c r="J71" s="173"/>
      <c r="K71" s="173"/>
      <c r="L71" s="173"/>
      <c r="M71" s="173"/>
      <c r="W71" s="417"/>
      <c r="X71" s="172"/>
      <c r="Y71" s="172"/>
      <c r="Z71" s="172"/>
      <c r="AA71" s="172"/>
      <c r="AB71" s="172"/>
      <c r="AC71" s="172"/>
      <c r="AD71" s="172"/>
    </row>
    <row r="72" spans="1:30" ht="17.25" customHeight="1" x14ac:dyDescent="0.45">
      <c r="A72" s="153"/>
      <c r="C72" s="412"/>
      <c r="D72" s="413"/>
      <c r="E72" s="175" t="s">
        <v>111</v>
      </c>
      <c r="F72" s="414" t="s">
        <v>112</v>
      </c>
      <c r="G72" s="169" t="str" cm="1">
        <f t="array" ref="G72">IF(RIGHT(_xlfn._xlws.FILTER(Sheet1!$G$2:$G$333,(Sheet1!$G$2:$G$333=$E72)+(Sheet1!$G$2:$G$333=$E73)+(Sheet1!$G$2:$G$333=$E74),""),4)="POST",CONCATENATE(_xlfn._xlws.FILTER(Sheet1!$A$2:$A$333,(Sheet1!$G$2:$G$333=$E72)+(Sheet1!$G$2:$G$333=$E73)+(Sheet1!$G$2:$G$333=$E74),""),"-","POST"),_xlfn._xlws.FILTER(Sheet1!$A$2:$A$333,(Sheet1!$G$2:$G$333=$E72)+(Sheet1!$G$2:$G$333=$E73)+(Sheet1!$G$2:$G$333=$E74),"UNFILLED"))</f>
        <v>CAREY, JON</v>
      </c>
      <c r="H72" s="169" t="str" cm="1">
        <f t="array" ref="H72">IF(RIGHT(_xlfn._xlws.FILTER(Sheet1!$I$2:$I$333,(Sheet1!$I$2:$I$333=$E72)+(Sheet1!$I$2:$I$333=$E73)+(Sheet1!$I$2:$I$333=$E74),""),4)="POST",CONCATENATE(_xlfn._xlws.FILTER(Sheet1!$A$2:$A$333,(Sheet1!$I$2:$I$333=$E72)+(Sheet1!$I$2:$I$333=$E73)+(Sheet1!$I$2:$I$333=$E74),""),"-","POST"),_xlfn._xlws.FILTER(Sheet1!$A$2:$A$333,(Sheet1!$I$2:$I$333=$E72)+(Sheet1!$I$2:$I$333=$E73)+(Sheet1!$I$2:$I$333=$E74),"UNFILLED"))</f>
        <v>CAREY, JON</v>
      </c>
      <c r="I72" s="169" t="str" cm="1">
        <f t="array" ref="I72">IF(RIGHT(_xlfn._xlws.FILTER(Sheet1!$K$2:$K$333,(Sheet1!$K$2:$K$333=$E72)+(Sheet1!$K$2:$K$333=$E73)+(Sheet1!$K$2:$K$333=$E74),""),4)="POST",CONCATENATE(_xlfn._xlws.FILTER(Sheet1!$A$2:$A$333,(Sheet1!$K$2:$K$333=$E72)+(Sheet1!$K$2:$K$333=$E73)+(Sheet1!$K$2:$K$333=$E74),""),"-","POST"),_xlfn._xlws.FILTER(Sheet1!$A$2:$A$333,(Sheet1!$K$2:$K$333=$E72)+(Sheet1!$K$2:$K$333=$E73)+(Sheet1!$K$2:$K$333=$E74),"UNFILLED"))</f>
        <v>COX, ANDY</v>
      </c>
      <c r="J72" s="169" t="str" cm="1">
        <f t="array" ref="J72">IF(RIGHT(_xlfn._xlws.FILTER(Sheet1!M$2:M$333,(Sheet1!M$2:M$333=$E72)+(Sheet1!M$2:M$333=$E73)+(Sheet1!M$2:M$333=$E74),""),4)="POST",CONCATENATE(_xlfn._xlws.FILTER(Sheet1!$A$2:$A$333,(Sheet1!M$2:M$333=$E72)+(Sheet1!M$2:M$333=$E73)+(Sheet1!M$2:M$333=$E74),""),"-","POST"),_xlfn._xlws.FILTER(Sheet1!$A$2:$A$333,(Sheet1!M$2:M$333=$E72)+(Sheet1!M$2:M$333=$E73)+(Sheet1!M$2:M$333=$E74),"UNFILLED"))</f>
        <v>COX, ANDY</v>
      </c>
      <c r="K72" s="169" t="str" cm="1">
        <f t="array" ref="K72">IF(RIGHT(_xlfn._xlws.FILTER(Sheet1!$O$2:$O$333,(Sheet1!$O$2:$O$333=$E72)+(Sheet1!$O$2:$O$333=$E73)+(Sheet1!$O$2:$O$333=$E74),""),4)="POST",CONCATENATE(_xlfn._xlws.FILTER(Sheet1!$A$2:$A$333,(Sheet1!$O$2:$O$333=$E72)+(Sheet1!$O$2:$O$333=$E73)+(Sheet1!$O$2:$O$333=$E74),""),"-","POST"),_xlfn._xlws.FILTER(Sheet1!$A$2:$A$333,(Sheet1!$O$2:$O$333=$E72)+(Sheet1!$O$2:$O$333=$E73)+(Sheet1!$O$2:$O$333=$E74),"UNFILLED"))</f>
        <v>COX, ANDY</v>
      </c>
      <c r="L72" s="169" t="str" cm="1">
        <f t="array" ref="L72">IF(RIGHT(_xlfn._xlws.FILTER(Sheet1!$Q$2:$Q$333,(Sheet1!$Q$2:$Q$333=$E72)+(Sheet1!$Q$2:$Q$333=$E73)+(Sheet1!$Q$2:$Q$333=$E74),""),4)="POST",CONCATENATE(_xlfn._xlws.FILTER(Sheet1!$A$2:$A$333,(Sheet1!$Q$2:$Q$333=$E72)+(Sheet1!$Q$2:$Q$333=$E73)+(Sheet1!$Q$2:$Q$333=$E74),""),"-","POST"),_xlfn._xlws.FILTER(Sheet1!$A$2:$A$333,(Sheet1!$Q$2:$Q$333=$E72)+(Sheet1!$Q$2:$Q$333=$E73)+(Sheet1!$Q$2:$Q$333=$E74),"UNFILLED"))</f>
        <v>COX, ANDY</v>
      </c>
      <c r="M72" s="169" t="str" cm="1">
        <f t="array" ref="M72">IF(RIGHT(_xlfn._xlws.FILTER(Sheet1!$S$2:$S$333,(Sheet1!$S$2:$S$333=$E72)+(Sheet1!$S$2:$S$333=$E73)+(Sheet1!$S$2:$S$333=$E74),""),4)="POST",CONCATENATE(_xlfn._xlws.FILTER(Sheet1!$A$2:$A$333,(Sheet1!$S$2:$S$333=$E72)+(Sheet1!$S$2:$S$333=$E73)+(Sheet1!$S$2:$S$333=$E74),""),"-","POST"),_xlfn._xlws.FILTER(Sheet1!$A$2:$A$333,(Sheet1!$S$2:$S$333=$E72)+(Sheet1!$S$2:$S$333=$E73)+(Sheet1!$S$2:$S$333=$E74),"UNFILLED"))</f>
        <v>COX, ANDY</v>
      </c>
      <c r="W72" s="417"/>
      <c r="X72" s="170"/>
      <c r="Y72" s="170"/>
      <c r="Z72" s="170"/>
      <c r="AA72" s="170"/>
      <c r="AB72" s="170"/>
      <c r="AC72" s="170"/>
      <c r="AD72" s="170"/>
    </row>
    <row r="73" spans="1:30" ht="17.25" customHeight="1" x14ac:dyDescent="0.4">
      <c r="A73" s="153"/>
      <c r="C73" s="412"/>
      <c r="D73" s="413"/>
      <c r="E73" s="168" t="str">
        <f>_xlfn.CONCAT(E72,"-","POST")</f>
        <v>SO-1-POST</v>
      </c>
      <c r="F73" s="415"/>
      <c r="G73" s="171"/>
      <c r="H73" s="171"/>
      <c r="I73" s="171"/>
      <c r="J73" s="171"/>
      <c r="K73" s="171"/>
      <c r="L73" s="171"/>
      <c r="M73" s="171"/>
      <c r="W73" s="417"/>
      <c r="X73" s="172"/>
      <c r="Y73" s="172"/>
      <c r="Z73" s="172"/>
      <c r="AA73" s="172"/>
      <c r="AB73" s="172"/>
      <c r="AC73" s="172"/>
      <c r="AD73" s="172"/>
    </row>
    <row r="74" spans="1:30" ht="17.25" customHeight="1" x14ac:dyDescent="0.4">
      <c r="A74" s="153"/>
      <c r="C74" s="412"/>
      <c r="D74" s="413"/>
      <c r="E74" s="168" t="str">
        <f>_xlfn.CONCAT(E72,"-","PILOT")</f>
        <v>SO-1-PILOT</v>
      </c>
      <c r="F74" s="416"/>
      <c r="G74" s="173"/>
      <c r="H74" s="173"/>
      <c r="I74" s="173"/>
      <c r="J74" s="173"/>
      <c r="K74" s="173"/>
      <c r="L74" s="173"/>
      <c r="M74" s="173"/>
      <c r="W74" s="417"/>
      <c r="X74" s="172"/>
      <c r="Y74" s="172"/>
      <c r="Z74" s="172"/>
      <c r="AA74" s="172"/>
      <c r="AB74" s="172"/>
      <c r="AC74" s="172"/>
      <c r="AD74" s="172"/>
    </row>
    <row r="75" spans="1:30" ht="17.25" customHeight="1" x14ac:dyDescent="0.45">
      <c r="A75" s="153"/>
      <c r="C75" s="412"/>
      <c r="D75" s="413"/>
      <c r="E75" s="175" t="s">
        <v>113</v>
      </c>
      <c r="F75" s="414" t="s">
        <v>114</v>
      </c>
      <c r="G75" s="169" t="str" cm="1">
        <f t="array" ref="G75">IF(RIGHT(_xlfn._xlws.FILTER(Sheet1!$G$2:$G$333,(Sheet1!$G$2:$G$333=$E75)+(Sheet1!$G$2:$G$333=$E76)+(Sheet1!$G$2:$G$333=$E77),""),4)="POST",CONCATENATE(_xlfn._xlws.FILTER(Sheet1!$A$2:$A$333,(Sheet1!$G$2:$G$333=$E75)+(Sheet1!$G$2:$G$333=$E76)+(Sheet1!$G$2:$G$333=$E77),""),"-","POST"),_xlfn._xlws.FILTER(Sheet1!$A$2:$A$333,(Sheet1!$G$2:$G$333=$E75)+(Sheet1!$G$2:$G$333=$E76)+(Sheet1!$G$2:$G$333=$E77),"UNFILLED"))</f>
        <v>DORTCH, NANCY</v>
      </c>
      <c r="H75" s="169" t="str" cm="1">
        <f t="array" ref="H75">IF(RIGHT(_xlfn._xlws.FILTER(Sheet1!$I$2:$I$333,(Sheet1!$I$2:$I$333=$E75)+(Sheet1!$I$2:$I$333=$E76)+(Sheet1!$I$2:$I$333=$E77),""),4)="POST",CONCATENATE(_xlfn._xlws.FILTER(Sheet1!$A$2:$A$333,(Sheet1!$I$2:$I$333=$E75)+(Sheet1!$I$2:$I$333=$E76)+(Sheet1!$I$2:$I$333=$E77),""),"-","POST"),_xlfn._xlws.FILTER(Sheet1!$A$2:$A$333,(Sheet1!$I$2:$I$333=$E75)+(Sheet1!$I$2:$I$333=$E76)+(Sheet1!$I$2:$I$333=$E77),"UNFILLED"))</f>
        <v>DORTCH, NANCY</v>
      </c>
      <c r="I75" s="169" t="str" cm="1">
        <f t="array" ref="I75">IF(RIGHT(_xlfn._xlws.FILTER(Sheet1!$K$2:$K$333,(Sheet1!$K$2:$K$333=$E75)+(Sheet1!$K$2:$K$333=$E76)+(Sheet1!$K$2:$K$333=$E77),""),4)="POST",CONCATENATE(_xlfn._xlws.FILTER(Sheet1!$A$2:$A$333,(Sheet1!$K$2:$K$333=$E75)+(Sheet1!$K$2:$K$333=$E76)+(Sheet1!$K$2:$K$333=$E77),""),"-","POST"),_xlfn._xlws.FILTER(Sheet1!$A$2:$A$333,(Sheet1!$K$2:$K$333=$E75)+(Sheet1!$K$2:$K$333=$E76)+(Sheet1!$K$2:$K$333=$E77),"UNFILLED"))</f>
        <v>DORTCH, NANCY</v>
      </c>
      <c r="J75" s="169" t="str" cm="1">
        <f t="array" ref="J75">IF(RIGHT(_xlfn._xlws.FILTER(Sheet1!M$2:M$333,(Sheet1!M$2:M$333=$E75)+(Sheet1!M$2:M$333=$E76)+(Sheet1!M$2:M$333=$E77),""),4)="POST",CONCATENATE(_xlfn._xlws.FILTER(Sheet1!$A$2:$A$333,(Sheet1!M$2:M$333=$E75)+(Sheet1!M$2:M$333=$E76)+(Sheet1!M$2:M$333=$E77),""),"-","POST"),_xlfn._xlws.FILTER(Sheet1!$A$2:$A$333,(Sheet1!M$2:M$333=$E75)+(Sheet1!M$2:M$333=$E76)+(Sheet1!M$2:M$333=$E77),"UNFILLED"))</f>
        <v>HERRING, DARYL</v>
      </c>
      <c r="K75" s="169" t="str" cm="1">
        <f t="array" ref="K75">IF(RIGHT(_xlfn._xlws.FILTER(Sheet1!$O$2:$O$333,(Sheet1!$O$2:$O$333=$E75)+(Sheet1!$O$2:$O$333=$E76)+(Sheet1!$O$2:$O$333=$E77),""),4)="POST",CONCATENATE(_xlfn._xlws.FILTER(Sheet1!$A$2:$A$333,(Sheet1!$O$2:$O$333=$E75)+(Sheet1!$O$2:$O$333=$E76)+(Sheet1!$O$2:$O$333=$E77),""),"-","POST"),_xlfn._xlws.FILTER(Sheet1!$A$2:$A$333,(Sheet1!$O$2:$O$333=$E75)+(Sheet1!$O$2:$O$333=$E76)+(Sheet1!$O$2:$O$333=$E77),"UNFILLED"))</f>
        <v>HERRING, DARYL</v>
      </c>
      <c r="L75" s="169" t="str" cm="1">
        <f t="array" ref="L75">IF(RIGHT(_xlfn._xlws.FILTER(Sheet1!$Q$2:$Q$333,(Sheet1!$Q$2:$Q$333=$E75)+(Sheet1!$Q$2:$Q$333=$E76)+(Sheet1!$Q$2:$Q$333=$E77),""),4)="POST",CONCATENATE(_xlfn._xlws.FILTER(Sheet1!$A$2:$A$333,(Sheet1!$Q$2:$Q$333=$E75)+(Sheet1!$Q$2:$Q$333=$E76)+(Sheet1!$Q$2:$Q$333=$E77),""),"-","POST"),_xlfn._xlws.FILTER(Sheet1!$A$2:$A$333,(Sheet1!$Q$2:$Q$333=$E75)+(Sheet1!$Q$2:$Q$333=$E76)+(Sheet1!$Q$2:$Q$333=$E77),"UNFILLED"))</f>
        <v>DORTCH, NANCY</v>
      </c>
      <c r="M75" s="169" t="str" cm="1">
        <f t="array" ref="M75">IF(RIGHT(_xlfn._xlws.FILTER(Sheet1!$S$2:$S$333,(Sheet1!$S$2:$S$333=$E75)+(Sheet1!$S$2:$S$333=$E76)+(Sheet1!$S$2:$S$333=$E77),""),4)="POST",CONCATENATE(_xlfn._xlws.FILTER(Sheet1!$A$2:$A$333,(Sheet1!$S$2:$S$333=$E75)+(Sheet1!$S$2:$S$333=$E76)+(Sheet1!$S$2:$S$333=$E77),""),"-","POST"),_xlfn._xlws.FILTER(Sheet1!$A$2:$A$333,(Sheet1!$S$2:$S$333=$E75)+(Sheet1!$S$2:$S$333=$E76)+(Sheet1!$S$2:$S$333=$E77),"UNFILLED"))</f>
        <v>DORTCH, NANCY</v>
      </c>
      <c r="W75" s="417"/>
      <c r="X75" s="170"/>
      <c r="Y75" s="170"/>
      <c r="Z75" s="170"/>
      <c r="AA75" s="170"/>
      <c r="AB75" s="170"/>
      <c r="AC75" s="170"/>
      <c r="AD75" s="170"/>
    </row>
    <row r="76" spans="1:30" ht="17.25" customHeight="1" x14ac:dyDescent="0.4">
      <c r="A76" s="153"/>
      <c r="C76" s="412"/>
      <c r="D76" s="413"/>
      <c r="E76" s="168" t="str">
        <f>_xlfn.CONCAT(E75,"-","POST")</f>
        <v>KY-1-POST</v>
      </c>
      <c r="F76" s="415"/>
      <c r="G76" s="171"/>
      <c r="H76" s="171"/>
      <c r="I76" s="171"/>
      <c r="J76" s="171"/>
      <c r="K76" s="171"/>
      <c r="L76" s="171"/>
      <c r="M76" s="171"/>
      <c r="W76" s="417"/>
      <c r="X76" s="172"/>
      <c r="Y76" s="172"/>
      <c r="Z76" s="172"/>
      <c r="AA76" s="172"/>
      <c r="AB76" s="172"/>
      <c r="AC76" s="172"/>
      <c r="AD76" s="172"/>
    </row>
    <row r="77" spans="1:30" ht="17.25" customHeight="1" x14ac:dyDescent="0.4">
      <c r="A77" s="153"/>
      <c r="C77" s="412"/>
      <c r="D77" s="413"/>
      <c r="E77" s="168" t="str">
        <f>_xlfn.CONCAT(E75,"-","PILOT")</f>
        <v>KY-1-PILOT</v>
      </c>
      <c r="F77" s="416"/>
      <c r="G77" s="173"/>
      <c r="H77" s="173"/>
      <c r="I77" s="173"/>
      <c r="J77" s="173"/>
      <c r="K77" s="173"/>
      <c r="L77" s="173"/>
      <c r="M77" s="173"/>
      <c r="W77" s="417"/>
      <c r="X77" s="172"/>
      <c r="Y77" s="172"/>
      <c r="Z77" s="172"/>
      <c r="AA77" s="172"/>
      <c r="AB77" s="172"/>
      <c r="AC77" s="172"/>
      <c r="AD77" s="172"/>
    </row>
    <row r="78" spans="1:30" ht="17.25" customHeight="1" x14ac:dyDescent="0.45">
      <c r="A78" s="153"/>
      <c r="C78" s="412"/>
      <c r="D78" s="413"/>
      <c r="E78" s="175" t="s">
        <v>115</v>
      </c>
      <c r="F78" s="414" t="s">
        <v>116</v>
      </c>
      <c r="G78" s="169" t="str" cm="1">
        <f t="array" ref="G78">IF(RIGHT(_xlfn._xlws.FILTER(Sheet1!$G$2:$G$333,(Sheet1!$G$2:$G$333=$E78)+(Sheet1!$G$2:$G$333=$E79)+(Sheet1!$G$2:$G$333=$E80),""),4)="POST",CONCATENATE(_xlfn._xlws.FILTER(Sheet1!$A$2:$A$333,(Sheet1!$G$2:$G$333=$E78)+(Sheet1!$G$2:$G$333=$E79)+(Sheet1!$G$2:$G$333=$E80),""),"-","POST"),_xlfn._xlws.FILTER(Sheet1!$A$2:$A$333,(Sheet1!$G$2:$G$333=$E78)+(Sheet1!$G$2:$G$333=$E79)+(Sheet1!$G$2:$G$333=$E80),"UNFILLED"))</f>
        <v>MALCOLM, JOSH</v>
      </c>
      <c r="H78" s="169" t="str" cm="1">
        <f t="array" ref="H78">IF(RIGHT(_xlfn._xlws.FILTER(Sheet1!$I$2:$I$333,(Sheet1!$I$2:$I$333=$E78)+(Sheet1!$I$2:$I$333=$E79)+(Sheet1!$I$2:$I$333=$E80),""),4)="POST",CONCATENATE(_xlfn._xlws.FILTER(Sheet1!$A$2:$A$333,(Sheet1!$I$2:$I$333=$E78)+(Sheet1!$I$2:$I$333=$E79)+(Sheet1!$I$2:$I$333=$E80),""),"-","POST"),_xlfn._xlws.FILTER(Sheet1!$A$2:$A$333,(Sheet1!$I$2:$I$333=$E78)+(Sheet1!$I$2:$I$333=$E79)+(Sheet1!$I$2:$I$333=$E80),"UNFILLED"))</f>
        <v>STAMETS, LUCAS</v>
      </c>
      <c r="I78" s="169" t="str" cm="1">
        <f t="array" ref="I78">IF(RIGHT(_xlfn._xlws.FILTER(Sheet1!$K$2:$K$333,(Sheet1!$K$2:$K$333=$E78)+(Sheet1!$K$2:$K$333=$E79)+(Sheet1!$K$2:$K$333=$E80),""),4)="POST",CONCATENATE(_xlfn._xlws.FILTER(Sheet1!$A$2:$A$333,(Sheet1!$K$2:$K$333=$E78)+(Sheet1!$K$2:$K$333=$E79)+(Sheet1!$K$2:$K$333=$E80),""),"-","POST"),_xlfn._xlws.FILTER(Sheet1!$A$2:$A$333,(Sheet1!$K$2:$K$333=$E78)+(Sheet1!$K$2:$K$333=$E79)+(Sheet1!$K$2:$K$333=$E80),"UNFILLED"))</f>
        <v>KIRKPATRICK, DOUG</v>
      </c>
      <c r="J78" s="169" t="str" cm="1">
        <f t="array" ref="J78">IF(RIGHT(_xlfn._xlws.FILTER(Sheet1!M$2:M$333,(Sheet1!M$2:M$333=$E78)+(Sheet1!M$2:M$333=$E79)+(Sheet1!M$2:M$333=$E80),""),4)="POST",CONCATENATE(_xlfn._xlws.FILTER(Sheet1!$A$2:$A$333,(Sheet1!M$2:M$333=$E78)+(Sheet1!M$2:M$333=$E79)+(Sheet1!M$2:M$333=$E80),""),"-","POST"),_xlfn._xlws.FILTER(Sheet1!$A$2:$A$333,(Sheet1!M$2:M$333=$E78)+(Sheet1!M$2:M$333=$E79)+(Sheet1!M$2:M$333=$E80),"UNFILLED"))</f>
        <v>KIRKPATRICK, DOUG</v>
      </c>
      <c r="K78" s="169" t="str" cm="1">
        <f t="array" ref="K78">IF(RIGHT(_xlfn._xlws.FILTER(Sheet1!$O$2:$O$333,(Sheet1!$O$2:$O$333=$E78)+(Sheet1!$O$2:$O$333=$E79)+(Sheet1!$O$2:$O$333=$E80),""),4)="POST",CONCATENATE(_xlfn._xlws.FILTER(Sheet1!$A$2:$A$333,(Sheet1!$O$2:$O$333=$E78)+(Sheet1!$O$2:$O$333=$E79)+(Sheet1!$O$2:$O$333=$E80),""),"-","POST"),_xlfn._xlws.FILTER(Sheet1!$A$2:$A$333,(Sheet1!$O$2:$O$333=$E78)+(Sheet1!$O$2:$O$333=$E79)+(Sheet1!$O$2:$O$333=$E80),"UNFILLED"))</f>
        <v>FALLINGS-AMIS, JAMISON</v>
      </c>
      <c r="L78" s="169" t="str" cm="1">
        <f t="array" ref="L78">IF(RIGHT(_xlfn._xlws.FILTER(Sheet1!$Q$2:$Q$333,(Sheet1!$Q$2:$Q$333=$E78)+(Sheet1!$Q$2:$Q$333=$E79)+(Sheet1!$Q$2:$Q$333=$E80),""),4)="POST",CONCATENATE(_xlfn._xlws.FILTER(Sheet1!$A$2:$A$333,(Sheet1!$Q$2:$Q$333=$E78)+(Sheet1!$Q$2:$Q$333=$E79)+(Sheet1!$Q$2:$Q$333=$E80),""),"-","POST"),_xlfn._xlws.FILTER(Sheet1!$A$2:$A$333,(Sheet1!$Q$2:$Q$333=$E78)+(Sheet1!$Q$2:$Q$333=$E79)+(Sheet1!$Q$2:$Q$333=$E80),"UNFILLED"))</f>
        <v>KIRKPATRICK, DOUG</v>
      </c>
      <c r="M78" s="169" t="str" cm="1">
        <f t="array" ref="M78">IF(RIGHT(_xlfn._xlws.FILTER(Sheet1!$S$2:$S$333,(Sheet1!$S$2:$S$333=$E78)+(Sheet1!$S$2:$S$333=$E79)+(Sheet1!$S$2:$S$333=$E80),""),4)="POST",CONCATENATE(_xlfn._xlws.FILTER(Sheet1!$A$2:$A$333,(Sheet1!$S$2:$S$333=$E78)+(Sheet1!$S$2:$S$333=$E79)+(Sheet1!$S$2:$S$333=$E80),""),"-","POST"),_xlfn._xlws.FILTER(Sheet1!$A$2:$A$333,(Sheet1!$S$2:$S$333=$E78)+(Sheet1!$S$2:$S$333=$E79)+(Sheet1!$S$2:$S$333=$E80),"UNFILLED"))</f>
        <v>KIRKPATRICK, DOUG</v>
      </c>
      <c r="W78" s="417"/>
      <c r="X78" s="170"/>
      <c r="Y78" s="170"/>
      <c r="Z78" s="170"/>
      <c r="AA78" s="170"/>
      <c r="AB78" s="170"/>
      <c r="AC78" s="170"/>
      <c r="AD78" s="170"/>
    </row>
    <row r="79" spans="1:30" ht="17.25" customHeight="1" x14ac:dyDescent="0.4">
      <c r="A79" s="153"/>
      <c r="C79" s="412"/>
      <c r="D79" s="413"/>
      <c r="E79" s="168" t="str">
        <f>_xlfn.CONCAT(E78,"-","POST")</f>
        <v>QC-1-POST</v>
      </c>
      <c r="F79" s="415"/>
      <c r="G79" s="171"/>
      <c r="H79" s="171"/>
      <c r="I79" s="171"/>
      <c r="J79" s="171"/>
      <c r="K79" s="171"/>
      <c r="L79" s="171"/>
      <c r="M79" s="171"/>
      <c r="W79" s="417"/>
      <c r="X79" s="172"/>
      <c r="Y79" s="172"/>
      <c r="Z79" s="172"/>
      <c r="AA79" s="172"/>
      <c r="AB79" s="172"/>
      <c r="AC79" s="172"/>
      <c r="AD79" s="172"/>
    </row>
    <row r="80" spans="1:30" ht="17.25" customHeight="1" x14ac:dyDescent="0.4">
      <c r="A80" s="153"/>
      <c r="C80" s="412"/>
      <c r="D80" s="413"/>
      <c r="E80" s="168" t="str">
        <f>_xlfn.CONCAT(E78,"-","PILOT")</f>
        <v>QC-1-PILOT</v>
      </c>
      <c r="F80" s="416"/>
      <c r="G80" s="173"/>
      <c r="H80" s="173"/>
      <c r="I80" s="173"/>
      <c r="J80" s="173"/>
      <c r="K80" s="173"/>
      <c r="L80" s="173"/>
      <c r="M80" s="173"/>
      <c r="W80" s="417"/>
      <c r="X80" s="172"/>
      <c r="Y80" s="172"/>
      <c r="Z80" s="172"/>
      <c r="AA80" s="172"/>
      <c r="AB80" s="172"/>
      <c r="AC80" s="172"/>
      <c r="AD80" s="172"/>
    </row>
    <row r="81" spans="1:30" ht="25.5" customHeight="1" thickBot="1" x14ac:dyDescent="0.55000000000000004">
      <c r="A81" s="153"/>
      <c r="C81" s="176"/>
      <c r="D81" s="177"/>
      <c r="E81" s="178"/>
      <c r="F81" s="179"/>
      <c r="G81" s="180"/>
      <c r="H81" s="180"/>
      <c r="I81" s="180"/>
      <c r="J81" s="180"/>
      <c r="K81" s="180"/>
      <c r="L81" s="180"/>
      <c r="M81" s="181"/>
      <c r="W81" s="167"/>
      <c r="X81" s="167"/>
      <c r="Y81" s="167"/>
      <c r="Z81" s="167"/>
      <c r="AA81" s="167"/>
      <c r="AB81" s="167"/>
      <c r="AC81" s="167"/>
      <c r="AD81" s="167"/>
    </row>
    <row r="82" spans="1:30" ht="11.25" customHeight="1" x14ac:dyDescent="0.4">
      <c r="A82" s="147"/>
      <c r="B82" s="148"/>
      <c r="C82" s="182"/>
      <c r="D82" s="183"/>
      <c r="E82" s="184"/>
      <c r="F82" s="421" t="s">
        <v>65</v>
      </c>
      <c r="G82" s="421"/>
      <c r="H82" s="421"/>
      <c r="I82" s="421"/>
      <c r="J82" s="421"/>
      <c r="K82" s="421"/>
      <c r="L82" s="421"/>
      <c r="M82" s="425"/>
      <c r="W82" s="167"/>
      <c r="X82" s="167"/>
      <c r="Y82" s="167"/>
      <c r="Z82" s="167"/>
      <c r="AA82" s="167"/>
      <c r="AB82" s="167"/>
      <c r="AC82" s="167"/>
      <c r="AD82" s="167"/>
    </row>
    <row r="83" spans="1:30" ht="11.25" customHeight="1" x14ac:dyDescent="0.4">
      <c r="A83" s="153"/>
      <c r="C83" s="159"/>
      <c r="D83" s="185"/>
      <c r="E83" s="186"/>
      <c r="F83" s="426"/>
      <c r="G83" s="426"/>
      <c r="H83" s="426"/>
      <c r="I83" s="426"/>
      <c r="J83" s="426"/>
      <c r="K83" s="426"/>
      <c r="L83" s="426"/>
      <c r="M83" s="427"/>
      <c r="W83" s="167"/>
      <c r="X83" s="167"/>
      <c r="Y83" s="167"/>
      <c r="Z83" s="167"/>
      <c r="AA83" s="167"/>
      <c r="AB83" s="167"/>
      <c r="AC83" s="167"/>
      <c r="AD83" s="167"/>
    </row>
    <row r="84" spans="1:30" ht="11.25" customHeight="1" thickBot="1" x14ac:dyDescent="0.45">
      <c r="A84" s="153"/>
      <c r="C84" s="159"/>
      <c r="D84" s="160"/>
      <c r="E84" s="187"/>
      <c r="F84" s="428"/>
      <c r="G84" s="428"/>
      <c r="H84" s="428"/>
      <c r="I84" s="428"/>
      <c r="J84" s="428"/>
      <c r="K84" s="428"/>
      <c r="L84" s="428"/>
      <c r="M84" s="429"/>
      <c r="W84" s="167"/>
      <c r="X84" s="167"/>
      <c r="Y84" s="167"/>
      <c r="Z84" s="167"/>
      <c r="AA84" s="167"/>
      <c r="AB84" s="167"/>
      <c r="AC84" s="167"/>
      <c r="AD84" s="167"/>
    </row>
    <row r="85" spans="1:30" ht="18" customHeight="1" x14ac:dyDescent="0.45">
      <c r="A85" s="153"/>
      <c r="C85" s="159"/>
      <c r="D85" s="166"/>
      <c r="F85" s="188"/>
      <c r="G85" s="189" t="str">
        <f t="shared" ref="G85:M85" si="2">TEXT(G86,"dddd")</f>
        <v>Saturday</v>
      </c>
      <c r="H85" s="189" t="str">
        <f t="shared" si="2"/>
        <v>Sunday</v>
      </c>
      <c r="I85" s="189" t="str">
        <f t="shared" si="2"/>
        <v>Monday</v>
      </c>
      <c r="J85" s="189" t="str">
        <f t="shared" si="2"/>
        <v>Tuesday</v>
      </c>
      <c r="K85" s="189" t="str">
        <f t="shared" si="2"/>
        <v>Wednesday</v>
      </c>
      <c r="L85" s="189" t="str">
        <f t="shared" si="2"/>
        <v>Thursday</v>
      </c>
      <c r="M85" s="189" t="str">
        <f t="shared" si="2"/>
        <v>Friday</v>
      </c>
      <c r="W85" s="167"/>
      <c r="X85" s="167"/>
      <c r="Y85" s="167"/>
      <c r="Z85" s="167"/>
      <c r="AA85" s="167"/>
      <c r="AB85" s="167"/>
      <c r="AC85" s="167"/>
      <c r="AD85" s="167"/>
    </row>
    <row r="86" spans="1:30" ht="18" customHeight="1" x14ac:dyDescent="0.4">
      <c r="A86" s="153"/>
      <c r="C86" s="159"/>
      <c r="D86" s="166"/>
      <c r="F86" s="164" t="s">
        <v>66</v>
      </c>
      <c r="G86" s="165">
        <f>+G5</f>
        <v>45969</v>
      </c>
      <c r="H86" s="165">
        <f t="shared" ref="H86:M86" si="3">+G86+1</f>
        <v>45970</v>
      </c>
      <c r="I86" s="165">
        <f t="shared" si="3"/>
        <v>45971</v>
      </c>
      <c r="J86" s="165">
        <f t="shared" si="3"/>
        <v>45972</v>
      </c>
      <c r="K86" s="165">
        <f t="shared" si="3"/>
        <v>45973</v>
      </c>
      <c r="L86" s="165">
        <f t="shared" si="3"/>
        <v>45974</v>
      </c>
      <c r="M86" s="165">
        <f t="shared" si="3"/>
        <v>45975</v>
      </c>
      <c r="W86" s="167"/>
      <c r="X86" s="167"/>
      <c r="Y86" s="167"/>
      <c r="Z86" s="167"/>
      <c r="AA86" s="167"/>
      <c r="AB86" s="167"/>
      <c r="AC86" s="167"/>
      <c r="AD86" s="167"/>
    </row>
    <row r="87" spans="1:30" ht="25.5" customHeight="1" x14ac:dyDescent="0.4">
      <c r="A87" s="153"/>
      <c r="C87" s="159"/>
      <c r="D87" s="166"/>
      <c r="F87" s="422" t="s">
        <v>5</v>
      </c>
      <c r="G87" s="423"/>
      <c r="H87" s="423"/>
      <c r="I87" s="423"/>
      <c r="J87" s="423"/>
      <c r="K87" s="423"/>
      <c r="L87" s="423"/>
      <c r="M87" s="424"/>
      <c r="W87" s="167"/>
      <c r="X87" s="167"/>
      <c r="Y87" s="167"/>
      <c r="Z87" s="167"/>
      <c r="AA87" s="167"/>
      <c r="AB87" s="167"/>
      <c r="AC87" s="167"/>
      <c r="AD87" s="167"/>
    </row>
    <row r="88" spans="1:30" ht="17.25" customHeight="1" x14ac:dyDescent="0.4">
      <c r="A88" s="153"/>
      <c r="C88" s="412" t="s">
        <v>117</v>
      </c>
      <c r="D88" s="413"/>
      <c r="E88" s="168" t="s">
        <v>118</v>
      </c>
      <c r="F88" s="414" t="s">
        <v>69</v>
      </c>
      <c r="G88" s="169" t="str" cm="1">
        <f t="array" ref="G88">IF(RIGHT(_xlfn._xlws.FILTER(Sheet1!$G$2:$G$333,(Sheet1!$G$2:$G$333=$E88)+(Sheet1!$G$2:$G$333=$E89)+(Sheet1!$G$2:$G$333=$E90),""),4)="POST",CONCATENATE(_xlfn._xlws.FILTER(Sheet1!$A$2:$A$333,(Sheet1!$G$2:$G$333=$E88)+(Sheet1!$G$2:$G$333=$E89)+(Sheet1!$G$2:$G$333=$E90),""),"-","POST"),_xlfn._xlws.FILTER(Sheet1!$A$2:$A$333,(Sheet1!$G$2:$G$333=$E88)+(Sheet1!$G$2:$G$333=$E89)+(Sheet1!$G$2:$G$333=$E90),"UNFILLED"))</f>
        <v>DAVIS, MATT</v>
      </c>
      <c r="H88" s="169" t="str" cm="1">
        <f t="array" ref="H88">IF(RIGHT(_xlfn._xlws.FILTER(Sheet1!$I$2:$I$333,(Sheet1!$I$2:$I$333=$E88)+(Sheet1!$I$2:$I$333=$E89)+(Sheet1!$I$2:$I$333=$E90),""),4)="POST",CONCATENATE(_xlfn._xlws.FILTER(Sheet1!$A$2:$A$333,(Sheet1!$I$2:$I$333=$E88)+(Sheet1!$I$2:$I$333=$E89)+(Sheet1!$I$2:$I$333=$E90),""),"-","POST"),_xlfn._xlws.FILTER(Sheet1!$A$2:$A$333,(Sheet1!$I$2:$I$333=$E88)+(Sheet1!$I$2:$I$333=$E89)+(Sheet1!$I$2:$I$333=$E90),"UNFILLED"))</f>
        <v>CLAFFY, DEIDRE</v>
      </c>
      <c r="I88" s="169" t="str" cm="1">
        <f t="array" ref="I88">IF(RIGHT(_xlfn._xlws.FILTER(Sheet1!$K$2:$K$333,(Sheet1!$K$2:$K$333=$E88)+(Sheet1!$K$2:$K$333=$E89)+(Sheet1!$K$2:$K$333=$E90),""),4)="POST",CONCATENATE(_xlfn._xlws.FILTER(Sheet1!$A$2:$A$333,(Sheet1!$K$2:$K$333=$E88)+(Sheet1!$K$2:$K$333=$E89)+(Sheet1!$K$2:$K$333=$E90),""),"-","POST"),_xlfn._xlws.FILTER(Sheet1!$A$2:$A$333,(Sheet1!$K$2:$K$333=$E88)+(Sheet1!$K$2:$K$333=$E89)+(Sheet1!$K$2:$K$333=$E90),"UNFILLED"))</f>
        <v>CLAFFY, DEIDRE</v>
      </c>
      <c r="J88" s="169" t="str" cm="1">
        <f t="array" ref="J88">IF(RIGHT(_xlfn._xlws.FILTER(Sheet1!M$2:M$333,(Sheet1!M$2:M$333=$E88)+(Sheet1!M$2:M$333=$E89)+(Sheet1!M$2:M$333=$E90),""),4)="POST",CONCATENATE(_xlfn._xlws.FILTER(Sheet1!$A$2:$A$333,(Sheet1!M$2:M$333=$E88)+(Sheet1!M$2:M$333=$E89)+(Sheet1!M$2:M$333=$E90),""),"-","POST"),_xlfn._xlws.FILTER(Sheet1!$A$2:$A$333,(Sheet1!M$2:M$333=$E88)+(Sheet1!M$2:M$333=$E89)+(Sheet1!M$2:M$333=$E90),"UNFILLED"))</f>
        <v>THOMAS, RONNIE</v>
      </c>
      <c r="K88" s="169" t="str" cm="1">
        <f t="array" ref="K88">IF(RIGHT(_xlfn._xlws.FILTER(Sheet1!$O$2:$O$333,(Sheet1!$O$2:$O$333=$E88)+(Sheet1!$O$2:$O$333=$E89)+(Sheet1!$O$2:$O$333=$E90),""),4)="POST",CONCATENATE(_xlfn._xlws.FILTER(Sheet1!$A$2:$A$333,(Sheet1!$O$2:$O$333=$E88)+(Sheet1!$O$2:$O$333=$E89)+(Sheet1!$O$2:$O$333=$E90),""),"-","POST"),_xlfn._xlws.FILTER(Sheet1!$A$2:$A$333,(Sheet1!$O$2:$O$333=$E88)+(Sheet1!$O$2:$O$333=$E89)+(Sheet1!$O$2:$O$333=$E90),"UNFILLED"))</f>
        <v>DAVIS, MATT</v>
      </c>
      <c r="L88" s="169" t="str" cm="1">
        <f t="array" ref="L88">IF(RIGHT(_xlfn._xlws.FILTER(Sheet1!$Q$2:$Q$333,(Sheet1!$Q$2:$Q$333=$E88)+(Sheet1!$Q$2:$Q$333=$E89)+(Sheet1!$Q$2:$Q$333=$E90),""),4)="POST",CONCATENATE(_xlfn._xlws.FILTER(Sheet1!$A$2:$A$333,(Sheet1!$Q$2:$Q$333=$E88)+(Sheet1!$Q$2:$Q$333=$E89)+(Sheet1!$Q$2:$Q$333=$E90),""),"-","POST"),_xlfn._xlws.FILTER(Sheet1!$A$2:$A$333,(Sheet1!$Q$2:$Q$333=$E88)+(Sheet1!$Q$2:$Q$333=$E89)+(Sheet1!$Q$2:$Q$333=$E90),"UNFILLED"))</f>
        <v>DAVIS, MATT</v>
      </c>
      <c r="M88" s="169" t="str" cm="1">
        <f t="array" ref="M88">IF(RIGHT(_xlfn._xlws.FILTER(Sheet1!$S$2:$S$333,(Sheet1!$S$2:$S$333=$E88)+(Sheet1!$S$2:$S$333=$E89)+(Sheet1!$S$2:$S$333=$E90),""),4)="POST",CONCATENATE(_xlfn._xlws.FILTER(Sheet1!$A$2:$A$333,(Sheet1!$S$2:$S$333=$E88)+(Sheet1!$S$2:$S$333=$E89)+(Sheet1!$S$2:$S$333=$E90),""),"-","POST"),_xlfn._xlws.FILTER(Sheet1!$A$2:$A$333,(Sheet1!$S$2:$S$333=$E88)+(Sheet1!$S$2:$S$333=$E89)+(Sheet1!$S$2:$S$333=$E90),"UNFILLED"))</f>
        <v>DAVIS, MATT</v>
      </c>
      <c r="W88" s="417"/>
      <c r="X88" s="170"/>
      <c r="Y88" s="170"/>
      <c r="Z88" s="170"/>
      <c r="AA88" s="170"/>
      <c r="AB88" s="170"/>
      <c r="AC88" s="170"/>
      <c r="AD88" s="170"/>
    </row>
    <row r="89" spans="1:30" ht="17.25" customHeight="1" x14ac:dyDescent="0.4">
      <c r="A89" s="153"/>
      <c r="C89" s="412"/>
      <c r="D89" s="413"/>
      <c r="E89" s="168" t="str">
        <f>_xlfn.CONCAT(E88,"-","POST")</f>
        <v>HT-2-POST</v>
      </c>
      <c r="F89" s="415"/>
      <c r="G89" s="171"/>
      <c r="H89" s="171"/>
      <c r="I89" s="171"/>
      <c r="J89" s="171"/>
      <c r="K89" s="171"/>
      <c r="L89" s="171"/>
      <c r="M89" s="171"/>
      <c r="W89" s="417"/>
      <c r="X89" s="172"/>
      <c r="Y89" s="172"/>
      <c r="Z89" s="172"/>
      <c r="AA89" s="172"/>
      <c r="AB89" s="172"/>
      <c r="AC89" s="172"/>
      <c r="AD89" s="172"/>
    </row>
    <row r="90" spans="1:30" ht="17.25" customHeight="1" x14ac:dyDescent="0.4">
      <c r="A90" s="153"/>
      <c r="C90" s="412"/>
      <c r="D90" s="413"/>
      <c r="E90" s="168" t="str">
        <f>_xlfn.CONCAT(E88,"-","PILOT")</f>
        <v>HT-2-PILOT</v>
      </c>
      <c r="F90" s="416"/>
      <c r="G90" s="173"/>
      <c r="H90" s="173"/>
      <c r="I90" s="173"/>
      <c r="J90" s="173"/>
      <c r="K90" s="173"/>
      <c r="L90" s="173"/>
      <c r="M90" s="173"/>
      <c r="W90" s="417"/>
      <c r="X90" s="172"/>
      <c r="Y90" s="172"/>
      <c r="Z90" s="172"/>
      <c r="AA90" s="172"/>
      <c r="AB90" s="172"/>
      <c r="AC90" s="172"/>
      <c r="AD90" s="172"/>
    </row>
    <row r="91" spans="1:30" ht="17.25" customHeight="1" x14ac:dyDescent="0.4">
      <c r="A91" s="153"/>
      <c r="C91" s="412"/>
      <c r="D91" s="413"/>
      <c r="E91" s="168" t="s">
        <v>119</v>
      </c>
      <c r="F91" s="414" t="s">
        <v>72</v>
      </c>
      <c r="G91" s="169" t="str" cm="1">
        <f t="array" ref="G91">IF(RIGHT(_xlfn._xlws.FILTER(Sheet1!$G$2:$G$333,(Sheet1!$G$2:$G$333=$E91)+(Sheet1!$G$2:$G$333=$E92)+(Sheet1!$G$2:$G$333=$E93),""),4)="POST",CONCATENATE(_xlfn._xlws.FILTER(Sheet1!$A$2:$A$333,(Sheet1!$G$2:$G$333=$E91)+(Sheet1!$G$2:$G$333=$E92)+(Sheet1!$G$2:$G$333=$E93),""),"-","POST"),_xlfn._xlws.FILTER(Sheet1!$A$2:$A$333,(Sheet1!$G$2:$G$333=$E91)+(Sheet1!$G$2:$G$333=$E92)+(Sheet1!$G$2:$G$333=$E93),"UNFILLED"))</f>
        <v>MCAULEY, LESLIE</v>
      </c>
      <c r="H91" s="169" t="str" cm="1">
        <f t="array" ref="H91">IF(RIGHT(_xlfn._xlws.FILTER(Sheet1!$I$2:$I$333,(Sheet1!$I$2:$I$333=$E91)+(Sheet1!$I$2:$I$333=$E92)+(Sheet1!$I$2:$I$333=$E93),""),4)="POST",CONCATENATE(_xlfn._xlws.FILTER(Sheet1!$A$2:$A$333,(Sheet1!$I$2:$I$333=$E91)+(Sheet1!$I$2:$I$333=$E92)+(Sheet1!$I$2:$I$333=$E93),""),"-","POST"),_xlfn._xlws.FILTER(Sheet1!$A$2:$A$333,(Sheet1!$I$2:$I$333=$E91)+(Sheet1!$I$2:$I$333=$E92)+(Sheet1!$I$2:$I$333=$E93),"UNFILLED"))</f>
        <v>MCAULEY, LESLIE</v>
      </c>
      <c r="I91" s="169" t="str" cm="1">
        <f t="array" ref="I91">IF(RIGHT(_xlfn._xlws.FILTER(Sheet1!$K$2:$K$333,(Sheet1!$K$2:$K$333=$E91)+(Sheet1!$K$2:$K$333=$E92)+(Sheet1!$K$2:$K$333=$E93),""),4)="POST",CONCATENATE(_xlfn._xlws.FILTER(Sheet1!$A$2:$A$333,(Sheet1!$K$2:$K$333=$E91)+(Sheet1!$K$2:$K$333=$E92)+(Sheet1!$K$2:$K$333=$E93),""),"-","POST"),_xlfn._xlws.FILTER(Sheet1!$A$2:$A$333,(Sheet1!$K$2:$K$333=$E91)+(Sheet1!$K$2:$K$333=$E92)+(Sheet1!$K$2:$K$333=$E93),"UNFILLED"))</f>
        <v>JONES, ANTHONY</v>
      </c>
      <c r="J91" s="169" t="str" cm="1">
        <f t="array" ref="J91">IF(RIGHT(_xlfn._xlws.FILTER(Sheet1!M$2:M$333,(Sheet1!M$2:M$333=$E91)+(Sheet1!M$2:M$333=$E92)+(Sheet1!M$2:M$333=$E93),""),4)="POST",CONCATENATE(_xlfn._xlws.FILTER(Sheet1!$A$2:$A$333,(Sheet1!M$2:M$333=$E91)+(Sheet1!M$2:M$333=$E92)+(Sheet1!M$2:M$333=$E93),""),"-","POST"),_xlfn._xlws.FILTER(Sheet1!$A$2:$A$333,(Sheet1!M$2:M$333=$E91)+(Sheet1!M$2:M$333=$E92)+(Sheet1!M$2:M$333=$E93),"UNFILLED"))</f>
        <v>JONES, ANTHONY</v>
      </c>
      <c r="K91" s="169" t="str" cm="1">
        <f t="array" ref="K91">IF(RIGHT(_xlfn._xlws.FILTER(Sheet1!$O$2:$O$333,(Sheet1!$O$2:$O$333=$E91)+(Sheet1!$O$2:$O$333=$E92)+(Sheet1!$O$2:$O$333=$E93),""),4)="POST",CONCATENATE(_xlfn._xlws.FILTER(Sheet1!$A$2:$A$333,(Sheet1!$O$2:$O$333=$E91)+(Sheet1!$O$2:$O$333=$E92)+(Sheet1!$O$2:$O$333=$E93),""),"-","POST"),_xlfn._xlws.FILTER(Sheet1!$A$2:$A$333,(Sheet1!$O$2:$O$333=$E91)+(Sheet1!$O$2:$O$333=$E92)+(Sheet1!$O$2:$O$333=$E93),"UNFILLED"))</f>
        <v>MCAULEY, LESLIE</v>
      </c>
      <c r="L91" s="169" t="str" cm="1">
        <f t="array" ref="L91">IF(RIGHT(_xlfn._xlws.FILTER(Sheet1!$Q$2:$Q$333,(Sheet1!$Q$2:$Q$333=$E91)+(Sheet1!$Q$2:$Q$333=$E92)+(Sheet1!$Q$2:$Q$333=$E93),""),4)="POST",CONCATENATE(_xlfn._xlws.FILTER(Sheet1!$A$2:$A$333,(Sheet1!$Q$2:$Q$333=$E91)+(Sheet1!$Q$2:$Q$333=$E92)+(Sheet1!$Q$2:$Q$333=$E93),""),"-","POST"),_xlfn._xlws.FILTER(Sheet1!$A$2:$A$333,(Sheet1!$Q$2:$Q$333=$E91)+(Sheet1!$Q$2:$Q$333=$E92)+(Sheet1!$Q$2:$Q$333=$E93),"UNFILLED"))</f>
        <v>MCAULEY, LESLIE</v>
      </c>
      <c r="M91" s="169" t="str" cm="1">
        <f t="array" ref="M91">IF(RIGHT(_xlfn._xlws.FILTER(Sheet1!$S$2:$S$333,(Sheet1!$S$2:$S$333=$E91)+(Sheet1!$S$2:$S$333=$E92)+(Sheet1!$S$2:$S$333=$E93),""),4)="POST",CONCATENATE(_xlfn._xlws.FILTER(Sheet1!$A$2:$A$333,(Sheet1!$S$2:$S$333=$E91)+(Sheet1!$S$2:$S$333=$E92)+(Sheet1!$S$2:$S$333=$E93),""),"-","POST"),_xlfn._xlws.FILTER(Sheet1!$A$2:$A$333,(Sheet1!$S$2:$S$333=$E91)+(Sheet1!$S$2:$S$333=$E92)+(Sheet1!$S$2:$S$333=$E93),"UNFILLED"))</f>
        <v>MCAULEY, LESLIE</v>
      </c>
      <c r="W91" s="417"/>
      <c r="X91" s="170"/>
      <c r="Y91" s="170"/>
      <c r="Z91" s="170"/>
      <c r="AA91" s="170"/>
      <c r="AB91" s="170"/>
      <c r="AC91" s="170"/>
      <c r="AD91" s="170"/>
    </row>
    <row r="92" spans="1:30" ht="17.25" customHeight="1" x14ac:dyDescent="0.4">
      <c r="A92" s="153"/>
      <c r="C92" s="412"/>
      <c r="D92" s="413"/>
      <c r="E92" s="168" t="str">
        <f>_xlfn.CONCAT(E91,"-","POST")</f>
        <v>HE-2-POST</v>
      </c>
      <c r="F92" s="415"/>
      <c r="G92" s="171"/>
      <c r="H92" s="171"/>
      <c r="I92" s="171"/>
      <c r="J92" s="171"/>
      <c r="K92" s="171"/>
      <c r="L92" s="171"/>
      <c r="M92" s="171"/>
      <c r="W92" s="417"/>
      <c r="X92" s="172"/>
      <c r="Y92" s="172"/>
      <c r="Z92" s="172"/>
      <c r="AA92" s="172"/>
      <c r="AB92" s="172"/>
      <c r="AC92" s="172"/>
      <c r="AD92" s="172"/>
    </row>
    <row r="93" spans="1:30" ht="17.25" customHeight="1" x14ac:dyDescent="0.4">
      <c r="A93" s="153"/>
      <c r="C93" s="412"/>
      <c r="D93" s="413"/>
      <c r="E93" s="168" t="str">
        <f>_xlfn.CONCAT(E91,"-","PILOT")</f>
        <v>HE-2-PILOT</v>
      </c>
      <c r="F93" s="416"/>
      <c r="G93" s="173"/>
      <c r="H93" s="173"/>
      <c r="I93" s="173"/>
      <c r="J93" s="173"/>
      <c r="K93" s="173"/>
      <c r="L93" s="173"/>
      <c r="M93" s="173"/>
      <c r="W93" s="417"/>
      <c r="X93" s="172"/>
      <c r="Y93" s="172"/>
      <c r="Z93" s="172"/>
      <c r="AA93" s="172"/>
      <c r="AB93" s="172"/>
      <c r="AC93" s="172"/>
      <c r="AD93" s="172"/>
    </row>
    <row r="94" spans="1:30" ht="17.25" customHeight="1" x14ac:dyDescent="0.4">
      <c r="A94" s="153"/>
      <c r="C94" s="412"/>
      <c r="D94" s="413"/>
      <c r="E94" s="168" t="s">
        <v>120</v>
      </c>
      <c r="F94" s="414" t="s">
        <v>74</v>
      </c>
      <c r="G94" s="169" t="str" cm="1">
        <f t="array" ref="G94">IF(RIGHT(_xlfn._xlws.FILTER(Sheet1!$G$2:$G$333,(Sheet1!$G$2:$G$333=$E94)+(Sheet1!$G$2:$G$333=$E95)+(Sheet1!$G$2:$G$333=$E96),""),4)="POST",CONCATENATE(_xlfn._xlws.FILTER(Sheet1!$A$2:$A$333,(Sheet1!$G$2:$G$333=$E94)+(Sheet1!$G$2:$G$333=$E95)+(Sheet1!$G$2:$G$333=$E96),""),"-","POST"),_xlfn._xlws.FILTER(Sheet1!$A$2:$A$333,(Sheet1!$G$2:$G$333=$E94)+(Sheet1!$G$2:$G$333=$E95)+(Sheet1!$G$2:$G$333=$E96),"UNFILLED"))</f>
        <v>CROUTHARMEL, JASON</v>
      </c>
      <c r="H94" s="169" t="str" cm="1">
        <f t="array" ref="H94">IF(RIGHT(_xlfn._xlws.FILTER(Sheet1!$I$2:$I$333,(Sheet1!$I$2:$I$333=$E94)+(Sheet1!$I$2:$I$333=$E95)+(Sheet1!$I$2:$I$333=$E96),""),4)="POST",CONCATENATE(_xlfn._xlws.FILTER(Sheet1!$A$2:$A$333,(Sheet1!$I$2:$I$333=$E94)+(Sheet1!$I$2:$I$333=$E95)+(Sheet1!$I$2:$I$333=$E96),""),"-","POST"),_xlfn._xlws.FILTER(Sheet1!$A$2:$A$333,(Sheet1!$I$2:$I$333=$E94)+(Sheet1!$I$2:$I$333=$E95)+(Sheet1!$I$2:$I$333=$E96),"UNFILLED"))</f>
        <v>BOYD, MIA</v>
      </c>
      <c r="I94" s="169" t="str" cm="1">
        <f t="array" ref="I94">IF(RIGHT(_xlfn._xlws.FILTER(Sheet1!$K$2:$K$333,(Sheet1!$K$2:$K$333=$E94)+(Sheet1!$K$2:$K$333=$E95)+(Sheet1!$K$2:$K$333=$E96),""),4)="POST",CONCATENATE(_xlfn._xlws.FILTER(Sheet1!$A$2:$A$333,(Sheet1!$K$2:$K$333=$E94)+(Sheet1!$K$2:$K$333=$E95)+(Sheet1!$K$2:$K$333=$E96),""),"-","POST"),_xlfn._xlws.FILTER(Sheet1!$A$2:$A$333,(Sheet1!$K$2:$K$333=$E94)+(Sheet1!$K$2:$K$333=$E95)+(Sheet1!$K$2:$K$333=$E96),"UNFILLED"))</f>
        <v>BOYD, MIA</v>
      </c>
      <c r="J94" s="169" t="str" cm="1">
        <f t="array" ref="J94">IF(RIGHT(_xlfn._xlws.FILTER(Sheet1!M$2:M$333,(Sheet1!M$2:M$333=$E94)+(Sheet1!M$2:M$333=$E95)+(Sheet1!M$2:M$333=$E96),""),4)="POST",CONCATENATE(_xlfn._xlws.FILTER(Sheet1!$A$2:$A$333,(Sheet1!M$2:M$333=$E94)+(Sheet1!M$2:M$333=$E95)+(Sheet1!M$2:M$333=$E96),""),"-","POST"),_xlfn._xlws.FILTER(Sheet1!$A$2:$A$333,(Sheet1!M$2:M$333=$E94)+(Sheet1!M$2:M$333=$E95)+(Sheet1!M$2:M$333=$E96),"UNFILLED"))</f>
        <v>CROUTHARMEL, JASON</v>
      </c>
      <c r="K94" s="169" t="str" cm="1">
        <f t="array" ref="K94">IF(RIGHT(_xlfn._xlws.FILTER(Sheet1!$O$2:$O$333,(Sheet1!$O$2:$O$333=$E94)+(Sheet1!$O$2:$O$333=$E95)+(Sheet1!$O$2:$O$333=$E96),""),4)="POST",CONCATENATE(_xlfn._xlws.FILTER(Sheet1!$A$2:$A$333,(Sheet1!$O$2:$O$333=$E94)+(Sheet1!$O$2:$O$333=$E95)+(Sheet1!$O$2:$O$333=$E96),""),"-","POST"),_xlfn._xlws.FILTER(Sheet1!$A$2:$A$333,(Sheet1!$O$2:$O$333=$E94)+(Sheet1!$O$2:$O$333=$E95)+(Sheet1!$O$2:$O$333=$E96),"UNFILLED"))</f>
        <v>CROUTHARMEL, JASON</v>
      </c>
      <c r="L94" s="169" t="str" cm="1">
        <f t="array" ref="L94">IF(RIGHT(_xlfn._xlws.FILTER(Sheet1!$Q$2:$Q$333,(Sheet1!$Q$2:$Q$333=$E94)+(Sheet1!$Q$2:$Q$333=$E95)+(Sheet1!$Q$2:$Q$333=$E96),""),4)="POST",CONCATENATE(_xlfn._xlws.FILTER(Sheet1!$A$2:$A$333,(Sheet1!$Q$2:$Q$333=$E94)+(Sheet1!$Q$2:$Q$333=$E95)+(Sheet1!$Q$2:$Q$333=$E96),""),"-","POST"),_xlfn._xlws.FILTER(Sheet1!$A$2:$A$333,(Sheet1!$Q$2:$Q$333=$E94)+(Sheet1!$Q$2:$Q$333=$E95)+(Sheet1!$Q$2:$Q$333=$E96),"UNFILLED"))</f>
        <v>CROUTHARMEL, JASON</v>
      </c>
      <c r="M94" s="169" t="str" cm="1">
        <f t="array" ref="M94:M95">IF(RIGHT(_xlfn._xlws.FILTER(Sheet1!$S$2:$S$333,(Sheet1!$S$2:$S$333=$E94)+(Sheet1!$S$2:$S$333=$E95)+(Sheet1!$S$2:$S$333=$E96),""),4)="POST",CONCATENATE(_xlfn._xlws.FILTER(Sheet1!$A$2:$A$333,(Sheet1!$S$2:$S$333=$E94)+(Sheet1!$S$2:$S$333=$E95)+(Sheet1!$S$2:$S$333=$E96),""),"-","POST"),_xlfn._xlws.FILTER(Sheet1!$A$2:$A$333,(Sheet1!$S$2:$S$333=$E94)+(Sheet1!$S$2:$S$333=$E95)+(Sheet1!$S$2:$S$333=$E96),"UNFILLED"))</f>
        <v>CROUTHARMEL, JASON</v>
      </c>
      <c r="W94" s="417"/>
      <c r="X94" s="170"/>
      <c r="Y94" s="170"/>
      <c r="Z94" s="170"/>
      <c r="AA94" s="170"/>
      <c r="AB94" s="170"/>
      <c r="AC94" s="170"/>
      <c r="AD94" s="170"/>
    </row>
    <row r="95" spans="1:30" ht="17.25" customHeight="1" x14ac:dyDescent="0.4">
      <c r="A95" s="153"/>
      <c r="C95" s="412"/>
      <c r="D95" s="413"/>
      <c r="E95" s="168" t="str">
        <f>_xlfn.CONCAT(E94,"-","POST")</f>
        <v>RL-2-POST</v>
      </c>
      <c r="F95" s="415"/>
      <c r="G95" s="171"/>
      <c r="H95" s="171"/>
      <c r="I95" s="171"/>
      <c r="J95" s="171"/>
      <c r="K95" s="171"/>
      <c r="L95" s="171"/>
      <c r="M95" s="171" t="str">
        <v>TUCKER, JUSTIN-POST</v>
      </c>
      <c r="W95" s="417"/>
      <c r="X95" s="172"/>
      <c r="Y95" s="172"/>
      <c r="Z95" s="172"/>
      <c r="AA95" s="172"/>
      <c r="AB95" s="172"/>
      <c r="AC95" s="172"/>
      <c r="AD95" s="172"/>
    </row>
    <row r="96" spans="1:30" ht="17.25" customHeight="1" x14ac:dyDescent="0.4">
      <c r="A96" s="153"/>
      <c r="C96" s="412"/>
      <c r="D96" s="413"/>
      <c r="E96" s="168" t="str">
        <f>_xlfn.CONCAT(E94,"-","PILOT")</f>
        <v>RL-2-PILOT</v>
      </c>
      <c r="F96" s="416"/>
      <c r="G96" s="173"/>
      <c r="H96" s="173"/>
      <c r="I96" s="173"/>
      <c r="J96" s="173"/>
      <c r="K96" s="173"/>
      <c r="L96" s="173"/>
      <c r="M96" s="173"/>
      <c r="W96" s="417"/>
      <c r="X96" s="172"/>
      <c r="Y96" s="172"/>
      <c r="Z96" s="172"/>
      <c r="AA96" s="172"/>
      <c r="AB96" s="172"/>
      <c r="AC96" s="172"/>
      <c r="AD96" s="172"/>
    </row>
    <row r="97" spans="1:30" ht="17.25" customHeight="1" x14ac:dyDescent="0.4">
      <c r="A97" s="153"/>
      <c r="C97" s="412"/>
      <c r="D97" s="413"/>
      <c r="E97" s="168" t="s">
        <v>121</v>
      </c>
      <c r="F97" s="414" t="s">
        <v>76</v>
      </c>
      <c r="G97" s="169" t="str" cm="1">
        <f t="array" ref="G97">IF(RIGHT(_xlfn._xlws.FILTER(Sheet1!$G$2:$G$333,(Sheet1!$G$2:$G$333=$E97)+(Sheet1!$G$2:$G$333=$E98)+(Sheet1!$G$2:$G$333=$E99),""),4)="POST",CONCATENATE(_xlfn._xlws.FILTER(Sheet1!$A$2:$A$333,(Sheet1!$G$2:$G$333=$E97)+(Sheet1!$G$2:$G$333=$E98)+(Sheet1!$G$2:$G$333=$E99),""),"-","POST"),_xlfn._xlws.FILTER(Sheet1!$A$2:$A$333,(Sheet1!$G$2:$G$333=$E97)+(Sheet1!$G$2:$G$333=$E98)+(Sheet1!$G$2:$G$333=$E99),"UNFILLED"))</f>
        <v>KEYS, MATTHEW</v>
      </c>
      <c r="H97" s="169" t="str" cm="1">
        <f t="array" ref="H97">IF(RIGHT(_xlfn._xlws.FILTER(Sheet1!$I$2:$I$333,(Sheet1!$I$2:$I$333=$E97)+(Sheet1!$I$2:$I$333=$E98)+(Sheet1!$I$2:$I$333=$E99),""),4)="POST",CONCATENATE(_xlfn._xlws.FILTER(Sheet1!$A$2:$A$333,(Sheet1!$I$2:$I$333=$E97)+(Sheet1!$I$2:$I$333=$E98)+(Sheet1!$I$2:$I$333=$E99),""),"-","POST"),_xlfn._xlws.FILTER(Sheet1!$A$2:$A$333,(Sheet1!$I$2:$I$333=$E97)+(Sheet1!$I$2:$I$333=$E98)+(Sheet1!$I$2:$I$333=$E99),"UNFILLED"))</f>
        <v>KEYS, MATTHEW</v>
      </c>
      <c r="I97" s="169" t="str" cm="1">
        <f t="array" ref="I97">IF(RIGHT(_xlfn._xlws.FILTER(Sheet1!$K$2:$K$333,(Sheet1!$K$2:$K$333=$E97)+(Sheet1!$K$2:$K$333=$E98)+(Sheet1!$K$2:$K$333=$E99),""),4)="POST",CONCATENATE(_xlfn._xlws.FILTER(Sheet1!$A$2:$A$333,(Sheet1!$K$2:$K$333=$E97)+(Sheet1!$K$2:$K$333=$E98)+(Sheet1!$K$2:$K$333=$E99),""),"-","POST"),_xlfn._xlws.FILTER(Sheet1!$A$2:$A$333,(Sheet1!$K$2:$K$333=$E97)+(Sheet1!$K$2:$K$333=$E98)+(Sheet1!$K$2:$K$333=$E99),"UNFILLED"))</f>
        <v>ZEIGLER, KIMBERLY</v>
      </c>
      <c r="J97" s="169" t="str" cm="1">
        <f t="array" ref="J97">IF(RIGHT(_xlfn._xlws.FILTER(Sheet1!M$2:M$333,(Sheet1!M$2:M$333=$E97)+(Sheet1!M$2:M$333=$E98)+(Sheet1!M$2:M$333=$E99),""),4)="POST",CONCATENATE(_xlfn._xlws.FILTER(Sheet1!$A$2:$A$333,(Sheet1!M$2:M$333=$E97)+(Sheet1!M$2:M$333=$E98)+(Sheet1!M$2:M$333=$E99),""),"-","POST"),_xlfn._xlws.FILTER(Sheet1!$A$2:$A$333,(Sheet1!M$2:M$333=$E97)+(Sheet1!M$2:M$333=$E98)+(Sheet1!M$2:M$333=$E99),"UNFILLED"))</f>
        <v>ZEIGLER, KIMBERLY</v>
      </c>
      <c r="K97" s="169" t="str" cm="1">
        <f t="array" ref="K97">IF(RIGHT(_xlfn._xlws.FILTER(Sheet1!$O$2:$O$333,(Sheet1!$O$2:$O$333=$E97)+(Sheet1!$O$2:$O$333=$E98)+(Sheet1!$O$2:$O$333=$E99),""),4)="POST",CONCATENATE(_xlfn._xlws.FILTER(Sheet1!$A$2:$A$333,(Sheet1!$O$2:$O$333=$E97)+(Sheet1!$O$2:$O$333=$E98)+(Sheet1!$O$2:$O$333=$E99),""),"-","POST"),_xlfn._xlws.FILTER(Sheet1!$A$2:$A$333,(Sheet1!$O$2:$O$333=$E97)+(Sheet1!$O$2:$O$333=$E98)+(Sheet1!$O$2:$O$333=$E99),"UNFILLED"))</f>
        <v>KEYS, MATTHEW</v>
      </c>
      <c r="L97" s="169" t="str" cm="1">
        <f t="array" ref="L97">IF(RIGHT(_xlfn._xlws.FILTER(Sheet1!$Q$2:$Q$333,(Sheet1!$Q$2:$Q$333=$E97)+(Sheet1!$Q$2:$Q$333=$E98)+(Sheet1!$Q$2:$Q$333=$E99),""),4)="POST",CONCATENATE(_xlfn._xlws.FILTER(Sheet1!$A$2:$A$333,(Sheet1!$Q$2:$Q$333=$E97)+(Sheet1!$Q$2:$Q$333=$E98)+(Sheet1!$Q$2:$Q$333=$E99),""),"-","POST"),_xlfn._xlws.FILTER(Sheet1!$A$2:$A$333,(Sheet1!$Q$2:$Q$333=$E97)+(Sheet1!$Q$2:$Q$333=$E98)+(Sheet1!$Q$2:$Q$333=$E99),"UNFILLED"))</f>
        <v>KEYS, MATTHEW</v>
      </c>
      <c r="M97" s="169" t="str" cm="1">
        <f t="array" ref="M97">IF(RIGHT(_xlfn._xlws.FILTER(Sheet1!$S$2:$S$333,(Sheet1!$S$2:$S$333=$E97)+(Sheet1!$S$2:$S$333=$E98)+(Sheet1!$S$2:$S$333=$E99),""),4)="POST",CONCATENATE(_xlfn._xlws.FILTER(Sheet1!$A$2:$A$333,(Sheet1!$S$2:$S$333=$E97)+(Sheet1!$S$2:$S$333=$E98)+(Sheet1!$S$2:$S$333=$E99),""),"-","POST"),_xlfn._xlws.FILTER(Sheet1!$A$2:$A$333,(Sheet1!$S$2:$S$333=$E97)+(Sheet1!$S$2:$S$333=$E98)+(Sheet1!$S$2:$S$333=$E99),"UNFILLED"))</f>
        <v>KEYS, MATTHEW</v>
      </c>
      <c r="W97" s="417"/>
      <c r="X97" s="170"/>
      <c r="Y97" s="170"/>
      <c r="Z97" s="170"/>
      <c r="AA97" s="170"/>
      <c r="AB97" s="170"/>
      <c r="AC97" s="170"/>
      <c r="AD97" s="170"/>
    </row>
    <row r="98" spans="1:30" ht="17.25" customHeight="1" x14ac:dyDescent="0.4">
      <c r="A98" s="153"/>
      <c r="C98" s="412"/>
      <c r="D98" s="413"/>
      <c r="E98" s="168" t="str">
        <f>_xlfn.CONCAT(E97,"-","POST")</f>
        <v>DH-2-POST</v>
      </c>
      <c r="F98" s="415"/>
      <c r="G98" s="171"/>
      <c r="H98" s="171"/>
      <c r="I98" s="171"/>
      <c r="J98" s="171"/>
      <c r="K98" s="171"/>
      <c r="L98" s="171"/>
      <c r="M98" s="171"/>
      <c r="W98" s="417"/>
      <c r="X98" s="167"/>
      <c r="Y98" s="172"/>
      <c r="Z98" s="172"/>
      <c r="AA98" s="172"/>
      <c r="AB98" s="172"/>
      <c r="AC98" s="172"/>
      <c r="AD98" s="172"/>
    </row>
    <row r="99" spans="1:30" ht="17.25" customHeight="1" x14ac:dyDescent="0.4">
      <c r="A99" s="153"/>
      <c r="C99" s="412"/>
      <c r="D99" s="413"/>
      <c r="E99" s="168" t="str">
        <f>_xlfn.CONCAT(E97,"-","PILOT")</f>
        <v>DH-2-PILOT</v>
      </c>
      <c r="F99" s="416"/>
      <c r="G99" s="173"/>
      <c r="H99" s="173"/>
      <c r="I99" s="173"/>
      <c r="J99" s="173"/>
      <c r="K99" s="173"/>
      <c r="L99" s="173"/>
      <c r="M99" s="173"/>
      <c r="W99" s="417"/>
      <c r="X99" s="172"/>
      <c r="Y99" s="172"/>
      <c r="Z99" s="172"/>
      <c r="AA99" s="172"/>
      <c r="AB99" s="172"/>
      <c r="AC99" s="172"/>
      <c r="AD99" s="172"/>
    </row>
    <row r="100" spans="1:30" ht="17.25" customHeight="1" x14ac:dyDescent="0.4">
      <c r="A100" s="153"/>
      <c r="C100" s="412"/>
      <c r="D100" s="413"/>
      <c r="E100" s="168" t="s">
        <v>122</v>
      </c>
      <c r="F100" s="414" t="s">
        <v>78</v>
      </c>
      <c r="G100" s="169" t="str" cm="1">
        <f t="array" ref="G100">IF(RIGHT(_xlfn._xlws.FILTER(Sheet1!$G$2:$G$333,(Sheet1!$G$2:$G$333=$E100)+(Sheet1!$G$2:$G$333=$E101)+(Sheet1!$G$2:$G$333=$E102),""),4)="POST",CONCATENATE(_xlfn._xlws.FILTER(Sheet1!$A$2:$A$333,(Sheet1!$G$2:$G$333=$E100)+(Sheet1!$G$2:$G$333=$E101)+(Sheet1!$G$2:$G$333=$E102),""),"-","POST"),_xlfn._xlws.FILTER(Sheet1!$A$2:$A$333,(Sheet1!$G$2:$G$333=$E100)+(Sheet1!$G$2:$G$333=$E101)+(Sheet1!$G$2:$G$333=$E102),"UNFILLED"))</f>
        <v>MARLOW, RACHAEL</v>
      </c>
      <c r="H100" s="169" t="str" cm="1">
        <f t="array" ref="H100">IF(RIGHT(_xlfn._xlws.FILTER(Sheet1!$I$2:$I$333,(Sheet1!$I$2:$I$333=$E100)+(Sheet1!$I$2:$I$333=$E101)+(Sheet1!$I$2:$I$333=$E102),""),4)="POST",CONCATENATE(_xlfn._xlws.FILTER(Sheet1!$A$2:$A$333,(Sheet1!$I$2:$I$333=$E100)+(Sheet1!$I$2:$I$333=$E101)+(Sheet1!$I$2:$I$333=$E102),""),"-","POST"),_xlfn._xlws.FILTER(Sheet1!$A$2:$A$333,(Sheet1!$I$2:$I$333=$E100)+(Sheet1!$I$2:$I$333=$E101)+(Sheet1!$I$2:$I$333=$E102),"UNFILLED"))</f>
        <v>MARLOW, RACHAEL</v>
      </c>
      <c r="I100" s="169" t="str" cm="1">
        <f t="array" ref="I100">IF(RIGHT(_xlfn._xlws.FILTER(Sheet1!$K$2:$K$333,(Sheet1!$K$2:$K$333=$E100)+(Sheet1!$K$2:$K$333=$E101)+(Sheet1!$K$2:$K$333=$E102),""),4)="POST",CONCATENATE(_xlfn._xlws.FILTER(Sheet1!$A$2:$A$333,(Sheet1!$K$2:$K$333=$E100)+(Sheet1!$K$2:$K$333=$E101)+(Sheet1!$K$2:$K$333=$E102),""),"-","POST"),_xlfn._xlws.FILTER(Sheet1!$A$2:$A$333,(Sheet1!$K$2:$K$333=$E100)+(Sheet1!$K$2:$K$333=$E101)+(Sheet1!$K$2:$K$333=$E102),"UNFILLED"))</f>
        <v>REEVES, JULIAN</v>
      </c>
      <c r="J100" s="169" t="str" cm="1">
        <f t="array" ref="J100">IF(RIGHT(_xlfn._xlws.FILTER(Sheet1!M$2:M$333,(Sheet1!M$2:M$333=$E100)+(Sheet1!M$2:M$333=$E101)+(Sheet1!M$2:M$333=$E102),""),4)="POST",CONCATENATE(_xlfn._xlws.FILTER(Sheet1!$A$2:$A$333,(Sheet1!M$2:M$333=$E100)+(Sheet1!M$2:M$333=$E101)+(Sheet1!M$2:M$333=$E102),""),"-","POST"),_xlfn._xlws.FILTER(Sheet1!$A$2:$A$333,(Sheet1!M$2:M$333=$E100)+(Sheet1!M$2:M$333=$E101)+(Sheet1!M$2:M$333=$E102),"UNFILLED"))</f>
        <v>PIFER, BRIAN</v>
      </c>
      <c r="K100" s="169" t="str" cm="1">
        <f t="array" ref="K100">IF(RIGHT(_xlfn._xlws.FILTER(Sheet1!$O$2:$O$333,(Sheet1!$O$2:$O$333=$E100)+(Sheet1!$O$2:$O$333=$E101)+(Sheet1!$O$2:$O$333=$E102),""),4)="POST",CONCATENATE(_xlfn._xlws.FILTER(Sheet1!$A$2:$A$333,(Sheet1!$O$2:$O$333=$E100)+(Sheet1!$O$2:$O$333=$E101)+(Sheet1!$O$2:$O$333=$E102),""),"-","POST"),_xlfn._xlws.FILTER(Sheet1!$A$2:$A$333,(Sheet1!$O$2:$O$333=$E100)+(Sheet1!$O$2:$O$333=$E101)+(Sheet1!$O$2:$O$333=$E102),"UNFILLED"))</f>
        <v>PIFER, BRIAN</v>
      </c>
      <c r="L100" s="169" t="str" cm="1">
        <f t="array" ref="L100">IF(RIGHT(_xlfn._xlws.FILTER(Sheet1!$Q$2:$Q$333,(Sheet1!$Q$2:$Q$333=$E100)+(Sheet1!$Q$2:$Q$333=$E101)+(Sheet1!$Q$2:$Q$333=$E102),""),4)="POST",CONCATENATE(_xlfn._xlws.FILTER(Sheet1!$A$2:$A$333,(Sheet1!$Q$2:$Q$333=$E100)+(Sheet1!$Q$2:$Q$333=$E101)+(Sheet1!$Q$2:$Q$333=$E102),""),"-","POST"),_xlfn._xlws.FILTER(Sheet1!$A$2:$A$333,(Sheet1!$Q$2:$Q$333=$E100)+(Sheet1!$Q$2:$Q$333=$E101)+(Sheet1!$Q$2:$Q$333=$E102),"UNFILLED"))</f>
        <v>MARLOW, RACHAEL</v>
      </c>
      <c r="M100" s="169" t="str" cm="1">
        <f t="array" ref="M100">IF(RIGHT(_xlfn._xlws.FILTER(Sheet1!$S$2:$S$333,(Sheet1!$S$2:$S$333=$E100)+(Sheet1!$S$2:$S$333=$E101)+(Sheet1!$S$2:$S$333=$E102),""),4)="POST",CONCATENATE(_xlfn._xlws.FILTER(Sheet1!$A$2:$A$333,(Sheet1!$S$2:$S$333=$E100)+(Sheet1!$S$2:$S$333=$E101)+(Sheet1!$S$2:$S$333=$E102),""),"-","POST"),_xlfn._xlws.FILTER(Sheet1!$A$2:$A$333,(Sheet1!$S$2:$S$333=$E100)+(Sheet1!$S$2:$S$333=$E101)+(Sheet1!$S$2:$S$333=$E102),"UNFILLED"))</f>
        <v>MARLOW, RACHAEL</v>
      </c>
      <c r="W100" s="417"/>
      <c r="X100" s="170"/>
      <c r="Y100" s="170"/>
      <c r="Z100" s="170"/>
      <c r="AA100" s="170"/>
      <c r="AB100" s="170"/>
      <c r="AC100" s="170"/>
      <c r="AD100" s="170"/>
    </row>
    <row r="101" spans="1:30" ht="17.25" customHeight="1" x14ac:dyDescent="0.4">
      <c r="A101" s="153"/>
      <c r="C101" s="412"/>
      <c r="D101" s="413"/>
      <c r="E101" s="168" t="str">
        <f>_xlfn.CONCAT(E100,"-","POST")</f>
        <v>AL-2-POST</v>
      </c>
      <c r="F101" s="415"/>
      <c r="G101" s="171"/>
      <c r="H101" s="171"/>
      <c r="I101" s="171"/>
      <c r="J101" s="171"/>
      <c r="K101" s="171"/>
      <c r="L101" s="171"/>
      <c r="M101" s="171"/>
      <c r="W101" s="417"/>
      <c r="X101" s="190"/>
      <c r="Y101" s="172"/>
      <c r="Z101" s="172"/>
      <c r="AA101" s="172"/>
      <c r="AB101" s="172"/>
      <c r="AC101" s="172"/>
      <c r="AD101" s="172"/>
    </row>
    <row r="102" spans="1:30" ht="17.25" customHeight="1" x14ac:dyDescent="0.4">
      <c r="A102" s="153"/>
      <c r="C102" s="412"/>
      <c r="D102" s="413"/>
      <c r="E102" s="168" t="str">
        <f>_xlfn.CONCAT(E100,"-","PILOT")</f>
        <v>AL-2-PILOT</v>
      </c>
      <c r="F102" s="416"/>
      <c r="G102" s="173"/>
      <c r="H102" s="173"/>
      <c r="I102" s="173"/>
      <c r="J102" s="173"/>
      <c r="K102" s="173"/>
      <c r="L102" s="173"/>
      <c r="M102" s="173"/>
      <c r="W102" s="417"/>
      <c r="X102" s="190"/>
      <c r="Y102" s="172"/>
      <c r="Z102" s="172"/>
      <c r="AA102" s="172"/>
      <c r="AB102" s="172"/>
      <c r="AC102" s="172"/>
      <c r="AD102" s="172"/>
    </row>
    <row r="103" spans="1:30" ht="17.25" customHeight="1" x14ac:dyDescent="0.4">
      <c r="A103" s="153"/>
      <c r="C103" s="412"/>
      <c r="D103" s="413"/>
      <c r="E103" s="168" t="s">
        <v>123</v>
      </c>
      <c r="F103" s="414" t="s">
        <v>80</v>
      </c>
      <c r="G103" s="169" t="str" cm="1">
        <f t="array" ref="G103">IF(RIGHT(_xlfn._xlws.FILTER(Sheet1!$G$2:$G$333,(Sheet1!$G$2:$G$333=$E103)+(Sheet1!$G$2:$G$333=$E104)+(Sheet1!$G$2:$G$333=$E105),""),4)="POST",CONCATENATE(_xlfn._xlws.FILTER(Sheet1!$A$2:$A$333,(Sheet1!$G$2:$G$333=$E103)+(Sheet1!$G$2:$G$333=$E104)+(Sheet1!$G$2:$G$333=$E105),""),"-","POST"),_xlfn._xlws.FILTER(Sheet1!$A$2:$A$333,(Sheet1!$G$2:$G$333=$E103)+(Sheet1!$G$2:$G$333=$E104)+(Sheet1!$G$2:$G$333=$E105),"UNFILLED"))</f>
        <v>HARDY, JASMINE</v>
      </c>
      <c r="H103" s="169" t="str" cm="1">
        <f t="array" ref="H103">IF(RIGHT(_xlfn._xlws.FILTER(Sheet1!$I$2:$I$333,(Sheet1!$I$2:$I$333=$E103)+(Sheet1!$I$2:$I$333=$E104)+(Sheet1!$I$2:$I$333=$E105),""),4)="POST",CONCATENATE(_xlfn._xlws.FILTER(Sheet1!$A$2:$A$333,(Sheet1!$I$2:$I$333=$E103)+(Sheet1!$I$2:$I$333=$E104)+(Sheet1!$I$2:$I$333=$E105),""),"-","POST"),_xlfn._xlws.FILTER(Sheet1!$A$2:$A$333,(Sheet1!$I$2:$I$333=$E103)+(Sheet1!$I$2:$I$333=$E104)+(Sheet1!$I$2:$I$333=$E105),"UNFILLED"))</f>
        <v>HARDY, JASMINE</v>
      </c>
      <c r="I103" s="169" t="str" cm="1">
        <f t="array" ref="I103">IF(RIGHT(_xlfn._xlws.FILTER(Sheet1!$K$2:$K$333,(Sheet1!$K$2:$K$333=$E103)+(Sheet1!$K$2:$K$333=$E104)+(Sheet1!$K$2:$K$333=$E105),""),4)="POST",CONCATENATE(_xlfn._xlws.FILTER(Sheet1!$A$2:$A$333,(Sheet1!$K$2:$K$333=$E103)+(Sheet1!$K$2:$K$333=$E104)+(Sheet1!$K$2:$K$333=$E105),""),"-","POST"),_xlfn._xlws.FILTER(Sheet1!$A$2:$A$333,(Sheet1!$K$2:$K$333=$E103)+(Sheet1!$K$2:$K$333=$E104)+(Sheet1!$K$2:$K$333=$E105),"UNFILLED"))</f>
        <v>MARLOW, RACHAEL</v>
      </c>
      <c r="J103" s="169" t="str" cm="1">
        <f t="array" ref="J103">IF(RIGHT(_xlfn._xlws.FILTER(Sheet1!M$2:M$333,(Sheet1!M$2:M$333=$E103)+(Sheet1!M$2:M$333=$E104)+(Sheet1!M$2:M$333=$E105),""),4)="POST",CONCATENATE(_xlfn._xlws.FILTER(Sheet1!$A$2:$A$333,(Sheet1!M$2:M$333=$E103)+(Sheet1!M$2:M$333=$E104)+(Sheet1!M$2:M$333=$E105),""),"-","POST"),_xlfn._xlws.FILTER(Sheet1!$A$2:$A$333,(Sheet1!M$2:M$333=$E103)+(Sheet1!M$2:M$333=$E104)+(Sheet1!M$2:M$333=$E105),"UNFILLED"))</f>
        <v>MARLOW, RACHAEL</v>
      </c>
      <c r="K103" s="169" t="str" cm="1">
        <f t="array" ref="K103">IF(RIGHT(_xlfn._xlws.FILTER(Sheet1!$O$2:$O$333,(Sheet1!$O$2:$O$333=$E103)+(Sheet1!$O$2:$O$333=$E104)+(Sheet1!$O$2:$O$333=$E105),""),4)="POST",CONCATENATE(_xlfn._xlws.FILTER(Sheet1!$A$2:$A$333,(Sheet1!$O$2:$O$333=$E103)+(Sheet1!$O$2:$O$333=$E104)+(Sheet1!$O$2:$O$333=$E105),""),"-","POST"),_xlfn._xlws.FILTER(Sheet1!$A$2:$A$333,(Sheet1!$O$2:$O$333=$E103)+(Sheet1!$O$2:$O$333=$E104)+(Sheet1!$O$2:$O$333=$E105),"UNFILLED"))</f>
        <v>HARDY, JASMINE</v>
      </c>
      <c r="L103" s="169" t="str" cm="1">
        <f t="array" ref="L103">IF(RIGHT(_xlfn._xlws.FILTER(Sheet1!$Q$2:$Q$333,(Sheet1!$Q$2:$Q$333=$E103)+(Sheet1!$Q$2:$Q$333=$E104)+(Sheet1!$Q$2:$Q$333=$E105),""),4)="POST",CONCATENATE(_xlfn._xlws.FILTER(Sheet1!$A$2:$A$333,(Sheet1!$Q$2:$Q$333=$E103)+(Sheet1!$Q$2:$Q$333=$E104)+(Sheet1!$Q$2:$Q$333=$E105),""),"-","POST"),_xlfn._xlws.FILTER(Sheet1!$A$2:$A$333,(Sheet1!$Q$2:$Q$333=$E103)+(Sheet1!$Q$2:$Q$333=$E104)+(Sheet1!$Q$2:$Q$333=$E105),"UNFILLED"))</f>
        <v>HARDY, JASMINE</v>
      </c>
      <c r="M103" s="169" t="str" cm="1">
        <f t="array" ref="M103">IF(RIGHT(_xlfn._xlws.FILTER(Sheet1!$S$2:$S$333,(Sheet1!$S$2:$S$333=$E103)+(Sheet1!$S$2:$S$333=$E104)+(Sheet1!$S$2:$S$333=$E105),""),4)="POST",CONCATENATE(_xlfn._xlws.FILTER(Sheet1!$A$2:$A$333,(Sheet1!$S$2:$S$333=$E103)+(Sheet1!$S$2:$S$333=$E104)+(Sheet1!$S$2:$S$333=$E105),""),"-","POST"),_xlfn._xlws.FILTER(Sheet1!$A$2:$A$333,(Sheet1!$S$2:$S$333=$E103)+(Sheet1!$S$2:$S$333=$E104)+(Sheet1!$S$2:$S$333=$E105),"UNFILLED"))</f>
        <v>HARDY, JASMINE</v>
      </c>
      <c r="W103" s="417"/>
      <c r="X103" s="170"/>
      <c r="Y103" s="170"/>
      <c r="Z103" s="170"/>
      <c r="AA103" s="170"/>
      <c r="AB103" s="170"/>
      <c r="AC103" s="170"/>
      <c r="AD103" s="170"/>
    </row>
    <row r="104" spans="1:30" ht="17.25" customHeight="1" x14ac:dyDescent="0.4">
      <c r="A104" s="153"/>
      <c r="C104" s="412"/>
      <c r="D104" s="413"/>
      <c r="E104" s="168" t="str">
        <f>_xlfn.CONCAT(E103,"-","POST")</f>
        <v>CT-2-POST</v>
      </c>
      <c r="F104" s="415"/>
      <c r="G104" s="171"/>
      <c r="H104" s="171"/>
      <c r="I104" s="171"/>
      <c r="J104" s="171"/>
      <c r="K104" s="171"/>
      <c r="L104" s="171"/>
      <c r="M104" s="171"/>
      <c r="W104" s="417"/>
      <c r="X104" s="172"/>
      <c r="Y104" s="172"/>
      <c r="Z104" s="172"/>
      <c r="AA104" s="172"/>
      <c r="AB104" s="172"/>
      <c r="AC104" s="172"/>
      <c r="AD104" s="172"/>
    </row>
    <row r="105" spans="1:30" ht="17.25" customHeight="1" x14ac:dyDescent="0.4">
      <c r="A105" s="153"/>
      <c r="C105" s="412"/>
      <c r="D105" s="413"/>
      <c r="E105" s="168" t="str">
        <f>_xlfn.CONCAT(E103,"-","PILOT")</f>
        <v>CT-2-PILOT</v>
      </c>
      <c r="F105" s="416"/>
      <c r="G105" s="173"/>
      <c r="H105" s="173"/>
      <c r="I105" s="173"/>
      <c r="J105" s="173"/>
      <c r="K105" s="173"/>
      <c r="L105" s="173"/>
      <c r="M105" s="173"/>
      <c r="W105" s="417"/>
      <c r="X105" s="172"/>
      <c r="Y105" s="172"/>
      <c r="Z105" s="172"/>
      <c r="AA105" s="172"/>
      <c r="AB105" s="172"/>
      <c r="AC105" s="172"/>
      <c r="AD105" s="172"/>
    </row>
    <row r="106" spans="1:30" ht="17.25" customHeight="1" x14ac:dyDescent="0.4">
      <c r="A106" s="153"/>
      <c r="C106" s="412"/>
      <c r="D106" s="413"/>
      <c r="E106" s="168" t="s">
        <v>124</v>
      </c>
      <c r="F106" s="414" t="s">
        <v>82</v>
      </c>
      <c r="G106" s="169" t="str" cm="1">
        <f t="array" ref="G106">IF(RIGHT(_xlfn._xlws.FILTER(Sheet1!$G$2:$G$333,(Sheet1!$G$2:$G$333=$E106)+(Sheet1!$G$2:$G$333=$E107)+(Sheet1!$G$2:$G$333=$E108),""),4)="POST",CONCATENATE(_xlfn._xlws.FILTER(Sheet1!$A$2:$A$333,(Sheet1!$G$2:$G$333=$E106)+(Sheet1!$G$2:$G$333=$E107)+(Sheet1!$G$2:$G$333=$E108),""),"-","POST"),_xlfn._xlws.FILTER(Sheet1!$A$2:$A$333,(Sheet1!$G$2:$G$333=$E106)+(Sheet1!$G$2:$G$333=$E107)+(Sheet1!$G$2:$G$333=$E108),"UNFILLED"))</f>
        <v>TEKLU, BETH</v>
      </c>
      <c r="H106" s="169" t="str" cm="1">
        <f t="array" ref="H106">IF(RIGHT(_xlfn._xlws.FILTER(Sheet1!$I$2:$I$333,(Sheet1!$I$2:$I$333=$E106)+(Sheet1!$I$2:$I$333=$E107)+(Sheet1!$I$2:$I$333=$E108),""),4)="POST",CONCATENATE(_xlfn._xlws.FILTER(Sheet1!$A$2:$A$333,(Sheet1!$I$2:$I$333=$E106)+(Sheet1!$I$2:$I$333=$E107)+(Sheet1!$I$2:$I$333=$E108),""),"-","POST"),_xlfn._xlws.FILTER(Sheet1!$A$2:$A$333,(Sheet1!$I$2:$I$333=$E106)+(Sheet1!$I$2:$I$333=$E107)+(Sheet1!$I$2:$I$333=$E108),"UNFILLED"))</f>
        <v>MALCOLM, JOSH</v>
      </c>
      <c r="I106" s="169" t="str" cm="1">
        <f t="array" ref="I106">IF(RIGHT(_xlfn._xlws.FILTER(Sheet1!$K$2:$K$333,(Sheet1!$K$2:$K$333=$E106)+(Sheet1!$K$2:$K$333=$E107)+(Sheet1!$K$2:$K$333=$E108),""),4)="POST",CONCATENATE(_xlfn._xlws.FILTER(Sheet1!$A$2:$A$333,(Sheet1!$K$2:$K$333=$E106)+(Sheet1!$K$2:$K$333=$E107)+(Sheet1!$K$2:$K$333=$E108),""),"-","POST"),_xlfn._xlws.FILTER(Sheet1!$A$2:$A$333,(Sheet1!$K$2:$K$333=$E106)+(Sheet1!$K$2:$K$333=$E107)+(Sheet1!$K$2:$K$333=$E108),"UNFILLED"))</f>
        <v>MALCOLM, JOSH</v>
      </c>
      <c r="J106" s="169" t="str" cm="1">
        <f t="array" ref="J106">IF(RIGHT(_xlfn._xlws.FILTER(Sheet1!M$2:M$333,(Sheet1!M$2:M$333=$E106)+(Sheet1!M$2:M$333=$E107)+(Sheet1!M$2:M$333=$E108),""),4)="POST",CONCATENATE(_xlfn._xlws.FILTER(Sheet1!$A$2:$A$333,(Sheet1!M$2:M$333=$E106)+(Sheet1!M$2:M$333=$E107)+(Sheet1!M$2:M$333=$E108),""),"-","POST"),_xlfn._xlws.FILTER(Sheet1!$A$2:$A$333,(Sheet1!M$2:M$333=$E106)+(Sheet1!M$2:M$333=$E107)+(Sheet1!M$2:M$333=$E108),"UNFILLED"))</f>
        <v>CAREY, JON</v>
      </c>
      <c r="K106" s="169" t="str" cm="1">
        <f t="array" ref="K106">IF(RIGHT(_xlfn._xlws.FILTER(Sheet1!$O$2:$O$333,(Sheet1!$O$2:$O$333=$E106)+(Sheet1!$O$2:$O$333=$E107)+(Sheet1!$O$2:$O$333=$E108),""),4)="POST",CONCATENATE(_xlfn._xlws.FILTER(Sheet1!$A$2:$A$333,(Sheet1!$O$2:$O$333=$E106)+(Sheet1!$O$2:$O$333=$E107)+(Sheet1!$O$2:$O$333=$E108),""),"-","POST"),_xlfn._xlws.FILTER(Sheet1!$A$2:$A$333,(Sheet1!$O$2:$O$333=$E106)+(Sheet1!$O$2:$O$333=$E107)+(Sheet1!$O$2:$O$333=$E108),"UNFILLED"))</f>
        <v>THOMAS, FRANK</v>
      </c>
      <c r="L106" s="169" t="str" cm="1">
        <f t="array" ref="L106">IF(RIGHT(_xlfn._xlws.FILTER(Sheet1!$Q$2:$Q$333,(Sheet1!$Q$2:$Q$333=$E106)+(Sheet1!$Q$2:$Q$333=$E107)+(Sheet1!$Q$2:$Q$333=$E108),""),4)="POST",CONCATENATE(_xlfn._xlws.FILTER(Sheet1!$A$2:$A$333,(Sheet1!$Q$2:$Q$333=$E106)+(Sheet1!$Q$2:$Q$333=$E107)+(Sheet1!$Q$2:$Q$333=$E108),""),"-","POST"),_xlfn._xlws.FILTER(Sheet1!$A$2:$A$333,(Sheet1!$Q$2:$Q$333=$E106)+(Sheet1!$Q$2:$Q$333=$E107)+(Sheet1!$Q$2:$Q$333=$E108),"UNFILLED"))</f>
        <v>THOMAS, FRANK</v>
      </c>
      <c r="M106" s="169" t="str" cm="1">
        <f t="array" ref="M106">IF(RIGHT(_xlfn._xlws.FILTER(Sheet1!$S$2:$S$333,(Sheet1!$S$2:$S$333=$E106)+(Sheet1!$S$2:$S$333=$E107)+(Sheet1!$S$2:$S$333=$E108),""),4)="POST",CONCATENATE(_xlfn._xlws.FILTER(Sheet1!$A$2:$A$333,(Sheet1!$S$2:$S$333=$E106)+(Sheet1!$S$2:$S$333=$E107)+(Sheet1!$S$2:$S$333=$E108),""),"-","POST"),_xlfn._xlws.FILTER(Sheet1!$A$2:$A$333,(Sheet1!$S$2:$S$333=$E106)+(Sheet1!$S$2:$S$333=$E107)+(Sheet1!$S$2:$S$333=$E108),"UNFILLED"))</f>
        <v>THOMAS, FRANK</v>
      </c>
      <c r="W106" s="417"/>
      <c r="X106" s="170"/>
      <c r="Y106" s="170"/>
      <c r="Z106" s="170"/>
      <c r="AA106" s="170"/>
      <c r="AB106" s="170"/>
      <c r="AC106" s="170"/>
      <c r="AD106" s="170"/>
    </row>
    <row r="107" spans="1:30" ht="17.25" customHeight="1" x14ac:dyDescent="0.4">
      <c r="A107" s="153"/>
      <c r="C107" s="412"/>
      <c r="D107" s="413"/>
      <c r="E107" s="168" t="str">
        <f>_xlfn.CONCAT(E106,"-","POST")</f>
        <v>PE-2-POST</v>
      </c>
      <c r="F107" s="415"/>
      <c r="G107" s="171"/>
      <c r="H107" s="171"/>
      <c r="I107" s="171"/>
      <c r="J107" s="171"/>
      <c r="K107" s="171"/>
      <c r="L107" s="171"/>
      <c r="M107" s="171"/>
      <c r="W107" s="417"/>
      <c r="X107" s="172"/>
      <c r="Y107" s="172"/>
      <c r="Z107" s="172"/>
      <c r="AA107" s="172"/>
      <c r="AB107" s="172"/>
      <c r="AC107" s="172"/>
      <c r="AD107" s="172"/>
    </row>
    <row r="108" spans="1:30" ht="17.25" customHeight="1" x14ac:dyDescent="0.4">
      <c r="A108" s="153"/>
      <c r="C108" s="412"/>
      <c r="D108" s="413"/>
      <c r="E108" s="168" t="str">
        <f>_xlfn.CONCAT(E106,"-","PILOT")</f>
        <v>PE-2-PILOT</v>
      </c>
      <c r="F108" s="416"/>
      <c r="G108" s="173"/>
      <c r="H108" s="173"/>
      <c r="I108" s="173"/>
      <c r="J108" s="173"/>
      <c r="K108" s="173"/>
      <c r="L108" s="173"/>
      <c r="M108" s="173"/>
      <c r="W108" s="417"/>
      <c r="X108" s="172"/>
      <c r="Y108" s="172"/>
      <c r="Z108" s="172"/>
      <c r="AA108" s="172"/>
      <c r="AB108" s="172"/>
      <c r="AC108" s="172"/>
      <c r="AD108" s="172"/>
    </row>
    <row r="109" spans="1:30" ht="17.25" customHeight="1" x14ac:dyDescent="0.4">
      <c r="A109" s="153"/>
      <c r="C109" s="412"/>
      <c r="D109" s="413"/>
      <c r="E109" s="168" t="s">
        <v>125</v>
      </c>
      <c r="F109" s="414" t="s">
        <v>84</v>
      </c>
      <c r="G109" s="169" t="str" cm="1">
        <f t="array" ref="G109">IF(RIGHT(_xlfn._xlws.FILTER(Sheet1!$G$2:$G$333,(Sheet1!$G$2:$G$333=$E109)+(Sheet1!$G$2:$G$333=$E110)+(Sheet1!$G$2:$G$333=$E111),""),4)="POST",CONCATENATE(_xlfn._xlws.FILTER(Sheet1!$A$2:$A$333,(Sheet1!$G$2:$G$333=$E109)+(Sheet1!$G$2:$G$333=$E110)+(Sheet1!$G$2:$G$333=$E111),""),"-","POST"),_xlfn._xlws.FILTER(Sheet1!$A$2:$A$333,(Sheet1!$G$2:$G$333=$E109)+(Sheet1!$G$2:$G$333=$E110)+(Sheet1!$G$2:$G$333=$E111),"UNFILLED"))</f>
        <v>DICK, KAYLA</v>
      </c>
      <c r="H109" s="169" t="str" cm="1">
        <f t="array" ref="H109">IF(RIGHT(_xlfn._xlws.FILTER(Sheet1!$I$2:$I$333,(Sheet1!$I$2:$I$333=$E109)+(Sheet1!$I$2:$I$333=$E110)+(Sheet1!$I$2:$I$333=$E111),""),4)="POST",CONCATENATE(_xlfn._xlws.FILTER(Sheet1!$A$2:$A$333,(Sheet1!$I$2:$I$333=$E109)+(Sheet1!$I$2:$I$333=$E110)+(Sheet1!$I$2:$I$333=$E111),""),"-","POST"),_xlfn._xlws.FILTER(Sheet1!$A$2:$A$333,(Sheet1!$I$2:$I$333=$E109)+(Sheet1!$I$2:$I$333=$E110)+(Sheet1!$I$2:$I$333=$E111),"UNFILLED"))</f>
        <v>DICK, KAYLA</v>
      </c>
      <c r="I109" s="169" t="str" cm="1">
        <f t="array" ref="I109">IF(RIGHT(_xlfn._xlws.FILTER(Sheet1!$K$2:$K$333,(Sheet1!$K$2:$K$333=$E109)+(Sheet1!$K$2:$K$333=$E110)+(Sheet1!$K$2:$K$333=$E111),""),4)="POST",CONCATENATE(_xlfn._xlws.FILTER(Sheet1!$A$2:$A$333,(Sheet1!$K$2:$K$333=$E109)+(Sheet1!$K$2:$K$333=$E110)+(Sheet1!$K$2:$K$333=$E111),""),"-","POST"),_xlfn._xlws.FILTER(Sheet1!$A$2:$A$333,(Sheet1!$K$2:$K$333=$E109)+(Sheet1!$K$2:$K$333=$E110)+(Sheet1!$K$2:$K$333=$E111),"UNFILLED"))</f>
        <v>DICK, KAYLA</v>
      </c>
      <c r="J109" s="169" t="str" cm="1">
        <f t="array" ref="J109">IF(RIGHT(_xlfn._xlws.FILTER(Sheet1!M$2:M$333,(Sheet1!M$2:M$333=$E109)+(Sheet1!M$2:M$333=$E110)+(Sheet1!M$2:M$333=$E111),""),4)="POST",CONCATENATE(_xlfn._xlws.FILTER(Sheet1!$A$2:$A$333,(Sheet1!M$2:M$333=$E109)+(Sheet1!M$2:M$333=$E110)+(Sheet1!M$2:M$333=$E111),""),"-","POST"),_xlfn._xlws.FILTER(Sheet1!$A$2:$A$333,(Sheet1!M$2:M$333=$E109)+(Sheet1!M$2:M$333=$E110)+(Sheet1!M$2:M$333=$E111),"UNFILLED"))</f>
        <v>DICK, KAYLA</v>
      </c>
      <c r="K109" s="169" t="str" cm="1">
        <f t="array" ref="K109">IF(RIGHT(_xlfn._xlws.FILTER(Sheet1!$O$2:$O$333,(Sheet1!$O$2:$O$333=$E109)+(Sheet1!$O$2:$O$333=$E110)+(Sheet1!$O$2:$O$333=$E111),""),4)="POST",CONCATENATE(_xlfn._xlws.FILTER(Sheet1!$A$2:$A$333,(Sheet1!$O$2:$O$333=$E109)+(Sheet1!$O$2:$O$333=$E110)+(Sheet1!$O$2:$O$333=$E111),""),"-","POST"),_xlfn._xlws.FILTER(Sheet1!$A$2:$A$333,(Sheet1!$O$2:$O$333=$E109)+(Sheet1!$O$2:$O$333=$E110)+(Sheet1!$O$2:$O$333=$E111),"UNFILLED"))</f>
        <v>HARP, KEENAN</v>
      </c>
      <c r="L109" s="169" t="str" cm="1">
        <f t="array" ref="L109">IF(RIGHT(_xlfn._xlws.FILTER(Sheet1!$Q$2:$Q$333,(Sheet1!$Q$2:$Q$333=$E109)+(Sheet1!$Q$2:$Q$333=$E110)+(Sheet1!$Q$2:$Q$333=$E111),""),4)="POST",CONCATENATE(_xlfn._xlws.FILTER(Sheet1!$A$2:$A$333,(Sheet1!$Q$2:$Q$333=$E109)+(Sheet1!$Q$2:$Q$333=$E110)+(Sheet1!$Q$2:$Q$333=$E111),""),"-","POST"),_xlfn._xlws.FILTER(Sheet1!$A$2:$A$333,(Sheet1!$Q$2:$Q$333=$E109)+(Sheet1!$Q$2:$Q$333=$E110)+(Sheet1!$Q$2:$Q$333=$E111),"UNFILLED"))</f>
        <v>HARP, KEENAN</v>
      </c>
      <c r="M109" s="169" t="str" cm="1">
        <f t="array" ref="M109">IF(RIGHT(_xlfn._xlws.FILTER(Sheet1!$S$2:$S$333,(Sheet1!$S$2:$S$333=$E109)+(Sheet1!$S$2:$S$333=$E110)+(Sheet1!$S$2:$S$333=$E111),""),4)="POST",CONCATENATE(_xlfn._xlws.FILTER(Sheet1!$A$2:$A$333,(Sheet1!$S$2:$S$333=$E109)+(Sheet1!$S$2:$S$333=$E110)+(Sheet1!$S$2:$S$333=$E111),""),"-","POST"),_xlfn._xlws.FILTER(Sheet1!$A$2:$A$333,(Sheet1!$S$2:$S$333=$E109)+(Sheet1!$S$2:$S$333=$E110)+(Sheet1!$S$2:$S$333=$E111),"UNFILLED"))</f>
        <v>DICK, KAYLA</v>
      </c>
      <c r="W109" s="417"/>
      <c r="X109" s="170"/>
      <c r="Y109" s="170"/>
      <c r="Z109" s="170"/>
      <c r="AA109" s="170"/>
      <c r="AB109" s="170"/>
      <c r="AC109" s="170"/>
      <c r="AD109" s="170"/>
    </row>
    <row r="110" spans="1:30" ht="17.25" customHeight="1" x14ac:dyDescent="0.4">
      <c r="A110" s="153"/>
      <c r="C110" s="412"/>
      <c r="D110" s="413"/>
      <c r="E110" s="168" t="str">
        <f>_xlfn.CONCAT(E109,"-","POST")</f>
        <v>MV-2-POST</v>
      </c>
      <c r="F110" s="415"/>
      <c r="G110" s="171"/>
      <c r="H110" s="171"/>
      <c r="I110" s="171"/>
      <c r="J110" s="171"/>
      <c r="K110" s="171"/>
      <c r="L110" s="171"/>
      <c r="M110" s="171"/>
      <c r="W110" s="417"/>
      <c r="X110" s="172"/>
      <c r="Y110" s="172"/>
      <c r="Z110" s="172"/>
      <c r="AA110" s="172"/>
      <c r="AB110" s="172"/>
      <c r="AC110" s="172"/>
      <c r="AD110" s="172"/>
    </row>
    <row r="111" spans="1:30" ht="17.25" customHeight="1" x14ac:dyDescent="0.4">
      <c r="A111" s="153"/>
      <c r="C111" s="412"/>
      <c r="D111" s="413"/>
      <c r="E111" s="168" t="str">
        <f>_xlfn.CONCAT(E109,"-","PILOT")</f>
        <v>MV-2-PILOT</v>
      </c>
      <c r="F111" s="416"/>
      <c r="G111" s="173"/>
      <c r="H111" s="173"/>
      <c r="I111" s="173"/>
      <c r="J111" s="173"/>
      <c r="K111" s="173"/>
      <c r="L111" s="173"/>
      <c r="M111" s="173"/>
      <c r="W111" s="417"/>
      <c r="X111" s="172"/>
      <c r="Y111" s="172"/>
      <c r="Z111" s="172"/>
      <c r="AA111" s="172"/>
      <c r="AB111" s="172"/>
      <c r="AC111" s="172"/>
      <c r="AD111" s="172"/>
    </row>
    <row r="112" spans="1:30" ht="17.25" customHeight="1" x14ac:dyDescent="0.4">
      <c r="A112" s="153"/>
      <c r="C112" s="412"/>
      <c r="D112" s="413"/>
      <c r="E112" s="168" t="s">
        <v>126</v>
      </c>
      <c r="F112" s="414" t="s">
        <v>86</v>
      </c>
      <c r="G112" s="169" t="str" cm="1">
        <f t="array" ref="G112">IF(RIGHT(_xlfn._xlws.FILTER(Sheet1!$G$2:$G$333,(Sheet1!$G$2:$G$333=$E112)+(Sheet1!$G$2:$G$333=$E113)+(Sheet1!$G$2:$G$333=$E114),""),4)="POST",CONCATENATE(_xlfn._xlws.FILTER(Sheet1!$A$2:$A$333,(Sheet1!$G$2:$G$333=$E112)+(Sheet1!$G$2:$G$333=$E113)+(Sheet1!$G$2:$G$333=$E114),""),"-","POST"),_xlfn._xlws.FILTER(Sheet1!$A$2:$A$333,(Sheet1!$G$2:$G$333=$E112)+(Sheet1!$G$2:$G$333=$E113)+(Sheet1!$G$2:$G$333=$E114),"UNFILLED"))</f>
        <v>HICKEY, LINDA</v>
      </c>
      <c r="H112" s="169" t="str" cm="1">
        <f t="array" ref="H112">IF(RIGHT(_xlfn._xlws.FILTER(Sheet1!$I$2:$I$333,(Sheet1!$I$2:$I$333=$E112)+(Sheet1!$I$2:$I$333=$E113)+(Sheet1!$I$2:$I$333=$E114),""),4)="POST",CONCATENATE(_xlfn._xlws.FILTER(Sheet1!$A$2:$A$333,(Sheet1!$I$2:$I$333=$E112)+(Sheet1!$I$2:$I$333=$E113)+(Sheet1!$I$2:$I$333=$E114),""),"-","POST"),_xlfn._xlws.FILTER(Sheet1!$A$2:$A$333,(Sheet1!$I$2:$I$333=$E112)+(Sheet1!$I$2:$I$333=$E113)+(Sheet1!$I$2:$I$333=$E114),"UNFILLED"))</f>
        <v>HICKEY, LINDA</v>
      </c>
      <c r="I112" s="169" t="str" cm="1">
        <f t="array" ref="I112">IF(RIGHT(_xlfn._xlws.FILTER(Sheet1!$K$2:$K$333,(Sheet1!$K$2:$K$333=$E112)+(Sheet1!$K$2:$K$333=$E113)+(Sheet1!$K$2:$K$333=$E114),""),4)="POST",CONCATENATE(_xlfn._xlws.FILTER(Sheet1!$A$2:$A$333,(Sheet1!$K$2:$K$333=$E112)+(Sheet1!$K$2:$K$333=$E113)+(Sheet1!$K$2:$K$333=$E114),""),"-","POST"),_xlfn._xlws.FILTER(Sheet1!$A$2:$A$333,(Sheet1!$K$2:$K$333=$E112)+(Sheet1!$K$2:$K$333=$E113)+(Sheet1!$K$2:$K$333=$E114),"UNFILLED"))</f>
        <v>FLEITES, FRANK</v>
      </c>
      <c r="J112" s="169" t="str" cm="1">
        <f t="array" ref="J112">IF(RIGHT(_xlfn._xlws.FILTER(Sheet1!M$2:M$333,(Sheet1!M$2:M$333=$E112)+(Sheet1!M$2:M$333=$E113)+(Sheet1!M$2:M$333=$E114),""),4)="POST",CONCATENATE(_xlfn._xlws.FILTER(Sheet1!$A$2:$A$333,(Sheet1!M$2:M$333=$E112)+(Sheet1!M$2:M$333=$E113)+(Sheet1!M$2:M$333=$E114),""),"-","POST"),_xlfn._xlws.FILTER(Sheet1!$A$2:$A$333,(Sheet1!M$2:M$333=$E112)+(Sheet1!M$2:M$333=$E113)+(Sheet1!M$2:M$333=$E114),"UNFILLED"))</f>
        <v>FLEITES, FRANK</v>
      </c>
      <c r="K112" s="169" t="str" cm="1">
        <f t="array" ref="K112">IF(RIGHT(_xlfn._xlws.FILTER(Sheet1!$O$2:$O$333,(Sheet1!$O$2:$O$333=$E112)+(Sheet1!$O$2:$O$333=$E113)+(Sheet1!$O$2:$O$333=$E114),""),4)="POST",CONCATENATE(_xlfn._xlws.FILTER(Sheet1!$A$2:$A$333,(Sheet1!$O$2:$O$333=$E112)+(Sheet1!$O$2:$O$333=$E113)+(Sheet1!$O$2:$O$333=$E114),""),"-","POST"),_xlfn._xlws.FILTER(Sheet1!$A$2:$A$333,(Sheet1!$O$2:$O$333=$E112)+(Sheet1!$O$2:$O$333=$E113)+(Sheet1!$O$2:$O$333=$E114),"UNFILLED"))</f>
        <v>HICKEY, LINDA</v>
      </c>
      <c r="L112" s="169" t="str" cm="1">
        <f t="array" ref="L112">IF(RIGHT(_xlfn._xlws.FILTER(Sheet1!$Q$2:$Q$333,(Sheet1!$Q$2:$Q$333=$E112)+(Sheet1!$Q$2:$Q$333=$E113)+(Sheet1!$Q$2:$Q$333=$E114),""),4)="POST",CONCATENATE(_xlfn._xlws.FILTER(Sheet1!$A$2:$A$333,(Sheet1!$Q$2:$Q$333=$E112)+(Sheet1!$Q$2:$Q$333=$E113)+(Sheet1!$Q$2:$Q$333=$E114),""),"-","POST"),_xlfn._xlws.FILTER(Sheet1!$A$2:$A$333,(Sheet1!$Q$2:$Q$333=$E112)+(Sheet1!$Q$2:$Q$333=$E113)+(Sheet1!$Q$2:$Q$333=$E114),"UNFILLED"))</f>
        <v>HICKEY, LINDA</v>
      </c>
      <c r="M112" s="169" t="str" cm="1">
        <f t="array" ref="M112">IF(RIGHT(_xlfn._xlws.FILTER(Sheet1!$S$2:$S$333,(Sheet1!$S$2:$S$333=$E112)+(Sheet1!$S$2:$S$333=$E113)+(Sheet1!$S$2:$S$333=$E114),""),4)="POST",CONCATENATE(_xlfn._xlws.FILTER(Sheet1!$A$2:$A$333,(Sheet1!$S$2:$S$333=$E112)+(Sheet1!$S$2:$S$333=$E113)+(Sheet1!$S$2:$S$333=$E114),""),"-","POST"),_xlfn._xlws.FILTER(Sheet1!$A$2:$A$333,(Sheet1!$S$2:$S$333=$E112)+(Sheet1!$S$2:$S$333=$E113)+(Sheet1!$S$2:$S$333=$E114),"UNFILLED"))</f>
        <v>HICKEY, LINDA</v>
      </c>
      <c r="W112" s="417"/>
      <c r="X112" s="170"/>
      <c r="Y112" s="170"/>
      <c r="Z112" s="170"/>
      <c r="AA112" s="170"/>
      <c r="AB112" s="170"/>
      <c r="AC112" s="170"/>
      <c r="AD112" s="170"/>
    </row>
    <row r="113" spans="1:30" ht="17.25" customHeight="1" x14ac:dyDescent="0.4">
      <c r="A113" s="153"/>
      <c r="C113" s="412"/>
      <c r="D113" s="413"/>
      <c r="E113" s="168" t="str">
        <f>_xlfn.CONCAT(E112,"-","POST")</f>
        <v>CE-2-POST</v>
      </c>
      <c r="F113" s="415"/>
      <c r="G113" s="171"/>
      <c r="H113" s="171"/>
      <c r="I113" s="171"/>
      <c r="J113" s="171"/>
      <c r="K113" s="171"/>
      <c r="L113" s="171"/>
      <c r="M113" s="171"/>
      <c r="W113" s="417"/>
      <c r="X113" s="172"/>
      <c r="Y113" s="172"/>
      <c r="Z113" s="172"/>
      <c r="AA113" s="172"/>
      <c r="AB113" s="172"/>
      <c r="AC113" s="172"/>
      <c r="AD113" s="172"/>
    </row>
    <row r="114" spans="1:30" ht="17.25" customHeight="1" x14ac:dyDescent="0.4">
      <c r="A114" s="153"/>
      <c r="C114" s="412"/>
      <c r="D114" s="413"/>
      <c r="E114" s="168" t="str">
        <f>_xlfn.CONCAT(E112,"-","PILOT")</f>
        <v>CE-2-PILOT</v>
      </c>
      <c r="F114" s="416"/>
      <c r="G114" s="173"/>
      <c r="H114" s="173"/>
      <c r="I114" s="173"/>
      <c r="J114" s="173"/>
      <c r="K114" s="173"/>
      <c r="L114" s="173"/>
      <c r="M114" s="173"/>
      <c r="W114" s="417"/>
      <c r="X114" s="172"/>
      <c r="Y114" s="172"/>
      <c r="Z114" s="172"/>
      <c r="AA114" s="172"/>
      <c r="AB114" s="172"/>
      <c r="AC114" s="172"/>
      <c r="AD114" s="172"/>
    </row>
    <row r="115" spans="1:30" ht="25.5" customHeight="1" thickBot="1" x14ac:dyDescent="0.45">
      <c r="A115" s="153"/>
      <c r="C115" s="412"/>
      <c r="D115" s="413"/>
      <c r="E115" s="174"/>
      <c r="F115" s="418" t="s">
        <v>19</v>
      </c>
      <c r="G115" s="419"/>
      <c r="H115" s="419"/>
      <c r="I115" s="419"/>
      <c r="J115" s="419"/>
      <c r="K115" s="419"/>
      <c r="L115" s="419"/>
      <c r="M115" s="420"/>
      <c r="W115" s="167"/>
      <c r="X115" s="167"/>
      <c r="Y115" s="172"/>
      <c r="Z115" s="172"/>
      <c r="AA115" s="172"/>
      <c r="AB115" s="172"/>
      <c r="AC115" s="172"/>
      <c r="AD115" s="172"/>
    </row>
    <row r="116" spans="1:30" ht="17.25" customHeight="1" thickTop="1" x14ac:dyDescent="0.4">
      <c r="A116" s="153"/>
      <c r="C116" s="412"/>
      <c r="D116" s="413"/>
      <c r="E116" s="168" t="s">
        <v>127</v>
      </c>
      <c r="F116" s="414" t="s">
        <v>88</v>
      </c>
      <c r="G116" s="169" t="str" cm="1">
        <f t="array" ref="G116">IF(RIGHT(_xlfn._xlws.FILTER(Sheet1!$G$2:$G$333,(Sheet1!$G$2:$G$333=$E116)+(Sheet1!$G$2:$G$333=$E117)+(Sheet1!$G$2:$G$333=$E118),""),4)="POST",CONCATENATE(_xlfn._xlws.FILTER(Sheet1!$A$2:$A$333,(Sheet1!$G$2:$G$333=$E116)+(Sheet1!$G$2:$G$333=$E117)+(Sheet1!$G$2:$G$333=$E118),""),"-","POST"),_xlfn._xlws.FILTER(Sheet1!$A$2:$A$333,(Sheet1!$G$2:$G$333=$E116)+(Sheet1!$G$2:$G$333=$E117)+(Sheet1!$G$2:$G$333=$E118),"UNFILLED"))</f>
        <v>ROBINSON, MATTHEW</v>
      </c>
      <c r="H116" s="169" t="str" cm="1">
        <f t="array" ref="H116">IF(RIGHT(_xlfn._xlws.FILTER(Sheet1!$I$2:$I$333,(Sheet1!$I$2:$I$333=$E116)+(Sheet1!$I$2:$I$333=$E117)+(Sheet1!$I$2:$I$333=$E118),""),4)="POST",CONCATENATE(_xlfn._xlws.FILTER(Sheet1!$A$2:$A$333,(Sheet1!$I$2:$I$333=$E116)+(Sheet1!$I$2:$I$333=$E117)+(Sheet1!$I$2:$I$333=$E118),""),"-","POST"),_xlfn._xlws.FILTER(Sheet1!$A$2:$A$333,(Sheet1!$I$2:$I$333=$E116)+(Sheet1!$I$2:$I$333=$E117)+(Sheet1!$I$2:$I$333=$E118),"UNFILLED"))</f>
        <v>ZIMA, ART</v>
      </c>
      <c r="I116" s="169" t="str" cm="1">
        <f t="array" ref="I116">IF(RIGHT(_xlfn._xlws.FILTER(Sheet1!$K$2:$K$333,(Sheet1!$K$2:$K$333=$E116)+(Sheet1!$K$2:$K$333=$E117)+(Sheet1!$K$2:$K$333=$E118),""),4)="POST",CONCATENATE(_xlfn._xlws.FILTER(Sheet1!$A$2:$A$333,(Sheet1!$K$2:$K$333=$E116)+(Sheet1!$K$2:$K$333=$E117)+(Sheet1!$K$2:$K$333=$E118),""),"-","POST"),_xlfn._xlws.FILTER(Sheet1!$A$2:$A$333,(Sheet1!$K$2:$K$333=$E116)+(Sheet1!$K$2:$K$333=$E117)+(Sheet1!$K$2:$K$333=$E118),"UNFILLED"))</f>
        <v>MCGOLDRICK, MATT</v>
      </c>
      <c r="J116" s="169" t="str" cm="1">
        <f t="array" ref="J116">IF(RIGHT(_xlfn._xlws.FILTER(Sheet1!M$2:M$333,(Sheet1!M$2:M$333=$E116)+(Sheet1!M$2:M$333=$E117)+(Sheet1!M$2:M$333=$E118),""),4)="POST",CONCATENATE(_xlfn._xlws.FILTER(Sheet1!$A$2:$A$333,(Sheet1!M$2:M$333=$E116)+(Sheet1!M$2:M$333=$E117)+(Sheet1!M$2:M$333=$E118),""),"-","POST"),_xlfn._xlws.FILTER(Sheet1!$A$2:$A$333,(Sheet1!M$2:M$333=$E116)+(Sheet1!M$2:M$333=$E117)+(Sheet1!M$2:M$333=$E118),"UNFILLED"))</f>
        <v>ROBINSON, MATTHEW</v>
      </c>
      <c r="K116" s="169" t="str" cm="1">
        <f t="array" ref="K116">IF(RIGHT(_xlfn._xlws.FILTER(Sheet1!$O$2:$O$333,(Sheet1!$O$2:$O$333=$E116)+(Sheet1!$O$2:$O$333=$E117)+(Sheet1!$O$2:$O$333=$E118),""),4)="POST",CONCATENATE(_xlfn._xlws.FILTER(Sheet1!$A$2:$A$333,(Sheet1!$O$2:$O$333=$E116)+(Sheet1!$O$2:$O$333=$E117)+(Sheet1!$O$2:$O$333=$E118),""),"-","POST"),_xlfn._xlws.FILTER(Sheet1!$A$2:$A$333,(Sheet1!$O$2:$O$333=$E116)+(Sheet1!$O$2:$O$333=$E117)+(Sheet1!$O$2:$O$333=$E118),"UNFILLED"))</f>
        <v>ROBINSON, MATTHEW</v>
      </c>
      <c r="L116" s="169" t="str" cm="1">
        <f t="array" ref="L116">IF(RIGHT(_xlfn._xlws.FILTER(Sheet1!$Q$2:$Q$333,(Sheet1!$Q$2:$Q$333=$E116)+(Sheet1!$Q$2:$Q$333=$E117)+(Sheet1!$Q$2:$Q$333=$E118),""),4)="POST",CONCATENATE(_xlfn._xlws.FILTER(Sheet1!$A$2:$A$333,(Sheet1!$Q$2:$Q$333=$E116)+(Sheet1!$Q$2:$Q$333=$E117)+(Sheet1!$Q$2:$Q$333=$E118),""),"-","POST"),_xlfn._xlws.FILTER(Sheet1!$A$2:$A$333,(Sheet1!$Q$2:$Q$333=$E116)+(Sheet1!$Q$2:$Q$333=$E117)+(Sheet1!$Q$2:$Q$333=$E118),"UNFILLED"))</f>
        <v>ROBINSON, MATTHEW</v>
      </c>
      <c r="M116" s="169" t="str" cm="1">
        <f t="array" ref="M116:M117">IF(RIGHT(_xlfn._xlws.FILTER(Sheet1!$S$2:$S$333,(Sheet1!$S$2:$S$333=$E116)+(Sheet1!$S$2:$S$333=$E117)+(Sheet1!$S$2:$S$333=$E118),""),4)="POST",CONCATENATE(_xlfn._xlws.FILTER(Sheet1!$A$2:$A$333,(Sheet1!$S$2:$S$333=$E116)+(Sheet1!$S$2:$S$333=$E117)+(Sheet1!$S$2:$S$333=$E118),""),"-","POST"),_xlfn._xlws.FILTER(Sheet1!$A$2:$A$333,(Sheet1!$S$2:$S$333=$E116)+(Sheet1!$S$2:$S$333=$E117)+(Sheet1!$S$2:$S$333=$E118),"UNFILLED"))</f>
        <v>ROBINSON, MATTHEW</v>
      </c>
      <c r="W116" s="417"/>
      <c r="X116" s="170"/>
      <c r="Y116" s="170"/>
      <c r="Z116" s="170"/>
      <c r="AA116" s="170"/>
      <c r="AB116" s="170"/>
      <c r="AC116" s="170"/>
      <c r="AD116" s="170"/>
    </row>
    <row r="117" spans="1:30" ht="17.25" customHeight="1" x14ac:dyDescent="0.4">
      <c r="A117" s="153"/>
      <c r="C117" s="412"/>
      <c r="D117" s="413"/>
      <c r="E117" s="168" t="str">
        <f>_xlfn.CONCAT(E116,"-","POST")</f>
        <v>CD-2-POST</v>
      </c>
      <c r="F117" s="415"/>
      <c r="G117" s="171"/>
      <c r="H117" s="171"/>
      <c r="I117" s="171"/>
      <c r="J117" s="171"/>
      <c r="K117" s="171"/>
      <c r="L117" s="171"/>
      <c r="M117" s="171" t="str">
        <v>WILLIAMS, NARADA-POST</v>
      </c>
      <c r="W117" s="417"/>
      <c r="X117" s="172"/>
      <c r="Y117" s="172"/>
      <c r="Z117" s="172"/>
      <c r="AA117" s="172"/>
      <c r="AB117" s="172"/>
      <c r="AC117" s="172"/>
      <c r="AD117" s="172"/>
    </row>
    <row r="118" spans="1:30" ht="17.25" customHeight="1" x14ac:dyDescent="0.4">
      <c r="A118" s="153"/>
      <c r="C118" s="412"/>
      <c r="D118" s="413"/>
      <c r="E118" s="168" t="str">
        <f>_xlfn.CONCAT(E116,"-","PILOT")</f>
        <v>CD-2-PILOT</v>
      </c>
      <c r="F118" s="416"/>
      <c r="G118" s="173"/>
      <c r="H118" s="173"/>
      <c r="I118" s="173"/>
      <c r="J118" s="173"/>
      <c r="K118" s="173"/>
      <c r="L118" s="173"/>
      <c r="M118" s="173"/>
      <c r="W118" s="417"/>
      <c r="X118" s="172"/>
      <c r="Y118" s="172"/>
      <c r="Z118" s="172"/>
      <c r="AA118" s="172"/>
      <c r="AB118" s="172"/>
      <c r="AC118" s="172"/>
      <c r="AD118" s="172"/>
    </row>
    <row r="119" spans="1:30" ht="17.25" customHeight="1" x14ac:dyDescent="0.4">
      <c r="A119" s="153"/>
      <c r="C119" s="412"/>
      <c r="D119" s="413"/>
      <c r="E119" s="168" t="s">
        <v>128</v>
      </c>
      <c r="F119" s="414" t="s">
        <v>90</v>
      </c>
      <c r="G119" s="169" t="str" cm="1">
        <f t="array" ref="G119">IF(RIGHT(_xlfn._xlws.FILTER(Sheet1!$G$2:$G$333,(Sheet1!$G$2:$G$333=$E119)+(Sheet1!$G$2:$G$333=$E120)+(Sheet1!$G$2:$G$333=$E121),""),4)="POST",CONCATENATE(_xlfn._xlws.FILTER(Sheet1!$A$2:$A$333,(Sheet1!$G$2:$G$333=$E119)+(Sheet1!$G$2:$G$333=$E120)+(Sheet1!$G$2:$G$333=$E121),""),"-","POST"),_xlfn._xlws.FILTER(Sheet1!$A$2:$A$333,(Sheet1!$G$2:$G$333=$E119)+(Sheet1!$G$2:$G$333=$E120)+(Sheet1!$G$2:$G$333=$E121),"UNFILLED"))</f>
        <v>FERRELL, EVAN</v>
      </c>
      <c r="H119" s="169" t="str" cm="1">
        <f t="array" ref="H119">IF(RIGHT(_xlfn._xlws.FILTER(Sheet1!$I$2:$I$333,(Sheet1!$I$2:$I$333=$E119)+(Sheet1!$I$2:$I$333=$E120)+(Sheet1!$I$2:$I$333=$E121),""),4)="POST",CONCATENATE(_xlfn._xlws.FILTER(Sheet1!$A$2:$A$333,(Sheet1!$I$2:$I$333=$E119)+(Sheet1!$I$2:$I$333=$E120)+(Sheet1!$I$2:$I$333=$E121),""),"-","POST"),_xlfn._xlws.FILTER(Sheet1!$A$2:$A$333,(Sheet1!$I$2:$I$333=$E119)+(Sheet1!$I$2:$I$333=$E120)+(Sheet1!$I$2:$I$333=$E121),"UNFILLED"))</f>
        <v>FERRELL, EVAN</v>
      </c>
      <c r="I119" s="169" t="str" cm="1">
        <f t="array" ref="I119">IF(RIGHT(_xlfn._xlws.FILTER(Sheet1!$K$2:$K$333,(Sheet1!$K$2:$K$333=$E119)+(Sheet1!$K$2:$K$333=$E120)+(Sheet1!$K$2:$K$333=$E121),""),4)="POST",CONCATENATE(_xlfn._xlws.FILTER(Sheet1!$A$2:$A$333,(Sheet1!$K$2:$K$333=$E119)+(Sheet1!$K$2:$K$333=$E120)+(Sheet1!$K$2:$K$333=$E121),""),"-","POST"),_xlfn._xlws.FILTER(Sheet1!$A$2:$A$333,(Sheet1!$K$2:$K$333=$E119)+(Sheet1!$K$2:$K$333=$E120)+(Sheet1!$K$2:$K$333=$E121),"UNFILLED"))</f>
        <v>ROBERTS, KIRVIN</v>
      </c>
      <c r="J119" s="169" t="str" cm="1">
        <f t="array" ref="J119">IF(RIGHT(_xlfn._xlws.FILTER(Sheet1!M$2:M$333,(Sheet1!M$2:M$333=$E119)+(Sheet1!M$2:M$333=$E120)+(Sheet1!M$2:M$333=$E121),""),4)="POST",CONCATENATE(_xlfn._xlws.FILTER(Sheet1!$A$2:$A$333,(Sheet1!M$2:M$333=$E119)+(Sheet1!M$2:M$333=$E120)+(Sheet1!M$2:M$333=$E121),""),"-","POST"),_xlfn._xlws.FILTER(Sheet1!$A$2:$A$333,(Sheet1!M$2:M$333=$E119)+(Sheet1!M$2:M$333=$E120)+(Sheet1!M$2:M$333=$E121),"UNFILLED"))</f>
        <v>ROBERTS, KIRVIN</v>
      </c>
      <c r="K119" s="169" t="str" cm="1">
        <f t="array" ref="K119">IF(RIGHT(_xlfn._xlws.FILTER(Sheet1!$O$2:$O$333,(Sheet1!$O$2:$O$333=$E119)+(Sheet1!$O$2:$O$333=$E120)+(Sheet1!$O$2:$O$333=$E121),""),4)="POST",CONCATENATE(_xlfn._xlws.FILTER(Sheet1!$A$2:$A$333,(Sheet1!$O$2:$O$333=$E119)+(Sheet1!$O$2:$O$333=$E120)+(Sheet1!$O$2:$O$333=$E121),""),"-","POST"),_xlfn._xlws.FILTER(Sheet1!$A$2:$A$333,(Sheet1!$O$2:$O$333=$E119)+(Sheet1!$O$2:$O$333=$E120)+(Sheet1!$O$2:$O$333=$E121),"UNFILLED"))</f>
        <v>FERRELL, EVAN</v>
      </c>
      <c r="L119" s="169" t="str" cm="1">
        <f t="array" ref="L119">IF(RIGHT(_xlfn._xlws.FILTER(Sheet1!$Q$2:$Q$333,(Sheet1!$Q$2:$Q$333=$E119)+(Sheet1!$Q$2:$Q$333=$E120)+(Sheet1!$Q$2:$Q$333=$E121),""),4)="POST",CONCATENATE(_xlfn._xlws.FILTER(Sheet1!$A$2:$A$333,(Sheet1!$Q$2:$Q$333=$E119)+(Sheet1!$Q$2:$Q$333=$E120)+(Sheet1!$Q$2:$Q$333=$E121),""),"-","POST"),_xlfn._xlws.FILTER(Sheet1!$A$2:$A$333,(Sheet1!$Q$2:$Q$333=$E119)+(Sheet1!$Q$2:$Q$333=$E120)+(Sheet1!$Q$2:$Q$333=$E121),"UNFILLED"))</f>
        <v>FERRELL, EVAN</v>
      </c>
      <c r="M119" s="169" t="str" cm="1">
        <f t="array" ref="M119">IF(RIGHT(_xlfn._xlws.FILTER(Sheet1!$S$2:$S$333,(Sheet1!$S$2:$S$333=$E119)+(Sheet1!$S$2:$S$333=$E120)+(Sheet1!$S$2:$S$333=$E121),""),4)="POST",CONCATENATE(_xlfn._xlws.FILTER(Sheet1!$A$2:$A$333,(Sheet1!$S$2:$S$333=$E119)+(Sheet1!$S$2:$S$333=$E120)+(Sheet1!$S$2:$S$333=$E121),""),"-","POST"),_xlfn._xlws.FILTER(Sheet1!$A$2:$A$333,(Sheet1!$S$2:$S$333=$E119)+(Sheet1!$S$2:$S$333=$E120)+(Sheet1!$S$2:$S$333=$E121),"UNFILLED"))</f>
        <v>FERRELL, EVAN</v>
      </c>
      <c r="W119" s="417"/>
      <c r="X119" s="170"/>
      <c r="Y119" s="170"/>
      <c r="Z119" s="170"/>
      <c r="AA119" s="170"/>
      <c r="AB119" s="170"/>
      <c r="AC119" s="170"/>
      <c r="AD119" s="170"/>
    </row>
    <row r="120" spans="1:30" ht="17.25" customHeight="1" x14ac:dyDescent="0.4">
      <c r="A120" s="153"/>
      <c r="C120" s="412"/>
      <c r="D120" s="413"/>
      <c r="E120" s="168" t="str">
        <f>_xlfn.CONCAT(E119,"-","POST")</f>
        <v>EL-2-POST</v>
      </c>
      <c r="F120" s="415"/>
      <c r="G120" s="171"/>
      <c r="H120" s="171"/>
      <c r="I120" s="171"/>
      <c r="J120" s="171"/>
      <c r="K120" s="171"/>
      <c r="L120" s="171"/>
      <c r="M120" s="171"/>
      <c r="W120" s="417"/>
      <c r="X120" s="172"/>
      <c r="Y120" s="172"/>
      <c r="Z120" s="172"/>
      <c r="AA120" s="172"/>
      <c r="AB120" s="172"/>
      <c r="AC120" s="172"/>
      <c r="AD120" s="172"/>
    </row>
    <row r="121" spans="1:30" ht="17.25" customHeight="1" x14ac:dyDescent="0.4">
      <c r="A121" s="153"/>
      <c r="C121" s="412"/>
      <c r="D121" s="413"/>
      <c r="E121" s="168" t="str">
        <f>_xlfn.CONCAT(E119,"-","PILOT")</f>
        <v>EL-2-PILOT</v>
      </c>
      <c r="F121" s="416"/>
      <c r="G121" s="173"/>
      <c r="H121" s="173"/>
      <c r="I121" s="173"/>
      <c r="J121" s="173"/>
      <c r="K121" s="173"/>
      <c r="L121" s="173"/>
      <c r="M121" s="173"/>
      <c r="W121" s="417"/>
      <c r="X121" s="172"/>
      <c r="Y121" s="172"/>
      <c r="Z121" s="172"/>
      <c r="AA121" s="172"/>
      <c r="AB121" s="172"/>
      <c r="AC121" s="172"/>
      <c r="AD121" s="172"/>
    </row>
    <row r="122" spans="1:30" ht="17.25" customHeight="1" x14ac:dyDescent="0.4">
      <c r="A122" s="153"/>
      <c r="C122" s="412"/>
      <c r="D122" s="413"/>
      <c r="E122" s="168" t="s">
        <v>129</v>
      </c>
      <c r="F122" s="414" t="s">
        <v>92</v>
      </c>
      <c r="G122" s="169" t="str" cm="1">
        <f t="array" ref="G122">IF(RIGHT(_xlfn._xlws.FILTER(Sheet1!$G$2:$G$333,(Sheet1!$G$2:$G$333=$E122)+(Sheet1!$G$2:$G$333=$E123)+(Sheet1!$G$2:$G$333=$E124),""),4)="POST",CONCATENATE(_xlfn._xlws.FILTER(Sheet1!$A$2:$A$333,(Sheet1!$G$2:$G$333=$E122)+(Sheet1!$G$2:$G$333=$E123)+(Sheet1!$G$2:$G$333=$E124),""),"-","POST"),_xlfn._xlws.FILTER(Sheet1!$A$2:$A$333,(Sheet1!$G$2:$G$333=$E122)+(Sheet1!$G$2:$G$333=$E123)+(Sheet1!$G$2:$G$333=$E124),"UNFILLED"))</f>
        <v>SCOTT, DONALD</v>
      </c>
      <c r="H122" s="169" t="str" cm="1">
        <f t="array" ref="H122">IF(RIGHT(_xlfn._xlws.FILTER(Sheet1!$I$2:$I$333,(Sheet1!$I$2:$I$333=$E122)+(Sheet1!$I$2:$I$333=$E123)+(Sheet1!$I$2:$I$333=$E124),""),4)="POST",CONCATENATE(_xlfn._xlws.FILTER(Sheet1!$A$2:$A$333,(Sheet1!$I$2:$I$333=$E122)+(Sheet1!$I$2:$I$333=$E123)+(Sheet1!$I$2:$I$333=$E124),""),"-","POST"),_xlfn._xlws.FILTER(Sheet1!$A$2:$A$333,(Sheet1!$I$2:$I$333=$E122)+(Sheet1!$I$2:$I$333=$E123)+(Sheet1!$I$2:$I$333=$E124),"UNFILLED"))</f>
        <v>SCOTT, DONALD</v>
      </c>
      <c r="I122" s="169" t="str" cm="1">
        <f t="array" ref="I122">IF(RIGHT(_xlfn._xlws.FILTER(Sheet1!$K$2:$K$333,(Sheet1!$K$2:$K$333=$E122)+(Sheet1!$K$2:$K$333=$E123)+(Sheet1!$K$2:$K$333=$E124),""),4)="POST",CONCATENATE(_xlfn._xlws.FILTER(Sheet1!$A$2:$A$333,(Sheet1!$K$2:$K$333=$E122)+(Sheet1!$K$2:$K$333=$E123)+(Sheet1!$K$2:$K$333=$E124),""),"-","POST"),_xlfn._xlws.FILTER(Sheet1!$A$2:$A$333,(Sheet1!$K$2:$K$333=$E122)+(Sheet1!$K$2:$K$333=$E123)+(Sheet1!$K$2:$K$333=$E124),"UNFILLED"))</f>
        <v>SCOTT, DONALD</v>
      </c>
      <c r="J122" s="169" t="str" cm="1">
        <f t="array" ref="J122">IF(RIGHT(_xlfn._xlws.FILTER(Sheet1!M$2:M$333,(Sheet1!M$2:M$333=$E122)+(Sheet1!M$2:M$333=$E123)+(Sheet1!M$2:M$333=$E124),""),4)="POST",CONCATENATE(_xlfn._xlws.FILTER(Sheet1!$A$2:$A$333,(Sheet1!M$2:M$333=$E122)+(Sheet1!M$2:M$333=$E123)+(Sheet1!M$2:M$333=$E124),""),"-","POST"),_xlfn._xlws.FILTER(Sheet1!$A$2:$A$333,(Sheet1!M$2:M$333=$E122)+(Sheet1!M$2:M$333=$E123)+(Sheet1!M$2:M$333=$E124),"UNFILLED"))</f>
        <v>TURNER, CHERTARVEYA</v>
      </c>
      <c r="K122" s="169" t="str" cm="1">
        <f t="array" ref="K122">IF(RIGHT(_xlfn._xlws.FILTER(Sheet1!$O$2:$O$333,(Sheet1!$O$2:$O$333=$E122)+(Sheet1!$O$2:$O$333=$E123)+(Sheet1!$O$2:$O$333=$E124),""),4)="POST",CONCATENATE(_xlfn._xlws.FILTER(Sheet1!$A$2:$A$333,(Sheet1!$O$2:$O$333=$E122)+(Sheet1!$O$2:$O$333=$E123)+(Sheet1!$O$2:$O$333=$E124),""),"-","POST"),_xlfn._xlws.FILTER(Sheet1!$A$2:$A$333,(Sheet1!$O$2:$O$333=$E122)+(Sheet1!$O$2:$O$333=$E123)+(Sheet1!$O$2:$O$333=$E124),"UNFILLED"))</f>
        <v>TURNER, CHERTARVEYA</v>
      </c>
      <c r="L122" s="169" t="str" cm="1">
        <f t="array" ref="L122">IF(RIGHT(_xlfn._xlws.FILTER(Sheet1!$Q$2:$Q$333,(Sheet1!$Q$2:$Q$333=$E122)+(Sheet1!$Q$2:$Q$333=$E123)+(Sheet1!$Q$2:$Q$333=$E124),""),4)="POST",CONCATENATE(_xlfn._xlws.FILTER(Sheet1!$A$2:$A$333,(Sheet1!$Q$2:$Q$333=$E122)+(Sheet1!$Q$2:$Q$333=$E123)+(Sheet1!$Q$2:$Q$333=$E124),""),"-","POST"),_xlfn._xlws.FILTER(Sheet1!$A$2:$A$333,(Sheet1!$Q$2:$Q$333=$E122)+(Sheet1!$Q$2:$Q$333=$E123)+(Sheet1!$Q$2:$Q$333=$E124),"UNFILLED"))</f>
        <v>SCOTT, DONALD</v>
      </c>
      <c r="M122" s="169" t="str" cm="1">
        <f t="array" ref="M122">IF(RIGHT(_xlfn._xlws.FILTER(Sheet1!$S$2:$S$333,(Sheet1!$S$2:$S$333=$E122)+(Sheet1!$S$2:$S$333=$E123)+(Sheet1!$S$2:$S$333=$E124),""),4)="POST",CONCATENATE(_xlfn._xlws.FILTER(Sheet1!$A$2:$A$333,(Sheet1!$S$2:$S$333=$E122)+(Sheet1!$S$2:$S$333=$E123)+(Sheet1!$S$2:$S$333=$E124),""),"-","POST"),_xlfn._xlws.FILTER(Sheet1!$A$2:$A$333,(Sheet1!$S$2:$S$333=$E122)+(Sheet1!$S$2:$S$333=$E123)+(Sheet1!$S$2:$S$333=$E124),"UNFILLED"))</f>
        <v>SCOTT, DONALD</v>
      </c>
      <c r="W122" s="417"/>
      <c r="X122" s="170"/>
      <c r="Y122" s="170"/>
      <c r="Z122" s="170"/>
      <c r="AA122" s="170"/>
      <c r="AB122" s="170"/>
      <c r="AC122" s="170"/>
      <c r="AD122" s="170"/>
    </row>
    <row r="123" spans="1:30" ht="17.25" customHeight="1" x14ac:dyDescent="0.4">
      <c r="A123" s="153"/>
      <c r="C123" s="412"/>
      <c r="D123" s="413"/>
      <c r="E123" s="168" t="str">
        <f>_xlfn.CONCAT(E122,"-","POST")</f>
        <v>TT-2-POST</v>
      </c>
      <c r="F123" s="415"/>
      <c r="G123" s="171"/>
      <c r="H123" s="171"/>
      <c r="I123" s="171"/>
      <c r="J123" s="171"/>
      <c r="K123" s="171"/>
      <c r="L123" s="171"/>
      <c r="M123" s="171"/>
      <c r="W123" s="417"/>
      <c r="X123" s="172"/>
      <c r="Y123" s="172"/>
      <c r="Z123" s="172"/>
      <c r="AA123" s="172"/>
      <c r="AB123" s="172"/>
      <c r="AC123" s="172"/>
      <c r="AD123" s="172"/>
    </row>
    <row r="124" spans="1:30" ht="17.25" customHeight="1" x14ac:dyDescent="0.4">
      <c r="A124" s="153"/>
      <c r="C124" s="412"/>
      <c r="D124" s="413"/>
      <c r="E124" s="168" t="str">
        <f>_xlfn.CONCAT(E122,"-","PILOT")</f>
        <v>TT-2-PILOT</v>
      </c>
      <c r="F124" s="416"/>
      <c r="G124" s="173"/>
      <c r="H124" s="173"/>
      <c r="I124" s="173"/>
      <c r="J124" s="173"/>
      <c r="K124" s="173"/>
      <c r="L124" s="173"/>
      <c r="M124" s="173"/>
      <c r="W124" s="417"/>
      <c r="X124" s="172"/>
      <c r="Y124" s="172"/>
      <c r="Z124" s="172"/>
      <c r="AA124" s="172"/>
      <c r="AB124" s="172"/>
      <c r="AC124" s="172"/>
      <c r="AD124" s="172"/>
    </row>
    <row r="125" spans="1:30" ht="17.25" customHeight="1" x14ac:dyDescent="0.4">
      <c r="A125" s="153"/>
      <c r="C125" s="412"/>
      <c r="D125" s="413"/>
      <c r="E125" s="168" t="s">
        <v>130</v>
      </c>
      <c r="F125" s="414" t="s">
        <v>94</v>
      </c>
      <c r="G125" s="169" t="str" cm="1">
        <f t="array" ref="G125">IF(RIGHT(_xlfn._xlws.FILTER(Sheet1!$G$2:$G$333,(Sheet1!$G$2:$G$333=$E125)+(Sheet1!$G$2:$G$333=$E126)+(Sheet1!$G$2:$G$333=$E127),""),4)="POST",CONCATENATE(_xlfn._xlws.FILTER(Sheet1!$A$2:$A$333,(Sheet1!$G$2:$G$333=$E125)+(Sheet1!$G$2:$G$333=$E126)+(Sheet1!$G$2:$G$333=$E127),""),"-","POST"),_xlfn._xlws.FILTER(Sheet1!$A$2:$A$333,(Sheet1!$G$2:$G$333=$E125)+(Sheet1!$G$2:$G$333=$E126)+(Sheet1!$G$2:$G$333=$E127),"UNFILLED"))</f>
        <v>KAY-JACKWAK, LORI</v>
      </c>
      <c r="H125" s="169" t="str" cm="1">
        <f t="array" ref="H125">IF(RIGHT(_xlfn._xlws.FILTER(Sheet1!$I$2:$I$333,(Sheet1!$I$2:$I$333=$E125)+(Sheet1!$I$2:$I$333=$E126)+(Sheet1!$I$2:$I$333=$E127),""),4)="POST",CONCATENATE(_xlfn._xlws.FILTER(Sheet1!$A$2:$A$333,(Sheet1!$I$2:$I$333=$E125)+(Sheet1!$I$2:$I$333=$E126)+(Sheet1!$I$2:$I$333=$E127),""),"-","POST"),_xlfn._xlws.FILTER(Sheet1!$A$2:$A$333,(Sheet1!$I$2:$I$333=$E125)+(Sheet1!$I$2:$I$333=$E126)+(Sheet1!$I$2:$I$333=$E127),"UNFILLED"))</f>
        <v>DOUGHERTY, MIKE</v>
      </c>
      <c r="I125" s="169" t="str" cm="1">
        <f t="array" ref="I125">IF(RIGHT(_xlfn._xlws.FILTER(Sheet1!$K$2:$K$333,(Sheet1!$K$2:$K$333=$E125)+(Sheet1!$K$2:$K$333=$E126)+(Sheet1!$K$2:$K$333=$E127),""),4)="POST",CONCATENATE(_xlfn._xlws.FILTER(Sheet1!$A$2:$A$333,(Sheet1!$K$2:$K$333=$E125)+(Sheet1!$K$2:$K$333=$E126)+(Sheet1!$K$2:$K$333=$E127),""),"-","POST"),_xlfn._xlws.FILTER(Sheet1!$A$2:$A$333,(Sheet1!$K$2:$K$333=$E125)+(Sheet1!$K$2:$K$333=$E126)+(Sheet1!$K$2:$K$333=$E127),"UNFILLED"))</f>
        <v>DOUGHERTY, MIKE</v>
      </c>
      <c r="J125" s="169" t="str" cm="1">
        <f t="array" ref="J125">IF(RIGHT(_xlfn._xlws.FILTER(Sheet1!M$2:M$333,(Sheet1!M$2:M$333=$E125)+(Sheet1!M$2:M$333=$E126)+(Sheet1!M$2:M$333=$E127),""),4)="POST",CONCATENATE(_xlfn._xlws.FILTER(Sheet1!$A$2:$A$333,(Sheet1!M$2:M$333=$E125)+(Sheet1!M$2:M$333=$E126)+(Sheet1!M$2:M$333=$E127),""),"-","POST"),_xlfn._xlws.FILTER(Sheet1!$A$2:$A$333,(Sheet1!M$2:M$333=$E125)+(Sheet1!M$2:M$333=$E126)+(Sheet1!M$2:M$333=$E127),"UNFILLED"))</f>
        <v>KAY-JACKWAK, LORI</v>
      </c>
      <c r="K125" s="169" t="str" cm="1">
        <f t="array" ref="K125">IF(RIGHT(_xlfn._xlws.FILTER(Sheet1!$O$2:$O$333,(Sheet1!$O$2:$O$333=$E125)+(Sheet1!$O$2:$O$333=$E126)+(Sheet1!$O$2:$O$333=$E127),""),4)="POST",CONCATENATE(_xlfn._xlws.FILTER(Sheet1!$A$2:$A$333,(Sheet1!$O$2:$O$333=$E125)+(Sheet1!$O$2:$O$333=$E126)+(Sheet1!$O$2:$O$333=$E127),""),"-","POST"),_xlfn._xlws.FILTER(Sheet1!$A$2:$A$333,(Sheet1!$O$2:$O$333=$E125)+(Sheet1!$O$2:$O$333=$E126)+(Sheet1!$O$2:$O$333=$E127),"UNFILLED"))</f>
        <v>KAY-JACKWAK, LORI</v>
      </c>
      <c r="L125" s="169" t="str" cm="1">
        <f t="array" ref="L125">IF(RIGHT(_xlfn._xlws.FILTER(Sheet1!$Q$2:$Q$333,(Sheet1!$Q$2:$Q$333=$E125)+(Sheet1!$Q$2:$Q$333=$E126)+(Sheet1!$Q$2:$Q$333=$E127),""),4)="POST",CONCATENATE(_xlfn._xlws.FILTER(Sheet1!$A$2:$A$333,(Sheet1!$Q$2:$Q$333=$E125)+(Sheet1!$Q$2:$Q$333=$E126)+(Sheet1!$Q$2:$Q$333=$E127),""),"-","POST"),_xlfn._xlws.FILTER(Sheet1!$A$2:$A$333,(Sheet1!$Q$2:$Q$333=$E125)+(Sheet1!$Q$2:$Q$333=$E126)+(Sheet1!$Q$2:$Q$333=$E127),"UNFILLED"))</f>
        <v>KAY-JACKWAK, LORI</v>
      </c>
      <c r="M125" s="169" t="str" cm="1">
        <f t="array" ref="M125">IF(RIGHT(_xlfn._xlws.FILTER(Sheet1!$S$2:$S$333,(Sheet1!$S$2:$S$333=$E125)+(Sheet1!$S$2:$S$333=$E126)+(Sheet1!$S$2:$S$333=$E127),""),4)="POST",CONCATENATE(_xlfn._xlws.FILTER(Sheet1!$A$2:$A$333,(Sheet1!$S$2:$S$333=$E125)+(Sheet1!$S$2:$S$333=$E126)+(Sheet1!$S$2:$S$333=$E127),""),"-","POST"),_xlfn._xlws.FILTER(Sheet1!$A$2:$A$333,(Sheet1!$S$2:$S$333=$E125)+(Sheet1!$S$2:$S$333=$E126)+(Sheet1!$S$2:$S$333=$E127),"UNFILLED"))</f>
        <v>KAY-JACKWAK, LORI</v>
      </c>
      <c r="W125" s="417"/>
      <c r="X125" s="170"/>
      <c r="Y125" s="170"/>
      <c r="Z125" s="170"/>
      <c r="AA125" s="170"/>
      <c r="AB125" s="170"/>
      <c r="AC125" s="170"/>
      <c r="AD125" s="170"/>
    </row>
    <row r="126" spans="1:30" ht="17.25" customHeight="1" x14ac:dyDescent="0.4">
      <c r="A126" s="153"/>
      <c r="C126" s="412"/>
      <c r="D126" s="413"/>
      <c r="E126" s="168" t="str">
        <f>_xlfn.CONCAT(E125,"-","POST")</f>
        <v>DT-2-POST</v>
      </c>
      <c r="F126" s="415"/>
      <c r="G126" s="171"/>
      <c r="H126" s="171"/>
      <c r="I126" s="171"/>
      <c r="J126" s="171"/>
      <c r="K126" s="171"/>
      <c r="L126" s="171"/>
      <c r="M126" s="171"/>
      <c r="W126" s="417"/>
      <c r="X126" s="172"/>
      <c r="Y126" s="172"/>
      <c r="Z126" s="172"/>
      <c r="AA126" s="172"/>
      <c r="AB126" s="172"/>
      <c r="AC126" s="172"/>
      <c r="AD126" s="172"/>
    </row>
    <row r="127" spans="1:30" ht="17.25" customHeight="1" x14ac:dyDescent="0.4">
      <c r="A127" s="153"/>
      <c r="C127" s="412"/>
      <c r="D127" s="413"/>
      <c r="E127" s="168" t="str">
        <f>_xlfn.CONCAT(E125,"-","PILOT")</f>
        <v>DT-2-PILOT</v>
      </c>
      <c r="F127" s="416"/>
      <c r="G127" s="173"/>
      <c r="H127" s="173"/>
      <c r="I127" s="173"/>
      <c r="J127" s="173"/>
      <c r="K127" s="173"/>
      <c r="L127" s="173"/>
      <c r="M127" s="173"/>
      <c r="W127" s="417"/>
      <c r="X127" s="172"/>
      <c r="Y127" s="172"/>
      <c r="Z127" s="172"/>
      <c r="AA127" s="172"/>
      <c r="AB127" s="172"/>
      <c r="AC127" s="172"/>
      <c r="AD127" s="172"/>
    </row>
    <row r="128" spans="1:30" ht="17.25" customHeight="1" x14ac:dyDescent="0.45">
      <c r="A128" s="153"/>
      <c r="C128" s="412"/>
      <c r="D128" s="413"/>
      <c r="E128" s="175" t="s">
        <v>131</v>
      </c>
      <c r="F128" s="414" t="s">
        <v>96</v>
      </c>
      <c r="G128" s="169" t="str" cm="1">
        <f t="array" ref="G128:G129">IF(RIGHT(_xlfn._xlws.FILTER(Sheet1!$G$2:$G$333,(Sheet1!$G$2:$G$333=$E128)+(Sheet1!$G$2:$G$333=$E129)+(Sheet1!$G$2:$G$333=$E130),""),4)="POST",CONCATENATE(_xlfn._xlws.FILTER(Sheet1!$A$2:$A$333,(Sheet1!$G$2:$G$333=$E128)+(Sheet1!$G$2:$G$333=$E129)+(Sheet1!$G$2:$G$333=$E130),""),"-","POST"),_xlfn._xlws.FILTER(Sheet1!$A$2:$A$333,(Sheet1!$G$2:$G$333=$E128)+(Sheet1!$G$2:$G$333=$E129)+(Sheet1!$G$2:$G$333=$E130),"UNFILLED"))</f>
        <v>VAZQUEZ, ERIC</v>
      </c>
      <c r="H128" s="169" t="str" cm="1">
        <f t="array" ref="H128:H129">IF(RIGHT(_xlfn._xlws.FILTER(Sheet1!$I$2:$I$333,(Sheet1!$I$2:$I$333=$E128)+(Sheet1!$I$2:$I$333=$E129)+(Sheet1!$I$2:$I$333=$E130),""),4)="POST",CONCATENATE(_xlfn._xlws.FILTER(Sheet1!$A$2:$A$333,(Sheet1!$I$2:$I$333=$E128)+(Sheet1!$I$2:$I$333=$E129)+(Sheet1!$I$2:$I$333=$E130),""),"-","POST"),_xlfn._xlws.FILTER(Sheet1!$A$2:$A$333,(Sheet1!$I$2:$I$333=$E128)+(Sheet1!$I$2:$I$333=$E129)+(Sheet1!$I$2:$I$333=$E130),"UNFILLED"))</f>
        <v>BOUCHARD, SHARLIE</v>
      </c>
      <c r="I128" s="169" t="str" cm="1">
        <f t="array" ref="I128:I129">IF(RIGHT(_xlfn._xlws.FILTER(Sheet1!$K$2:$K$333,(Sheet1!$K$2:$K$333=$E128)+(Sheet1!$K$2:$K$333=$E129)+(Sheet1!$K$2:$K$333=$E130),""),4)="POST",CONCATENATE(_xlfn._xlws.FILTER(Sheet1!$A$2:$A$333,(Sheet1!$K$2:$K$333=$E128)+(Sheet1!$K$2:$K$333=$E129)+(Sheet1!$K$2:$K$333=$E130),""),"-","POST"),_xlfn._xlws.FILTER(Sheet1!$A$2:$A$333,(Sheet1!$K$2:$K$333=$E128)+(Sheet1!$K$2:$K$333=$E129)+(Sheet1!$K$2:$K$333=$E130),"UNFILLED"))</f>
        <v>BOUCHARD, SHARLIE</v>
      </c>
      <c r="J128" s="169" t="str" cm="1">
        <f t="array" ref="J128:J129">IF(RIGHT(_xlfn._xlws.FILTER(Sheet1!M$2:M$333,(Sheet1!M$2:M$333=$E128)+(Sheet1!M$2:M$333=$E129)+(Sheet1!M$2:M$333=$E130),""),4)="POST",CONCATENATE(_xlfn._xlws.FILTER(Sheet1!$A$2:$A$333,(Sheet1!M$2:M$333=$E128)+(Sheet1!M$2:M$333=$E129)+(Sheet1!M$2:M$333=$E130),""),"-","POST"),_xlfn._xlws.FILTER(Sheet1!$A$2:$A$333,(Sheet1!M$2:M$333=$E128)+(Sheet1!M$2:M$333=$E129)+(Sheet1!M$2:M$333=$E130),"UNFILLED"))</f>
        <v>VAZQUEZ, ERIC</v>
      </c>
      <c r="K128" s="169" t="str" cm="1">
        <f t="array" ref="K128:K129">IF(RIGHT(_xlfn._xlws.FILTER(Sheet1!$O$2:$O$333,(Sheet1!$O$2:$O$333=$E128)+(Sheet1!$O$2:$O$333=$E129)+(Sheet1!$O$2:$O$333=$E130),""),4)="POST",CONCATENATE(_xlfn._xlws.FILTER(Sheet1!$A$2:$A$333,(Sheet1!$O$2:$O$333=$E128)+(Sheet1!$O$2:$O$333=$E129)+(Sheet1!$O$2:$O$333=$E130),""),"-","POST"),_xlfn._xlws.FILTER(Sheet1!$A$2:$A$333,(Sheet1!$O$2:$O$333=$E128)+(Sheet1!$O$2:$O$333=$E129)+(Sheet1!$O$2:$O$333=$E130),"UNFILLED"))</f>
        <v>VAZQUEZ, ERIC</v>
      </c>
      <c r="L128" s="169" t="str" cm="1">
        <f t="array" ref="L128:L129">IF(RIGHT(_xlfn._xlws.FILTER(Sheet1!$Q$2:$Q$333,(Sheet1!$Q$2:$Q$333=$E128)+(Sheet1!$Q$2:$Q$333=$E129)+(Sheet1!$Q$2:$Q$333=$E130),""),4)="POST",CONCATENATE(_xlfn._xlws.FILTER(Sheet1!$A$2:$A$333,(Sheet1!$Q$2:$Q$333=$E128)+(Sheet1!$Q$2:$Q$333=$E129)+(Sheet1!$Q$2:$Q$333=$E130),""),"-","POST"),_xlfn._xlws.FILTER(Sheet1!$A$2:$A$333,(Sheet1!$Q$2:$Q$333=$E128)+(Sheet1!$Q$2:$Q$333=$E129)+(Sheet1!$Q$2:$Q$333=$E130),"UNFILLED"))</f>
        <v>GONZALEZ, OAKLEY</v>
      </c>
      <c r="M128" s="169" t="str" cm="1">
        <f t="array" ref="M128:M129">IF(RIGHT(_xlfn._xlws.FILTER(Sheet1!$S$2:$S$333,(Sheet1!$S$2:$S$333=$E128)+(Sheet1!$S$2:$S$333=$E129)+(Sheet1!$S$2:$S$333=$E130),""),4)="POST",CONCATENATE(_xlfn._xlws.FILTER(Sheet1!$A$2:$A$333,(Sheet1!$S$2:$S$333=$E128)+(Sheet1!$S$2:$S$333=$E129)+(Sheet1!$S$2:$S$333=$E130),""),"-","POST"),_xlfn._xlws.FILTER(Sheet1!$A$2:$A$333,(Sheet1!$S$2:$S$333=$E128)+(Sheet1!$S$2:$S$333=$E129)+(Sheet1!$S$2:$S$333=$E130),"UNFILLED"))</f>
        <v>VAZQUEZ, ERIC</v>
      </c>
      <c r="W128" s="417"/>
      <c r="X128" s="170"/>
      <c r="Y128" s="170"/>
      <c r="Z128" s="170"/>
      <c r="AA128" s="170"/>
      <c r="AB128" s="170"/>
      <c r="AC128" s="170"/>
      <c r="AD128" s="170"/>
    </row>
    <row r="129" spans="1:30" ht="17.25" customHeight="1" x14ac:dyDescent="0.4">
      <c r="A129" s="153"/>
      <c r="C129" s="412"/>
      <c r="D129" s="413"/>
      <c r="E129" s="168" t="str">
        <f>_xlfn.CONCAT(E128,"-","POST")</f>
        <v>CG-2-POST</v>
      </c>
      <c r="F129" s="415"/>
      <c r="G129" s="171" t="str">
        <v>WALKER, JERI-POST</v>
      </c>
      <c r="H129" s="171" t="str">
        <v>WALKER, JERI-POST</v>
      </c>
      <c r="I129" s="171" t="str">
        <v>WALKER, JERI-POST</v>
      </c>
      <c r="J129" s="171" t="str">
        <v>WAVER, ANDREW-POST</v>
      </c>
      <c r="K129" s="171" t="str">
        <v>WAVER, ANDREW-POST</v>
      </c>
      <c r="L129" s="171" t="str">
        <v>WAVER, ANDREW-POST</v>
      </c>
      <c r="M129" s="171" t="str">
        <v>WAVER, ANDREW-POST</v>
      </c>
      <c r="W129" s="417"/>
      <c r="X129" s="172"/>
      <c r="Y129" s="172"/>
      <c r="Z129" s="172"/>
      <c r="AA129" s="172"/>
      <c r="AB129" s="172"/>
      <c r="AC129" s="172"/>
      <c r="AD129" s="172"/>
    </row>
    <row r="130" spans="1:30" ht="17.25" customHeight="1" x14ac:dyDescent="0.4">
      <c r="A130" s="153"/>
      <c r="C130" s="412"/>
      <c r="D130" s="413"/>
      <c r="E130" s="168" t="str">
        <f>_xlfn.CONCAT(E128,"-","PILOT")</f>
        <v>CG-2-PILOT</v>
      </c>
      <c r="F130" s="416"/>
      <c r="G130" s="173"/>
      <c r="H130" s="173"/>
      <c r="I130" s="173"/>
      <c r="J130" s="173"/>
      <c r="K130" s="173"/>
      <c r="L130" s="173"/>
      <c r="M130" s="173"/>
      <c r="W130" s="417"/>
      <c r="X130" s="172"/>
      <c r="Y130" s="172"/>
      <c r="Z130" s="172"/>
      <c r="AA130" s="172"/>
      <c r="AB130" s="172"/>
      <c r="AC130" s="172"/>
      <c r="AD130" s="172"/>
    </row>
    <row r="131" spans="1:30" ht="17.25" customHeight="1" x14ac:dyDescent="0.45">
      <c r="A131" s="153"/>
      <c r="C131" s="412"/>
      <c r="D131" s="413"/>
      <c r="E131" s="175" t="s">
        <v>132</v>
      </c>
      <c r="F131" s="414" t="s">
        <v>98</v>
      </c>
      <c r="G131" s="169" t="str" cm="1">
        <f t="array" ref="G131">IF(RIGHT(_xlfn._xlws.FILTER(Sheet1!$G$2:$G$333,(Sheet1!$G$2:$G$333=$E131)+(Sheet1!$G$2:$G$333=$E132)+(Sheet1!$G$2:$G$333=$E133),""),4)="POST",CONCATENATE(_xlfn._xlws.FILTER(Sheet1!$A$2:$A$333,(Sheet1!$G$2:$G$333=$E131)+(Sheet1!$G$2:$G$333=$E132)+(Sheet1!$G$2:$G$333=$E133),""),"-","POST"),_xlfn._xlws.FILTER(Sheet1!$A$2:$A$333,(Sheet1!$G$2:$G$333=$E131)+(Sheet1!$G$2:$G$333=$E132)+(Sheet1!$G$2:$G$333=$E133),"UNFILLED"))</f>
        <v>FIELDS, DETRON</v>
      </c>
      <c r="H131" s="169" t="str" cm="1">
        <f t="array" ref="H131">IF(RIGHT(_xlfn._xlws.FILTER(Sheet1!$I$2:$I$333,(Sheet1!$I$2:$I$333=$E131)+(Sheet1!$I$2:$I$333=$E132)+(Sheet1!$I$2:$I$333=$E133),""),4)="POST",CONCATENATE(_xlfn._xlws.FILTER(Sheet1!$A$2:$A$333,(Sheet1!$I$2:$I$333=$E131)+(Sheet1!$I$2:$I$333=$E132)+(Sheet1!$I$2:$I$333=$E133),""),"-","POST"),_xlfn._xlws.FILTER(Sheet1!$A$2:$A$333,(Sheet1!$I$2:$I$333=$E131)+(Sheet1!$I$2:$I$333=$E132)+(Sheet1!$I$2:$I$333=$E133),"UNFILLED"))</f>
        <v>FIELDS, DETRON</v>
      </c>
      <c r="I131" s="169" t="str" cm="1">
        <f t="array" ref="I131">IF(RIGHT(_xlfn._xlws.FILTER(Sheet1!$K$2:$K$333,(Sheet1!$K$2:$K$333=$E131)+(Sheet1!$K$2:$K$333=$E132)+(Sheet1!$K$2:$K$333=$E133),""),4)="POST",CONCATENATE(_xlfn._xlws.FILTER(Sheet1!$A$2:$A$333,(Sheet1!$K$2:$K$333=$E131)+(Sheet1!$K$2:$K$333=$E132)+(Sheet1!$K$2:$K$333=$E133),""),"-","POST"),_xlfn._xlws.FILTER(Sheet1!$A$2:$A$333,(Sheet1!$K$2:$K$333=$E131)+(Sheet1!$K$2:$K$333=$E132)+(Sheet1!$K$2:$K$333=$E133),"UNFILLED"))</f>
        <v>JAMES, NICHOLAS</v>
      </c>
      <c r="J131" s="169" t="str" cm="1">
        <f t="array" ref="J131">IF(RIGHT(_xlfn._xlws.FILTER(Sheet1!M$2:M$333,(Sheet1!M$2:M$333=$E131)+(Sheet1!M$2:M$333=$E132)+(Sheet1!M$2:M$333=$E133),""),4)="POST",CONCATENATE(_xlfn._xlws.FILTER(Sheet1!$A$2:$A$333,(Sheet1!M$2:M$333=$E131)+(Sheet1!M$2:M$333=$E132)+(Sheet1!M$2:M$333=$E133),""),"-","POST"),_xlfn._xlws.FILTER(Sheet1!$A$2:$A$333,(Sheet1!M$2:M$333=$E131)+(Sheet1!M$2:M$333=$E132)+(Sheet1!M$2:M$333=$E133),"UNFILLED"))</f>
        <v>JAMES, NICHOLAS</v>
      </c>
      <c r="K131" s="169" t="str" cm="1">
        <f t="array" ref="K131">IF(RIGHT(_xlfn._xlws.FILTER(Sheet1!$O$2:$O$333,(Sheet1!$O$2:$O$333=$E131)+(Sheet1!$O$2:$O$333=$E132)+(Sheet1!$O$2:$O$333=$E133),""),4)="POST",CONCATENATE(_xlfn._xlws.FILTER(Sheet1!$A$2:$A$333,(Sheet1!$O$2:$O$333=$E131)+(Sheet1!$O$2:$O$333=$E132)+(Sheet1!$O$2:$O$333=$E133),""),"-","POST"),_xlfn._xlws.FILTER(Sheet1!$A$2:$A$333,(Sheet1!$O$2:$O$333=$E131)+(Sheet1!$O$2:$O$333=$E132)+(Sheet1!$O$2:$O$333=$E133),"UNFILLED"))</f>
        <v>FIELDS, DETRON</v>
      </c>
      <c r="L131" s="169" t="str" cm="1">
        <f t="array" ref="L131">IF(RIGHT(_xlfn._xlws.FILTER(Sheet1!$Q$2:$Q$333,(Sheet1!$Q$2:$Q$333=$E131)+(Sheet1!$Q$2:$Q$333=$E132)+(Sheet1!$Q$2:$Q$333=$E133),""),4)="POST",CONCATENATE(_xlfn._xlws.FILTER(Sheet1!$A$2:$A$333,(Sheet1!$Q$2:$Q$333=$E131)+(Sheet1!$Q$2:$Q$333=$E132)+(Sheet1!$Q$2:$Q$333=$E133),""),"-","POST"),_xlfn._xlws.FILTER(Sheet1!$A$2:$A$333,(Sheet1!$Q$2:$Q$333=$E131)+(Sheet1!$Q$2:$Q$333=$E132)+(Sheet1!$Q$2:$Q$333=$E133),"UNFILLED"))</f>
        <v>FIELDS, DETRON</v>
      </c>
      <c r="M131" s="169" t="str" cm="1">
        <f t="array" ref="M131">IF(RIGHT(_xlfn._xlws.FILTER(Sheet1!$S$2:$S$333,(Sheet1!$S$2:$S$333=$E131)+(Sheet1!$S$2:$S$333=$E132)+(Sheet1!$S$2:$S$333=$E133),""),4)="POST",CONCATENATE(_xlfn._xlws.FILTER(Sheet1!$A$2:$A$333,(Sheet1!$S$2:$S$333=$E131)+(Sheet1!$S$2:$S$333=$E132)+(Sheet1!$S$2:$S$333=$E133),""),"-","POST"),_xlfn._xlws.FILTER(Sheet1!$A$2:$A$333,(Sheet1!$S$2:$S$333=$E131)+(Sheet1!$S$2:$S$333=$E132)+(Sheet1!$S$2:$S$333=$E133),"UNFILLED"))</f>
        <v>FIELDS, DETRON</v>
      </c>
      <c r="W131" s="417"/>
      <c r="X131" s="170"/>
      <c r="Y131" s="170"/>
      <c r="Z131" s="170"/>
      <c r="AA131" s="170"/>
      <c r="AB131" s="170"/>
      <c r="AC131" s="170"/>
      <c r="AD131" s="170"/>
    </row>
    <row r="132" spans="1:30" ht="17.25" customHeight="1" x14ac:dyDescent="0.4">
      <c r="A132" s="153"/>
      <c r="C132" s="412"/>
      <c r="D132" s="413"/>
      <c r="E132" s="168" t="str">
        <f>_xlfn.CONCAT(E131,"-","POST")</f>
        <v>DE-2-POST</v>
      </c>
      <c r="F132" s="415"/>
      <c r="G132" s="171"/>
      <c r="H132" s="171"/>
      <c r="I132" s="171"/>
      <c r="J132" s="171"/>
      <c r="K132" s="171"/>
      <c r="L132" s="171"/>
      <c r="M132" s="171"/>
      <c r="W132" s="417"/>
      <c r="X132" s="172"/>
      <c r="Y132" s="172"/>
      <c r="Z132" s="172"/>
      <c r="AA132" s="172"/>
      <c r="AB132" s="172"/>
      <c r="AC132" s="172"/>
      <c r="AD132" s="172"/>
    </row>
    <row r="133" spans="1:30" ht="17.25" customHeight="1" x14ac:dyDescent="0.4">
      <c r="A133" s="153"/>
      <c r="C133" s="412"/>
      <c r="D133" s="413"/>
      <c r="E133" s="168" t="str">
        <f>_xlfn.CONCAT(E131,"-","PILOT")</f>
        <v>DE-2-PILOT</v>
      </c>
      <c r="F133" s="416"/>
      <c r="G133" s="173"/>
      <c r="H133" s="173"/>
      <c r="I133" s="173"/>
      <c r="J133" s="173"/>
      <c r="K133" s="173"/>
      <c r="L133" s="173"/>
      <c r="M133" s="173"/>
      <c r="W133" s="417"/>
      <c r="X133" s="172"/>
      <c r="Y133" s="172"/>
      <c r="Z133" s="172"/>
      <c r="AA133" s="172"/>
      <c r="AB133" s="172"/>
      <c r="AC133" s="172"/>
      <c r="AD133" s="172"/>
    </row>
    <row r="134" spans="1:30" ht="17.25" customHeight="1" x14ac:dyDescent="0.45">
      <c r="A134" s="153"/>
      <c r="C134" s="412"/>
      <c r="D134" s="413"/>
      <c r="E134" s="175" t="s">
        <v>133</v>
      </c>
      <c r="F134" s="414" t="s">
        <v>100</v>
      </c>
      <c r="G134" s="169" t="str" cm="1">
        <f t="array" ref="G134">IF(RIGHT(_xlfn._xlws.FILTER(Sheet1!$G$2:$G$333,(Sheet1!$G$2:$G$333=$E134)+(Sheet1!$G$2:$G$333=$E135)+(Sheet1!$G$2:$G$333=$E136),""),4)="POST",CONCATENATE(_xlfn._xlws.FILTER(Sheet1!$A$2:$A$333,(Sheet1!$G$2:$G$333=$E134)+(Sheet1!$G$2:$G$333=$E135)+(Sheet1!$G$2:$G$333=$E136),""),"-","POST"),_xlfn._xlws.FILTER(Sheet1!$A$2:$A$333,(Sheet1!$G$2:$G$333=$E134)+(Sheet1!$G$2:$G$333=$E135)+(Sheet1!$G$2:$G$333=$E136),"UNFILLED"))</f>
        <v>KENNEDY, JOSEPH</v>
      </c>
      <c r="H134" s="169" t="str" cm="1">
        <f t="array" ref="H134">IF(RIGHT(_xlfn._xlws.FILTER(Sheet1!$I$2:$I$333,(Sheet1!$I$2:$I$333=$E134)+(Sheet1!$I$2:$I$333=$E135)+(Sheet1!$I$2:$I$333=$E136),""),4)="POST",CONCATENATE(_xlfn._xlws.FILTER(Sheet1!$A$2:$A$333,(Sheet1!$I$2:$I$333=$E134)+(Sheet1!$I$2:$I$333=$E135)+(Sheet1!$I$2:$I$333=$E136),""),"-","POST"),_xlfn._xlws.FILTER(Sheet1!$A$2:$A$333,(Sheet1!$I$2:$I$333=$E134)+(Sheet1!$I$2:$I$333=$E135)+(Sheet1!$I$2:$I$333=$E136),"UNFILLED"))</f>
        <v>KENNEDY, JOSEPH</v>
      </c>
      <c r="I134" s="169" t="str" cm="1">
        <f t="array" ref="I134">IF(RIGHT(_xlfn._xlws.FILTER(Sheet1!$K$2:$K$333,(Sheet1!$K$2:$K$333=$E134)+(Sheet1!$K$2:$K$333=$E135)+(Sheet1!$K$2:$K$333=$E136),""),4)="POST",CONCATENATE(_xlfn._xlws.FILTER(Sheet1!$A$2:$A$333,(Sheet1!$K$2:$K$333=$E134)+(Sheet1!$K$2:$K$333=$E135)+(Sheet1!$K$2:$K$333=$E136),""),"-","POST"),_xlfn._xlws.FILTER(Sheet1!$A$2:$A$333,(Sheet1!$K$2:$K$333=$E134)+(Sheet1!$K$2:$K$333=$E135)+(Sheet1!$K$2:$K$333=$E136),"UNFILLED"))</f>
        <v>KENNEDY, JOSEPH</v>
      </c>
      <c r="J134" s="169" t="str" cm="1">
        <f t="array" ref="J134">IF(RIGHT(_xlfn._xlws.FILTER(Sheet1!M$2:M$333,(Sheet1!M$2:M$333=$E134)+(Sheet1!M$2:M$333=$E135)+(Sheet1!M$2:M$333=$E136),""),4)="POST",CONCATENATE(_xlfn._xlws.FILTER(Sheet1!$A$2:$A$333,(Sheet1!M$2:M$333=$E134)+(Sheet1!M$2:M$333=$E135)+(Sheet1!M$2:M$333=$E136),""),"-","POST"),_xlfn._xlws.FILTER(Sheet1!$A$2:$A$333,(Sheet1!M$2:M$333=$E134)+(Sheet1!M$2:M$333=$E135)+(Sheet1!M$2:M$333=$E136),"UNFILLED"))</f>
        <v>BRIMAH, ABDUL</v>
      </c>
      <c r="K134" s="169" t="str" cm="1">
        <f t="array" ref="K134">IF(RIGHT(_xlfn._xlws.FILTER(Sheet1!$O$2:$O$333,(Sheet1!$O$2:$O$333=$E134)+(Sheet1!$O$2:$O$333=$E135)+(Sheet1!$O$2:$O$333=$E136),""),4)="POST",CONCATENATE(_xlfn._xlws.FILTER(Sheet1!$A$2:$A$333,(Sheet1!$O$2:$O$333=$E134)+(Sheet1!$O$2:$O$333=$E135)+(Sheet1!$O$2:$O$333=$E136),""),"-","POST"),_xlfn._xlws.FILTER(Sheet1!$A$2:$A$333,(Sheet1!$O$2:$O$333=$E134)+(Sheet1!$O$2:$O$333=$E135)+(Sheet1!$O$2:$O$333=$E136),"UNFILLED"))</f>
        <v>BRIMAH, ABDUL</v>
      </c>
      <c r="L134" s="169" t="str" cm="1">
        <f t="array" ref="L134">IF(RIGHT(_xlfn._xlws.FILTER(Sheet1!$Q$2:$Q$333,(Sheet1!$Q$2:$Q$333=$E134)+(Sheet1!$Q$2:$Q$333=$E135)+(Sheet1!$Q$2:$Q$333=$E136),""),4)="POST",CONCATENATE(_xlfn._xlws.FILTER(Sheet1!$A$2:$A$333,(Sheet1!$Q$2:$Q$333=$E134)+(Sheet1!$Q$2:$Q$333=$E135)+(Sheet1!$Q$2:$Q$333=$E136),""),"-","POST"),_xlfn._xlws.FILTER(Sheet1!$A$2:$A$333,(Sheet1!$Q$2:$Q$333=$E134)+(Sheet1!$Q$2:$Q$333=$E135)+(Sheet1!$Q$2:$Q$333=$E136),"UNFILLED"))</f>
        <v>KENNEDY, JOSEPH</v>
      </c>
      <c r="M134" s="169" t="str" cm="1">
        <f t="array" ref="M134">IF(RIGHT(_xlfn._xlws.FILTER(Sheet1!$S$2:$S$333,(Sheet1!$S$2:$S$333=$E134)+(Sheet1!$S$2:$S$333=$E135)+(Sheet1!$S$2:$S$333=$E136),""),4)="POST",CONCATENATE(_xlfn._xlws.FILTER(Sheet1!$A$2:$A$333,(Sheet1!$S$2:$S$333=$E134)+(Sheet1!$S$2:$S$333=$E135)+(Sheet1!$S$2:$S$333=$E136),""),"-","POST"),_xlfn._xlws.FILTER(Sheet1!$A$2:$A$333,(Sheet1!$S$2:$S$333=$E134)+(Sheet1!$S$2:$S$333=$E135)+(Sheet1!$S$2:$S$333=$E136),"UNFILLED"))</f>
        <v>MIMS, CHRISTOPHER</v>
      </c>
      <c r="W134" s="417"/>
      <c r="X134" s="170"/>
      <c r="Y134" s="170"/>
      <c r="Z134" s="170"/>
      <c r="AA134" s="170"/>
      <c r="AB134" s="170"/>
      <c r="AC134" s="170"/>
      <c r="AD134" s="170"/>
    </row>
    <row r="135" spans="1:30" ht="17.25" customHeight="1" x14ac:dyDescent="0.4">
      <c r="A135" s="153"/>
      <c r="C135" s="412"/>
      <c r="D135" s="413"/>
      <c r="E135" s="168" t="str">
        <f>_xlfn.CONCAT(E134,"-","POST")</f>
        <v>MT-2-POST</v>
      </c>
      <c r="F135" s="415"/>
      <c r="G135" s="171"/>
      <c r="H135" s="171"/>
      <c r="I135" s="171"/>
      <c r="J135" s="171"/>
      <c r="K135" s="171"/>
      <c r="L135" s="171"/>
      <c r="M135" s="171"/>
      <c r="W135" s="417"/>
      <c r="X135" s="172"/>
      <c r="Y135" s="172"/>
      <c r="Z135" s="172"/>
      <c r="AA135" s="172"/>
      <c r="AB135" s="172"/>
      <c r="AC135" s="172"/>
      <c r="AD135" s="172"/>
    </row>
    <row r="136" spans="1:30" ht="17.25" customHeight="1" x14ac:dyDescent="0.4">
      <c r="A136" s="153"/>
      <c r="C136" s="412"/>
      <c r="D136" s="413"/>
      <c r="E136" s="168" t="str">
        <f>_xlfn.CONCAT(E134,"-","PILOT")</f>
        <v>MT-2-PILOT</v>
      </c>
      <c r="F136" s="416"/>
      <c r="G136" s="173"/>
      <c r="H136" s="173"/>
      <c r="I136" s="173"/>
      <c r="J136" s="173"/>
      <c r="K136" s="173"/>
      <c r="L136" s="173"/>
      <c r="M136" s="173"/>
      <c r="W136" s="417"/>
      <c r="X136" s="172"/>
      <c r="Y136" s="172"/>
      <c r="Z136" s="172"/>
      <c r="AA136" s="172"/>
      <c r="AB136" s="172"/>
      <c r="AC136" s="172"/>
      <c r="AD136" s="172"/>
    </row>
    <row r="137" spans="1:30" ht="17.25" customHeight="1" x14ac:dyDescent="0.45">
      <c r="A137" s="153"/>
      <c r="C137" s="412"/>
      <c r="D137" s="413"/>
      <c r="E137" s="175" t="s">
        <v>134</v>
      </c>
      <c r="F137" s="414" t="s">
        <v>102</v>
      </c>
      <c r="G137" s="169" t="str" cm="1">
        <f t="array" ref="G137">IF(RIGHT(_xlfn._xlws.FILTER(Sheet1!$G$2:$G$333,(Sheet1!$G$2:$G$333=$E137)+(Sheet1!$G$2:$G$333=$E138)+(Sheet1!$G$2:$G$333=$E139),""),4)="POST",CONCATENATE(_xlfn._xlws.FILTER(Sheet1!$A$2:$A$333,(Sheet1!$G$2:$G$333=$E137)+(Sheet1!$G$2:$G$333=$E138)+(Sheet1!$G$2:$G$333=$E139),""),"-","POST"),_xlfn._xlws.FILTER(Sheet1!$A$2:$A$333,(Sheet1!$G$2:$G$333=$E137)+(Sheet1!$G$2:$G$333=$E138)+(Sheet1!$G$2:$G$333=$E139),"UNFILLED"))</f>
        <v>SOLES, BILL</v>
      </c>
      <c r="H137" s="169" t="str" cm="1">
        <f t="array" ref="H137:H138">IF(RIGHT(_xlfn._xlws.FILTER(Sheet1!$I$2:$I$333,(Sheet1!$I$2:$I$333=$E137)+(Sheet1!$I$2:$I$333=$E138)+(Sheet1!$I$2:$I$333=$E139),""),4)="POST",CONCATENATE(_xlfn._xlws.FILTER(Sheet1!$A$2:$A$333,(Sheet1!$I$2:$I$333=$E137)+(Sheet1!$I$2:$I$333=$E138)+(Sheet1!$I$2:$I$333=$E139),""),"-","POST"),_xlfn._xlws.FILTER(Sheet1!$A$2:$A$333,(Sheet1!$I$2:$I$333=$E137)+(Sheet1!$I$2:$I$333=$E138)+(Sheet1!$I$2:$I$333=$E139),"UNFILLED"))</f>
        <v>BONNER, DEVIAN</v>
      </c>
      <c r="I137" s="169" t="str" cm="1">
        <f t="array" ref="I137:I138">IF(RIGHT(_xlfn._xlws.FILTER(Sheet1!$K$2:$K$333,(Sheet1!$K$2:$K$333=$E137)+(Sheet1!$K$2:$K$333=$E138)+(Sheet1!$K$2:$K$333=$E139),""),4)="POST",CONCATENATE(_xlfn._xlws.FILTER(Sheet1!$A$2:$A$333,(Sheet1!$K$2:$K$333=$E137)+(Sheet1!$K$2:$K$333=$E138)+(Sheet1!$K$2:$K$333=$E139),""),"-","POST"),_xlfn._xlws.FILTER(Sheet1!$A$2:$A$333,(Sheet1!$K$2:$K$333=$E137)+(Sheet1!$K$2:$K$333=$E138)+(Sheet1!$K$2:$K$333=$E139),"UNFILLED"))</f>
        <v>BONNER, DEVIAN</v>
      </c>
      <c r="J137" s="169" t="str" cm="1">
        <f t="array" ref="J137:J138">IF(RIGHT(_xlfn._xlws.FILTER(Sheet1!M$2:M$333,(Sheet1!M$2:M$333=$E137)+(Sheet1!M$2:M$333=$E138)+(Sheet1!M$2:M$333=$E139),""),4)="POST",CONCATENATE(_xlfn._xlws.FILTER(Sheet1!$A$2:$A$333,(Sheet1!M$2:M$333=$E137)+(Sheet1!M$2:M$333=$E138)+(Sheet1!M$2:M$333=$E139),""),"-","POST"),_xlfn._xlws.FILTER(Sheet1!$A$2:$A$333,(Sheet1!M$2:M$333=$E137)+(Sheet1!M$2:M$333=$E138)+(Sheet1!M$2:M$333=$E139),"UNFILLED"))</f>
        <v>NARBEN, GODWIN-POST</v>
      </c>
      <c r="K137" s="169" t="str" cm="1">
        <f t="array" ref="K137">IF(RIGHT(_xlfn._xlws.FILTER(Sheet1!$O$2:$O$333,(Sheet1!$O$2:$O$333=$E137)+(Sheet1!$O$2:$O$333=$E138)+(Sheet1!$O$2:$O$333=$E139),""),4)="POST",CONCATENATE(_xlfn._xlws.FILTER(Sheet1!$A$2:$A$333,(Sheet1!$O$2:$O$333=$E137)+(Sheet1!$O$2:$O$333=$E138)+(Sheet1!$O$2:$O$333=$E139),""),"-","POST"),_xlfn._xlws.FILTER(Sheet1!$A$2:$A$333,(Sheet1!$O$2:$O$333=$E137)+(Sheet1!$O$2:$O$333=$E138)+(Sheet1!$O$2:$O$333=$E139),"UNFILLED"))</f>
        <v>SOLES, BILL</v>
      </c>
      <c r="L137" s="169" t="str" cm="1">
        <f t="array" ref="L137">IF(RIGHT(_xlfn._xlws.FILTER(Sheet1!$Q$2:$Q$333,(Sheet1!$Q$2:$Q$333=$E137)+(Sheet1!$Q$2:$Q$333=$E138)+(Sheet1!$Q$2:$Q$333=$E139),""),4)="POST",CONCATENATE(_xlfn._xlws.FILTER(Sheet1!$A$2:$A$333,(Sheet1!$Q$2:$Q$333=$E137)+(Sheet1!$Q$2:$Q$333=$E138)+(Sheet1!$Q$2:$Q$333=$E139),""),"-","POST"),_xlfn._xlws.FILTER(Sheet1!$A$2:$A$333,(Sheet1!$Q$2:$Q$333=$E137)+(Sheet1!$Q$2:$Q$333=$E138)+(Sheet1!$Q$2:$Q$333=$E139),"UNFILLED"))</f>
        <v>SOLES, BILL</v>
      </c>
      <c r="M137" s="169" t="str" cm="1">
        <f t="array" ref="M137">IF(RIGHT(_xlfn._xlws.FILTER(Sheet1!$S$2:$S$333,(Sheet1!$S$2:$S$333=$E137)+(Sheet1!$S$2:$S$333=$E138)+(Sheet1!$S$2:$S$333=$E139),""),4)="POST",CONCATENATE(_xlfn._xlws.FILTER(Sheet1!$A$2:$A$333,(Sheet1!$S$2:$S$333=$E137)+(Sheet1!$S$2:$S$333=$E138)+(Sheet1!$S$2:$S$333=$E139),""),"-","POST"),_xlfn._xlws.FILTER(Sheet1!$A$2:$A$333,(Sheet1!$S$2:$S$333=$E137)+(Sheet1!$S$2:$S$333=$E138)+(Sheet1!$S$2:$S$333=$E139),"UNFILLED"))</f>
        <v>SOLES, BILL</v>
      </c>
      <c r="W137" s="417"/>
      <c r="X137" s="170"/>
      <c r="Y137" s="170"/>
      <c r="Z137" s="170"/>
      <c r="AA137" s="170"/>
      <c r="AB137" s="170"/>
      <c r="AC137" s="170"/>
      <c r="AD137" s="170"/>
    </row>
    <row r="138" spans="1:30" ht="17.25" customHeight="1" x14ac:dyDescent="0.4">
      <c r="A138" s="153"/>
      <c r="C138" s="412"/>
      <c r="D138" s="413"/>
      <c r="E138" s="168" t="str">
        <f>_xlfn.CONCAT(E137,"-","POST")</f>
        <v>SA-2-POST</v>
      </c>
      <c r="F138" s="415"/>
      <c r="G138" s="171"/>
      <c r="H138" s="171" t="str">
        <v>NARBEN, GODWIN-POST</v>
      </c>
      <c r="I138" s="171" t="str">
        <v>NARBEN, GODWIN-POST</v>
      </c>
      <c r="J138" s="171" t="str">
        <v>SOLES, BILL</v>
      </c>
      <c r="K138" s="171"/>
      <c r="L138" s="171"/>
      <c r="M138" s="171"/>
      <c r="W138" s="417"/>
      <c r="X138" s="172"/>
      <c r="Y138" s="172"/>
      <c r="Z138" s="172"/>
      <c r="AA138" s="172"/>
      <c r="AB138" s="172"/>
      <c r="AC138" s="172"/>
      <c r="AD138" s="172"/>
    </row>
    <row r="139" spans="1:30" ht="17.25" customHeight="1" x14ac:dyDescent="0.4">
      <c r="A139" s="153"/>
      <c r="C139" s="412"/>
      <c r="D139" s="413"/>
      <c r="E139" s="168" t="str">
        <f>_xlfn.CONCAT(E137,"-","PILOT")</f>
        <v>SA-2-PILOT</v>
      </c>
      <c r="F139" s="416"/>
      <c r="G139" s="173"/>
      <c r="H139" s="173"/>
      <c r="I139" s="173"/>
      <c r="J139" s="173"/>
      <c r="K139" s="173"/>
      <c r="L139" s="173"/>
      <c r="M139" s="173"/>
      <c r="W139" s="417"/>
      <c r="X139" s="172"/>
      <c r="Y139" s="172"/>
      <c r="Z139" s="172"/>
      <c r="AA139" s="172"/>
      <c r="AB139" s="172"/>
      <c r="AC139" s="172"/>
      <c r="AD139" s="172"/>
    </row>
    <row r="140" spans="1:30" ht="25.5" customHeight="1" thickBot="1" x14ac:dyDescent="0.5">
      <c r="A140" s="153"/>
      <c r="C140" s="412"/>
      <c r="D140" s="413"/>
      <c r="E140" s="175"/>
      <c r="F140" s="418" t="s">
        <v>26</v>
      </c>
      <c r="G140" s="419"/>
      <c r="H140" s="419"/>
      <c r="I140" s="419"/>
      <c r="J140" s="419"/>
      <c r="K140" s="419"/>
      <c r="L140" s="419"/>
      <c r="M140" s="420"/>
      <c r="W140" s="167"/>
      <c r="X140" s="167"/>
      <c r="Y140" s="167"/>
      <c r="Z140" s="167"/>
      <c r="AA140" s="167"/>
      <c r="AB140" s="167"/>
      <c r="AC140" s="167"/>
      <c r="AD140" s="167"/>
    </row>
    <row r="141" spans="1:30" ht="17.25" customHeight="1" thickTop="1" x14ac:dyDescent="0.45">
      <c r="A141" s="153"/>
      <c r="C141" s="412"/>
      <c r="D141" s="413"/>
      <c r="E141" s="175" t="s">
        <v>135</v>
      </c>
      <c r="F141" s="414" t="s">
        <v>104</v>
      </c>
      <c r="G141" s="169" t="str" cm="1">
        <f t="array" ref="G141">IF(RIGHT(_xlfn._xlws.FILTER(Sheet1!$G$2:$G$333,(Sheet1!$G$2:$G$333=$E141)+(Sheet1!$G$2:$G$333=$E142)+(Sheet1!$G$2:$G$333=$E143),""),4)="POST",CONCATENATE(_xlfn._xlws.FILTER(Sheet1!$A$2:$A$333,(Sheet1!$G$2:$G$333=$E141)+(Sheet1!$G$2:$G$333=$E142)+(Sheet1!$G$2:$G$333=$E143),""),"-","POST"),_xlfn._xlws.FILTER(Sheet1!$A$2:$A$333,(Sheet1!$G$2:$G$333=$E141)+(Sheet1!$G$2:$G$333=$E142)+(Sheet1!$G$2:$G$333=$E143),"UNFILLED"))</f>
        <v>BOLEN, MEGAN</v>
      </c>
      <c r="H141" s="169" t="str" cm="1">
        <f t="array" ref="H141">IF(RIGHT(_xlfn._xlws.FILTER(Sheet1!$I$2:$I$333,(Sheet1!$I$2:$I$333=$E141)+(Sheet1!$I$2:$I$333=$E142)+(Sheet1!$I$2:$I$333=$E143),""),4)="POST",CONCATENATE(_xlfn._xlws.FILTER(Sheet1!$A$2:$A$333,(Sheet1!$I$2:$I$333=$E141)+(Sheet1!$I$2:$I$333=$E142)+(Sheet1!$I$2:$I$333=$E143),""),"-","POST"),_xlfn._xlws.FILTER(Sheet1!$A$2:$A$333,(Sheet1!$I$2:$I$333=$E141)+(Sheet1!$I$2:$I$333=$E142)+(Sheet1!$I$2:$I$333=$E143),"UNFILLED"))</f>
        <v>BOLEN, MEGAN</v>
      </c>
      <c r="I141" s="169" t="str" cm="1">
        <f t="array" ref="I141">IF(RIGHT(_xlfn._xlws.FILTER(Sheet1!$K$2:$K$333,(Sheet1!$K$2:$K$333=$E141)+(Sheet1!$K$2:$K$333=$E142)+(Sheet1!$K$2:$K$333=$E143),""),4)="POST",CONCATENATE(_xlfn._xlws.FILTER(Sheet1!$A$2:$A$333,(Sheet1!$K$2:$K$333=$E141)+(Sheet1!$K$2:$K$333=$E142)+(Sheet1!$K$2:$K$333=$E143),""),"-","POST"),_xlfn._xlws.FILTER(Sheet1!$A$2:$A$333,(Sheet1!$K$2:$K$333=$E141)+(Sheet1!$K$2:$K$333=$E142)+(Sheet1!$K$2:$K$333=$E143),"UNFILLED"))</f>
        <v>BOLEN, MEGAN</v>
      </c>
      <c r="J141" s="169" t="str" cm="1">
        <f t="array" ref="J141">IF(RIGHT(_xlfn._xlws.FILTER(Sheet1!M$2:M$333,(Sheet1!M$2:M$333=$E141)+(Sheet1!M$2:M$333=$E142)+(Sheet1!M$2:M$333=$E143),""),4)="POST",CONCATENATE(_xlfn._xlws.FILTER(Sheet1!$A$2:$A$333,(Sheet1!M$2:M$333=$E141)+(Sheet1!M$2:M$333=$E142)+(Sheet1!M$2:M$333=$E143),""),"-","POST"),_xlfn._xlws.FILTER(Sheet1!$A$2:$A$333,(Sheet1!M$2:M$333=$E141)+(Sheet1!M$2:M$333=$E142)+(Sheet1!M$2:M$333=$E143),"UNFILLED"))</f>
        <v>COLEMAN, JOEL</v>
      </c>
      <c r="K141" s="169" t="str" cm="1">
        <f t="array" ref="K141">IF(RIGHT(_xlfn._xlws.FILTER(Sheet1!$O$2:$O$333,(Sheet1!$O$2:$O$333=$E141)+(Sheet1!$O$2:$O$333=$E142)+(Sheet1!$O$2:$O$333=$E143),""),4)="POST",CONCATENATE(_xlfn._xlws.FILTER(Sheet1!$A$2:$A$333,(Sheet1!$O$2:$O$333=$E141)+(Sheet1!$O$2:$O$333=$E142)+(Sheet1!$O$2:$O$333=$E143),""),"-","POST"),_xlfn._xlws.FILTER(Sheet1!$A$2:$A$333,(Sheet1!$O$2:$O$333=$E141)+(Sheet1!$O$2:$O$333=$E142)+(Sheet1!$O$2:$O$333=$E143),"UNFILLED"))</f>
        <v>COLEMAN, JOEL</v>
      </c>
      <c r="L141" s="169" t="str" cm="1">
        <f t="array" ref="L141">IF(RIGHT(_xlfn._xlws.FILTER(Sheet1!$Q$2:$Q$333,(Sheet1!$Q$2:$Q$333=$E141)+(Sheet1!$Q$2:$Q$333=$E142)+(Sheet1!$Q$2:$Q$333=$E143),""),4)="POST",CONCATENATE(_xlfn._xlws.FILTER(Sheet1!$A$2:$A$333,(Sheet1!$Q$2:$Q$333=$E141)+(Sheet1!$Q$2:$Q$333=$E142)+(Sheet1!$Q$2:$Q$333=$E143),""),"-","POST"),_xlfn._xlws.FILTER(Sheet1!$A$2:$A$333,(Sheet1!$Q$2:$Q$333=$E141)+(Sheet1!$Q$2:$Q$333=$E142)+(Sheet1!$Q$2:$Q$333=$E143),"UNFILLED"))</f>
        <v>BOLEN, MEGAN</v>
      </c>
      <c r="M141" s="169" t="str" cm="1">
        <f t="array" ref="M141">IF(RIGHT(_xlfn._xlws.FILTER(Sheet1!$S$2:$S$333,(Sheet1!$S$2:$S$333=$E141)+(Sheet1!$S$2:$S$333=$E142)+(Sheet1!$S$2:$S$333=$E143),""),4)="POST",CONCATENATE(_xlfn._xlws.FILTER(Sheet1!$A$2:$A$333,(Sheet1!$S$2:$S$333=$E141)+(Sheet1!$S$2:$S$333=$E142)+(Sheet1!$S$2:$S$333=$E143),""),"-","POST"),_xlfn._xlws.FILTER(Sheet1!$A$2:$A$333,(Sheet1!$S$2:$S$333=$E141)+(Sheet1!$S$2:$S$333=$E142)+(Sheet1!$S$2:$S$333=$E143),"UNFILLED"))</f>
        <v>BOLEN, MEGAN</v>
      </c>
      <c r="W141" s="417"/>
      <c r="X141" s="170"/>
      <c r="Y141" s="170"/>
      <c r="Z141" s="170"/>
      <c r="AA141" s="170"/>
      <c r="AB141" s="170"/>
      <c r="AC141" s="170"/>
      <c r="AD141" s="170"/>
    </row>
    <row r="142" spans="1:30" ht="17.25" customHeight="1" x14ac:dyDescent="0.4">
      <c r="A142" s="153"/>
      <c r="C142" s="412"/>
      <c r="D142" s="413"/>
      <c r="E142" s="168" t="str">
        <f>_xlfn.CONCAT(E141,"-","POST")</f>
        <v>KC-2-POST</v>
      </c>
      <c r="F142" s="415"/>
      <c r="G142" s="171"/>
      <c r="H142" s="171"/>
      <c r="I142" s="171"/>
      <c r="J142" s="171"/>
      <c r="K142" s="171"/>
      <c r="L142" s="171"/>
      <c r="M142" s="171"/>
      <c r="W142" s="417"/>
      <c r="X142" s="172"/>
      <c r="Y142" s="172"/>
      <c r="Z142" s="172"/>
      <c r="AA142" s="172"/>
      <c r="AB142" s="172"/>
      <c r="AC142" s="172"/>
      <c r="AD142" s="172"/>
    </row>
    <row r="143" spans="1:30" ht="17.25" customHeight="1" x14ac:dyDescent="0.4">
      <c r="A143" s="153"/>
      <c r="C143" s="412"/>
      <c r="D143" s="413"/>
      <c r="E143" s="168" t="str">
        <f>_xlfn.CONCAT(E141,"-","PILOT")</f>
        <v>KC-2-PILOT</v>
      </c>
      <c r="F143" s="416"/>
      <c r="G143" s="173"/>
      <c r="H143" s="173"/>
      <c r="I143" s="173"/>
      <c r="J143" s="173"/>
      <c r="K143" s="173"/>
      <c r="L143" s="173"/>
      <c r="M143" s="173"/>
      <c r="W143" s="417"/>
      <c r="X143" s="172"/>
      <c r="Y143" s="172"/>
      <c r="Z143" s="172"/>
      <c r="AA143" s="172"/>
      <c r="AB143" s="172"/>
      <c r="AC143" s="172"/>
      <c r="AD143" s="172"/>
    </row>
    <row r="144" spans="1:30" ht="17.25" customHeight="1" x14ac:dyDescent="0.45">
      <c r="A144" s="153"/>
      <c r="C144" s="412"/>
      <c r="D144" s="413"/>
      <c r="E144" s="175" t="s">
        <v>136</v>
      </c>
      <c r="F144" s="414" t="s">
        <v>106</v>
      </c>
      <c r="G144" s="169" t="str" cm="1">
        <f t="array" ref="G144">IF(RIGHT(_xlfn._xlws.FILTER(Sheet1!$G$2:$G$333,(Sheet1!$G$2:$G$333=$E144)+(Sheet1!$G$2:$G$333=$E145)+(Sheet1!$G$2:$G$333=$E146),""),4)="POST",CONCATENATE(_xlfn._xlws.FILTER(Sheet1!$A$2:$A$333,(Sheet1!$G$2:$G$333=$E144)+(Sheet1!$G$2:$G$333=$E145)+(Sheet1!$G$2:$G$333=$E146),""),"-","POST"),_xlfn._xlws.FILTER(Sheet1!$A$2:$A$333,(Sheet1!$G$2:$G$333=$E144)+(Sheet1!$G$2:$G$333=$E145)+(Sheet1!$G$2:$G$333=$E146),"UNFILLED"))</f>
        <v>KNORRE, ANDREA</v>
      </c>
      <c r="H144" s="169" t="str" cm="1">
        <f t="array" ref="H144">IF(RIGHT(_xlfn._xlws.FILTER(Sheet1!$I$2:$I$333,(Sheet1!$I$2:$I$333=$E144)+(Sheet1!$I$2:$I$333=$E145)+(Sheet1!$I$2:$I$333=$E146),""),4)="POST",CONCATENATE(_xlfn._xlws.FILTER(Sheet1!$A$2:$A$333,(Sheet1!$I$2:$I$333=$E144)+(Sheet1!$I$2:$I$333=$E145)+(Sheet1!$I$2:$I$333=$E146),""),"-","POST"),_xlfn._xlws.FILTER(Sheet1!$A$2:$A$333,(Sheet1!$I$2:$I$333=$E144)+(Sheet1!$I$2:$I$333=$E145)+(Sheet1!$I$2:$I$333=$E146),"UNFILLED"))</f>
        <v>ROBINSON, AARON</v>
      </c>
      <c r="I144" s="169" t="str" cm="1">
        <f t="array" ref="I144">IF(RIGHT(_xlfn._xlws.FILTER(Sheet1!$K$2:$K$333,(Sheet1!$K$2:$K$333=$E144)+(Sheet1!$K$2:$K$333=$E145)+(Sheet1!$K$2:$K$333=$E146),""),4)="POST",CONCATENATE(_xlfn._xlws.FILTER(Sheet1!$A$2:$A$333,(Sheet1!$K$2:$K$333=$E144)+(Sheet1!$K$2:$K$333=$E145)+(Sheet1!$K$2:$K$333=$E146),""),"-","POST"),_xlfn._xlws.FILTER(Sheet1!$A$2:$A$333,(Sheet1!$K$2:$K$333=$E144)+(Sheet1!$K$2:$K$333=$E145)+(Sheet1!$K$2:$K$333=$E146),"UNFILLED"))</f>
        <v>ROBINSON, AARON</v>
      </c>
      <c r="J144" s="169" t="str" cm="1">
        <f t="array" ref="J144">IF(RIGHT(_xlfn._xlws.FILTER(Sheet1!M$2:M$333,(Sheet1!M$2:M$333=$E144)+(Sheet1!M$2:M$333=$E145)+(Sheet1!M$2:M$333=$E146),""),4)="POST",CONCATENATE(_xlfn._xlws.FILTER(Sheet1!$A$2:$A$333,(Sheet1!M$2:M$333=$E144)+(Sheet1!M$2:M$333=$E145)+(Sheet1!M$2:M$333=$E146),""),"-","POST"),_xlfn._xlws.FILTER(Sheet1!$A$2:$A$333,(Sheet1!M$2:M$333=$E144)+(Sheet1!M$2:M$333=$E145)+(Sheet1!M$2:M$333=$E146),"UNFILLED"))</f>
        <v>KNORRE, ANDREA</v>
      </c>
      <c r="K144" s="169" t="str" cm="1">
        <f t="array" ref="K144">IF(RIGHT(_xlfn._xlws.FILTER(Sheet1!$O$2:$O$333,(Sheet1!$O$2:$O$333=$E144)+(Sheet1!$O$2:$O$333=$E145)+(Sheet1!$O$2:$O$333=$E146),""),4)="POST",CONCATENATE(_xlfn._xlws.FILTER(Sheet1!$A$2:$A$333,(Sheet1!$O$2:$O$333=$E144)+(Sheet1!$O$2:$O$333=$E145)+(Sheet1!$O$2:$O$333=$E146),""),"-","POST"),_xlfn._xlws.FILTER(Sheet1!$A$2:$A$333,(Sheet1!$O$2:$O$333=$E144)+(Sheet1!$O$2:$O$333=$E145)+(Sheet1!$O$2:$O$333=$E146),"UNFILLED"))</f>
        <v>KNORRE, ANDREA</v>
      </c>
      <c r="L144" s="169" t="str" cm="1">
        <f t="array" ref="L144">IF(RIGHT(_xlfn._xlws.FILTER(Sheet1!$Q$2:$Q$333,(Sheet1!$Q$2:$Q$333=$E144)+(Sheet1!$Q$2:$Q$333=$E145)+(Sheet1!$Q$2:$Q$333=$E146),""),4)="POST",CONCATENATE(_xlfn._xlws.FILTER(Sheet1!$A$2:$A$333,(Sheet1!$Q$2:$Q$333=$E144)+(Sheet1!$Q$2:$Q$333=$E145)+(Sheet1!$Q$2:$Q$333=$E146),""),"-","POST"),_xlfn._xlws.FILTER(Sheet1!$A$2:$A$333,(Sheet1!$Q$2:$Q$333=$E144)+(Sheet1!$Q$2:$Q$333=$E145)+(Sheet1!$Q$2:$Q$333=$E146),"UNFILLED"))</f>
        <v>KNORRE, ANDREA</v>
      </c>
      <c r="M144" s="169" t="str" cm="1">
        <f t="array" ref="M144">IF(RIGHT(_xlfn._xlws.FILTER(Sheet1!$S$2:$S$333,(Sheet1!$S$2:$S$333=$E144)+(Sheet1!$S$2:$S$333=$E145)+(Sheet1!$S$2:$S$333=$E146),""),4)="POST",CONCATENATE(_xlfn._xlws.FILTER(Sheet1!$A$2:$A$333,(Sheet1!$S$2:$S$333=$E144)+(Sheet1!$S$2:$S$333=$E145)+(Sheet1!$S$2:$S$333=$E146),""),"-","POST"),_xlfn._xlws.FILTER(Sheet1!$A$2:$A$333,(Sheet1!$S$2:$S$333=$E144)+(Sheet1!$S$2:$S$333=$E145)+(Sheet1!$S$2:$S$333=$E146),"UNFILLED"))</f>
        <v>KNORRE, ANDREA</v>
      </c>
      <c r="W144" s="417"/>
      <c r="X144" s="170"/>
      <c r="Y144" s="170"/>
      <c r="Z144" s="170"/>
      <c r="AA144" s="170"/>
      <c r="AB144" s="170"/>
      <c r="AC144" s="170"/>
      <c r="AD144" s="170"/>
    </row>
    <row r="145" spans="1:30" ht="17.25" customHeight="1" x14ac:dyDescent="0.4">
      <c r="A145" s="153"/>
      <c r="C145" s="412"/>
      <c r="D145" s="413"/>
      <c r="E145" s="168" t="str">
        <f>_xlfn.CONCAT(E144,"-","POST")</f>
        <v>SP-2-POST</v>
      </c>
      <c r="F145" s="415"/>
      <c r="G145" s="171"/>
      <c r="H145" s="171"/>
      <c r="I145" s="171"/>
      <c r="J145" s="171"/>
      <c r="K145" s="171"/>
      <c r="L145" s="171"/>
      <c r="M145" s="171"/>
      <c r="W145" s="417"/>
      <c r="X145" s="172"/>
      <c r="Y145" s="172"/>
      <c r="Z145" s="172"/>
      <c r="AA145" s="172"/>
      <c r="AB145" s="172"/>
      <c r="AC145" s="172"/>
      <c r="AD145" s="172"/>
    </row>
    <row r="146" spans="1:30" ht="17.25" customHeight="1" x14ac:dyDescent="0.4">
      <c r="A146" s="153"/>
      <c r="C146" s="412"/>
      <c r="D146" s="413"/>
      <c r="E146" s="168" t="str">
        <f>_xlfn.CONCAT(E144,"-","PILOT")</f>
        <v>SP-2-PILOT</v>
      </c>
      <c r="F146" s="416"/>
      <c r="G146" s="173"/>
      <c r="H146" s="173"/>
      <c r="I146" s="173"/>
      <c r="J146" s="173"/>
      <c r="K146" s="173"/>
      <c r="L146" s="173"/>
      <c r="M146" s="173"/>
      <c r="W146" s="417"/>
      <c r="X146" s="172"/>
      <c r="Y146" s="172"/>
      <c r="Z146" s="172"/>
      <c r="AA146" s="172"/>
      <c r="AB146" s="172"/>
      <c r="AC146" s="172"/>
      <c r="AD146" s="172"/>
    </row>
    <row r="147" spans="1:30" ht="17.25" customHeight="1" x14ac:dyDescent="0.45">
      <c r="A147" s="153"/>
      <c r="C147" s="412"/>
      <c r="D147" s="413"/>
      <c r="E147" s="175" t="s">
        <v>137</v>
      </c>
      <c r="F147" s="414" t="s">
        <v>108</v>
      </c>
      <c r="G147" s="169" t="str" cm="1">
        <f t="array" ref="G147">IF(RIGHT(_xlfn._xlws.FILTER(Sheet1!$G$2:$G$333,(Sheet1!$G$2:$G$333=$E147)+(Sheet1!$G$2:$G$333=$E148)+(Sheet1!$G$2:$G$333=$E149),""),4)="POST",CONCATENATE(_xlfn._xlws.FILTER(Sheet1!$A$2:$A$333,(Sheet1!$G$2:$G$333=$E147)+(Sheet1!$G$2:$G$333=$E148)+(Sheet1!$G$2:$G$333=$E149),""),"-","POST"),_xlfn._xlws.FILTER(Sheet1!$A$2:$A$333,(Sheet1!$G$2:$G$333=$E147)+(Sheet1!$G$2:$G$333=$E148)+(Sheet1!$G$2:$G$333=$E149),"UNFILLED"))</f>
        <v>HESSELTINE, BRAEDEN</v>
      </c>
      <c r="H147" s="169" t="str" cm="1">
        <f t="array" ref="H147">IF(RIGHT(_xlfn._xlws.FILTER(Sheet1!$I$2:$I$333,(Sheet1!$I$2:$I$333=$E147)+(Sheet1!$I$2:$I$333=$E148)+(Sheet1!$I$2:$I$333=$E149),""),4)="POST",CONCATENATE(_xlfn._xlws.FILTER(Sheet1!$A$2:$A$333,(Sheet1!$I$2:$I$333=$E147)+(Sheet1!$I$2:$I$333=$E148)+(Sheet1!$I$2:$I$333=$E149),""),"-","POST"),_xlfn._xlws.FILTER(Sheet1!$A$2:$A$333,(Sheet1!$I$2:$I$333=$E147)+(Sheet1!$I$2:$I$333=$E148)+(Sheet1!$I$2:$I$333=$E149),"UNFILLED"))</f>
        <v>HESSELTINE, BRAEDEN</v>
      </c>
      <c r="I147" s="169" t="str" cm="1">
        <f t="array" ref="I147">IF(RIGHT(_xlfn._xlws.FILTER(Sheet1!$K$2:$K$333,(Sheet1!$K$2:$K$333=$E147)+(Sheet1!$K$2:$K$333=$E148)+(Sheet1!$K$2:$K$333=$E149),""),4)="POST",CONCATENATE(_xlfn._xlws.FILTER(Sheet1!$A$2:$A$333,(Sheet1!$K$2:$K$333=$E147)+(Sheet1!$K$2:$K$333=$E148)+(Sheet1!$K$2:$K$333=$E149),""),"-","POST"),_xlfn._xlws.FILTER(Sheet1!$A$2:$A$333,(Sheet1!$K$2:$K$333=$E147)+(Sheet1!$K$2:$K$333=$E148)+(Sheet1!$K$2:$K$333=$E149),"UNFILLED"))</f>
        <v>OWENS, XAVIER</v>
      </c>
      <c r="J147" s="169" t="str" cm="1">
        <f t="array" ref="J147">IF(RIGHT(_xlfn._xlws.FILTER(Sheet1!M$2:M$333,(Sheet1!M$2:M$333=$E147)+(Sheet1!M$2:M$333=$E148)+(Sheet1!M$2:M$333=$E149),""),4)="POST",CONCATENATE(_xlfn._xlws.FILTER(Sheet1!$A$2:$A$333,(Sheet1!M$2:M$333=$E147)+(Sheet1!M$2:M$333=$E148)+(Sheet1!M$2:M$333=$E149),""),"-","POST"),_xlfn._xlws.FILTER(Sheet1!$A$2:$A$333,(Sheet1!M$2:M$333=$E147)+(Sheet1!M$2:M$333=$E148)+(Sheet1!M$2:M$333=$E149),"UNFILLED"))</f>
        <v>HUGHES, DESHON</v>
      </c>
      <c r="K147" s="169" t="str" cm="1">
        <f t="array" ref="K147">IF(RIGHT(_xlfn._xlws.FILTER(Sheet1!$O$2:$O$333,(Sheet1!$O$2:$O$333=$E147)+(Sheet1!$O$2:$O$333=$E148)+(Sheet1!$O$2:$O$333=$E149),""),4)="POST",CONCATENATE(_xlfn._xlws.FILTER(Sheet1!$A$2:$A$333,(Sheet1!$O$2:$O$333=$E147)+(Sheet1!$O$2:$O$333=$E148)+(Sheet1!$O$2:$O$333=$E149),""),"-","POST"),_xlfn._xlws.FILTER(Sheet1!$A$2:$A$333,(Sheet1!$O$2:$O$333=$E147)+(Sheet1!$O$2:$O$333=$E148)+(Sheet1!$O$2:$O$333=$E149),"UNFILLED"))</f>
        <v>BLAIR, ROBERT</v>
      </c>
      <c r="L147" s="169" t="str" cm="1">
        <f t="array" ref="L147">IF(RIGHT(_xlfn._xlws.FILTER(Sheet1!$Q$2:$Q$333,(Sheet1!$Q$2:$Q$333=$E147)+(Sheet1!$Q$2:$Q$333=$E148)+(Sheet1!$Q$2:$Q$333=$E149),""),4)="POST",CONCATENATE(_xlfn._xlws.FILTER(Sheet1!$A$2:$A$333,(Sheet1!$Q$2:$Q$333=$E147)+(Sheet1!$Q$2:$Q$333=$E148)+(Sheet1!$Q$2:$Q$333=$E149),""),"-","POST"),_xlfn._xlws.FILTER(Sheet1!$A$2:$A$333,(Sheet1!$Q$2:$Q$333=$E147)+(Sheet1!$Q$2:$Q$333=$E148)+(Sheet1!$Q$2:$Q$333=$E149),"UNFILLED"))</f>
        <v>ARTHER, BART</v>
      </c>
      <c r="M147" s="169" t="str" cm="1">
        <f t="array" ref="M147">IF(RIGHT(_xlfn._xlws.FILTER(Sheet1!$S$2:$S$333,(Sheet1!$S$2:$S$333=$E147)+(Sheet1!$S$2:$S$333=$E148)+(Sheet1!$S$2:$S$333=$E149),""),4)="POST",CONCATENATE(_xlfn._xlws.FILTER(Sheet1!$A$2:$A$333,(Sheet1!$S$2:$S$333=$E147)+(Sheet1!$S$2:$S$333=$E148)+(Sheet1!$S$2:$S$333=$E149),""),"-","POST"),_xlfn._xlws.FILTER(Sheet1!$A$2:$A$333,(Sheet1!$S$2:$S$333=$E147)+(Sheet1!$S$2:$S$333=$E148)+(Sheet1!$S$2:$S$333=$E149),"UNFILLED"))</f>
        <v>BLAIR, ROBERT</v>
      </c>
      <c r="W147" s="417"/>
      <c r="X147" s="170"/>
      <c r="Y147" s="170"/>
      <c r="Z147" s="170"/>
      <c r="AA147" s="170"/>
      <c r="AB147" s="170"/>
      <c r="AC147" s="170"/>
      <c r="AD147" s="170"/>
    </row>
    <row r="148" spans="1:30" ht="17.25" customHeight="1" x14ac:dyDescent="0.4">
      <c r="A148" s="153"/>
      <c r="C148" s="412"/>
      <c r="D148" s="413"/>
      <c r="E148" s="168" t="str">
        <f>_xlfn.CONCAT(E147,"-","POST")</f>
        <v>LF-2-POST</v>
      </c>
      <c r="F148" s="415"/>
      <c r="G148" s="171"/>
      <c r="H148" s="171"/>
      <c r="I148" s="171"/>
      <c r="J148" s="171"/>
      <c r="K148" s="171"/>
      <c r="L148" s="171"/>
      <c r="M148" s="171"/>
      <c r="W148" s="417"/>
      <c r="X148" s="172"/>
      <c r="Y148" s="172"/>
      <c r="Z148" s="172"/>
      <c r="AA148" s="172"/>
      <c r="AB148" s="172"/>
      <c r="AC148" s="172"/>
      <c r="AD148" s="172"/>
    </row>
    <row r="149" spans="1:30" ht="17.25" customHeight="1" x14ac:dyDescent="0.4">
      <c r="A149" s="153"/>
      <c r="C149" s="412"/>
      <c r="D149" s="413"/>
      <c r="E149" s="168" t="str">
        <f>_xlfn.CONCAT(E147,"-","PILOT")</f>
        <v>LF-2-PILOT</v>
      </c>
      <c r="F149" s="416"/>
      <c r="G149" s="173"/>
      <c r="H149" s="173"/>
      <c r="I149" s="173"/>
      <c r="J149" s="173"/>
      <c r="K149" s="173"/>
      <c r="L149" s="173"/>
      <c r="M149" s="173"/>
      <c r="W149" s="417"/>
      <c r="X149" s="172"/>
      <c r="Y149" s="172"/>
      <c r="Z149" s="172"/>
      <c r="AA149" s="172"/>
      <c r="AB149" s="172"/>
      <c r="AC149" s="172"/>
      <c r="AD149" s="172"/>
    </row>
    <row r="150" spans="1:30" ht="17.25" customHeight="1" x14ac:dyDescent="0.45">
      <c r="A150" s="153"/>
      <c r="C150" s="412"/>
      <c r="D150" s="413"/>
      <c r="E150" s="175" t="s">
        <v>138</v>
      </c>
      <c r="F150" s="414" t="s">
        <v>110</v>
      </c>
      <c r="G150" s="169" t="str" cm="1">
        <f t="array" ref="G150">IF(RIGHT(_xlfn._xlws.FILTER(Sheet1!$G$2:$G$333,(Sheet1!$G$2:$G$333=$E150)+(Sheet1!$G$2:$G$333=$E151)+(Sheet1!$G$2:$G$333=$E152),""),4)="POST",CONCATENATE(_xlfn._xlws.FILTER(Sheet1!$A$2:$A$333,(Sheet1!$G$2:$G$333=$E150)+(Sheet1!$G$2:$G$333=$E151)+(Sheet1!$G$2:$G$333=$E152),""),"-","POST"),_xlfn._xlws.FILTER(Sheet1!$A$2:$A$333,(Sheet1!$G$2:$G$333=$E150)+(Sheet1!$G$2:$G$333=$E151)+(Sheet1!$G$2:$G$333=$E152),"UNFILLED"))</f>
        <v>PIETSCH, DAN</v>
      </c>
      <c r="H150" s="169" t="str" cm="1">
        <f t="array" ref="H150">IF(RIGHT(_xlfn._xlws.FILTER(Sheet1!$I$2:$I$333,(Sheet1!$I$2:$I$333=$E150)+(Sheet1!$I$2:$I$333=$E151)+(Sheet1!$I$2:$I$333=$E152),""),4)="POST",CONCATENATE(_xlfn._xlws.FILTER(Sheet1!$A$2:$A$333,(Sheet1!$I$2:$I$333=$E150)+(Sheet1!$I$2:$I$333=$E151)+(Sheet1!$I$2:$I$333=$E152),""),"-","POST"),_xlfn._xlws.FILTER(Sheet1!$A$2:$A$333,(Sheet1!$I$2:$I$333=$E150)+(Sheet1!$I$2:$I$333=$E151)+(Sheet1!$I$2:$I$333=$E152),"UNFILLED"))</f>
        <v>CHERRY, ERICA</v>
      </c>
      <c r="I150" s="169" t="str" cm="1">
        <f t="array" ref="I150">IF(RIGHT(_xlfn._xlws.FILTER(Sheet1!$K$2:$K$333,(Sheet1!$K$2:$K$333=$E150)+(Sheet1!$K$2:$K$333=$E151)+(Sheet1!$K$2:$K$333=$E152),""),4)="POST",CONCATENATE(_xlfn._xlws.FILTER(Sheet1!$A$2:$A$333,(Sheet1!$K$2:$K$333=$E150)+(Sheet1!$K$2:$K$333=$E151)+(Sheet1!$K$2:$K$333=$E152),""),"-","POST"),_xlfn._xlws.FILTER(Sheet1!$A$2:$A$333,(Sheet1!$K$2:$K$333=$E150)+(Sheet1!$K$2:$K$333=$E151)+(Sheet1!$K$2:$K$333=$E152),"UNFILLED"))</f>
        <v>CHERRY, ERICA</v>
      </c>
      <c r="J150" s="169" t="str" cm="1">
        <f t="array" ref="J150">IF(RIGHT(_xlfn._xlws.FILTER(Sheet1!M$2:M$333,(Sheet1!M$2:M$333=$E150)+(Sheet1!M$2:M$333=$E151)+(Sheet1!M$2:M$333=$E152),""),4)="POST",CONCATENATE(_xlfn._xlws.FILTER(Sheet1!$A$2:$A$333,(Sheet1!M$2:M$333=$E150)+(Sheet1!M$2:M$333=$E151)+(Sheet1!M$2:M$333=$E152),""),"-","POST"),_xlfn._xlws.FILTER(Sheet1!$A$2:$A$333,(Sheet1!M$2:M$333=$E150)+(Sheet1!M$2:M$333=$E151)+(Sheet1!M$2:M$333=$E152),"UNFILLED"))</f>
        <v>PIETSCH, DAN</v>
      </c>
      <c r="K150" s="169" t="str" cm="1">
        <f t="array" ref="K150">IF(RIGHT(_xlfn._xlws.FILTER(Sheet1!$O$2:$O$333,(Sheet1!$O$2:$O$333=$E150)+(Sheet1!$O$2:$O$333=$E151)+(Sheet1!$O$2:$O$333=$E152),""),4)="POST",CONCATENATE(_xlfn._xlws.FILTER(Sheet1!$A$2:$A$333,(Sheet1!$O$2:$O$333=$E150)+(Sheet1!$O$2:$O$333=$E151)+(Sheet1!$O$2:$O$333=$E152),""),"-","POST"),_xlfn._xlws.FILTER(Sheet1!$A$2:$A$333,(Sheet1!$O$2:$O$333=$E150)+(Sheet1!$O$2:$O$333=$E151)+(Sheet1!$O$2:$O$333=$E152),"UNFILLED"))</f>
        <v>PIETSCH, DAN</v>
      </c>
      <c r="L150" s="169" t="str" cm="1">
        <f t="array" ref="L150">IF(RIGHT(_xlfn._xlws.FILTER(Sheet1!$Q$2:$Q$333,(Sheet1!$Q$2:$Q$333=$E150)+(Sheet1!$Q$2:$Q$333=$E151)+(Sheet1!$Q$2:$Q$333=$E152),""),4)="POST",CONCATENATE(_xlfn._xlws.FILTER(Sheet1!$A$2:$A$333,(Sheet1!$Q$2:$Q$333=$E150)+(Sheet1!$Q$2:$Q$333=$E151)+(Sheet1!$Q$2:$Q$333=$E152),""),"-","POST"),_xlfn._xlws.FILTER(Sheet1!$A$2:$A$333,(Sheet1!$Q$2:$Q$333=$E150)+(Sheet1!$Q$2:$Q$333=$E151)+(Sheet1!$Q$2:$Q$333=$E152),"UNFILLED"))</f>
        <v>PIETSCH, DAN</v>
      </c>
      <c r="M150" s="169" t="str" cm="1">
        <f t="array" ref="M150">IF(RIGHT(_xlfn._xlws.FILTER(Sheet1!$S$2:$S$333,(Sheet1!$S$2:$S$333=$E150)+(Sheet1!$S$2:$S$333=$E151)+(Sheet1!$S$2:$S$333=$E152),""),4)="POST",CONCATENATE(_xlfn._xlws.FILTER(Sheet1!$A$2:$A$333,(Sheet1!$S$2:$S$333=$E150)+(Sheet1!$S$2:$S$333=$E151)+(Sheet1!$S$2:$S$333=$E152),""),"-","POST"),_xlfn._xlws.FILTER(Sheet1!$A$2:$A$333,(Sheet1!$S$2:$S$333=$E150)+(Sheet1!$S$2:$S$333=$E151)+(Sheet1!$S$2:$S$333=$E152),"UNFILLED"))</f>
        <v>PIETSCH, DAN</v>
      </c>
      <c r="W150" s="417"/>
      <c r="X150" s="170"/>
      <c r="Y150" s="170"/>
      <c r="Z150" s="170"/>
      <c r="AA150" s="170"/>
      <c r="AB150" s="170"/>
      <c r="AC150" s="170"/>
      <c r="AD150" s="170"/>
    </row>
    <row r="151" spans="1:30" ht="17.25" customHeight="1" x14ac:dyDescent="0.4">
      <c r="A151" s="153"/>
      <c r="C151" s="412"/>
      <c r="D151" s="413"/>
      <c r="E151" s="168" t="str">
        <f>_xlfn.CONCAT(E150,"-","POST")</f>
        <v>SW-2-POST</v>
      </c>
      <c r="F151" s="415"/>
      <c r="G151" s="171"/>
      <c r="H151" s="171"/>
      <c r="I151" s="171"/>
      <c r="J151" s="171"/>
      <c r="K151" s="171"/>
      <c r="L151" s="171"/>
      <c r="M151" s="171"/>
      <c r="W151" s="417"/>
      <c r="X151" s="172"/>
      <c r="Y151" s="172"/>
      <c r="Z151" s="172"/>
      <c r="AA151" s="172"/>
      <c r="AB151" s="172"/>
      <c r="AC151" s="172"/>
      <c r="AD151" s="172"/>
    </row>
    <row r="152" spans="1:30" ht="17.25" customHeight="1" x14ac:dyDescent="0.4">
      <c r="A152" s="153"/>
      <c r="C152" s="412"/>
      <c r="D152" s="413"/>
      <c r="E152" s="168" t="str">
        <f>_xlfn.CONCAT(E150,"-","PILOT")</f>
        <v>SW-2-PILOT</v>
      </c>
      <c r="F152" s="416"/>
      <c r="G152" s="173"/>
      <c r="H152" s="173"/>
      <c r="I152" s="173"/>
      <c r="J152" s="173"/>
      <c r="K152" s="173"/>
      <c r="L152" s="173"/>
      <c r="M152" s="173"/>
      <c r="W152" s="417"/>
      <c r="X152" s="172"/>
      <c r="Y152" s="172"/>
      <c r="Z152" s="172"/>
      <c r="AA152" s="172"/>
      <c r="AB152" s="172"/>
      <c r="AC152" s="172"/>
      <c r="AD152" s="172"/>
    </row>
    <row r="153" spans="1:30" ht="17.25" customHeight="1" x14ac:dyDescent="0.45">
      <c r="A153" s="153"/>
      <c r="C153" s="412"/>
      <c r="D153" s="413"/>
      <c r="E153" s="175" t="s">
        <v>139</v>
      </c>
      <c r="F153" s="414" t="s">
        <v>112</v>
      </c>
      <c r="G153" s="169" t="str" cm="1">
        <f t="array" ref="G153">IF(RIGHT(_xlfn._xlws.FILTER(Sheet1!$G$2:$G$333,(Sheet1!$G$2:$G$333=$E153)+(Sheet1!$G$2:$G$333=$E154)+(Sheet1!$G$2:$G$333=$E155),""),4)="POST",CONCATENATE(_xlfn._xlws.FILTER(Sheet1!$A$2:$A$333,(Sheet1!$G$2:$G$333=$E153)+(Sheet1!$G$2:$G$333=$E154)+(Sheet1!$G$2:$G$333=$E155),""),"-","POST"),_xlfn._xlws.FILTER(Sheet1!$A$2:$A$333,(Sheet1!$G$2:$G$333=$E153)+(Sheet1!$G$2:$G$333=$E154)+(Sheet1!$G$2:$G$333=$E155),"UNFILLED"))</f>
        <v>WILLIAMS, SHANAN</v>
      </c>
      <c r="H153" s="169" t="str" cm="1">
        <f t="array" ref="H153">IF(RIGHT(_xlfn._xlws.FILTER(Sheet1!$I$2:$I$333,(Sheet1!$I$2:$I$333=$E153)+(Sheet1!$I$2:$I$333=$E154)+(Sheet1!$I$2:$I$333=$E155),""),4)="POST",CONCATENATE(_xlfn._xlws.FILTER(Sheet1!$A$2:$A$333,(Sheet1!$I$2:$I$333=$E153)+(Sheet1!$I$2:$I$333=$E154)+(Sheet1!$I$2:$I$333=$E155),""),"-","POST"),_xlfn._xlws.FILTER(Sheet1!$A$2:$A$333,(Sheet1!$I$2:$I$333=$E153)+(Sheet1!$I$2:$I$333=$E154)+(Sheet1!$I$2:$I$333=$E155),"UNFILLED"))</f>
        <v>WAGUESPACK, SAMMY</v>
      </c>
      <c r="I153" s="169" t="str" cm="1">
        <f t="array" ref="I153">IF(RIGHT(_xlfn._xlws.FILTER(Sheet1!$K$2:$K$333,(Sheet1!$K$2:$K$333=$E153)+(Sheet1!$K$2:$K$333=$E154)+(Sheet1!$K$2:$K$333=$E155),""),4)="POST",CONCATENATE(_xlfn._xlws.FILTER(Sheet1!$A$2:$A$333,(Sheet1!$K$2:$K$333=$E153)+(Sheet1!$K$2:$K$333=$E154)+(Sheet1!$K$2:$K$333=$E155),""),"-","POST"),_xlfn._xlws.FILTER(Sheet1!$A$2:$A$333,(Sheet1!$K$2:$K$333=$E153)+(Sheet1!$K$2:$K$333=$E154)+(Sheet1!$K$2:$K$333=$E155),"UNFILLED"))</f>
        <v>CAREY, JON</v>
      </c>
      <c r="J153" s="169" t="str" cm="1">
        <f t="array" ref="J153">IF(RIGHT(_xlfn._xlws.FILTER(Sheet1!M$2:M$333,(Sheet1!M$2:M$333=$E153)+(Sheet1!M$2:M$333=$E154)+(Sheet1!M$2:M$333=$E155),""),4)="POST",CONCATENATE(_xlfn._xlws.FILTER(Sheet1!$A$2:$A$333,(Sheet1!M$2:M$333=$E153)+(Sheet1!M$2:M$333=$E154)+(Sheet1!M$2:M$333=$E155),""),"-","POST"),_xlfn._xlws.FILTER(Sheet1!$A$2:$A$333,(Sheet1!M$2:M$333=$E153)+(Sheet1!M$2:M$333=$E154)+(Sheet1!M$2:M$333=$E155),"UNFILLED"))</f>
        <v>GARRETT, DARREN</v>
      </c>
      <c r="K153" s="169" t="str" cm="1">
        <f t="array" ref="K153">IF(RIGHT(_xlfn._xlws.FILTER(Sheet1!$O$2:$O$333,(Sheet1!$O$2:$O$333=$E153)+(Sheet1!$O$2:$O$333=$E154)+(Sheet1!$O$2:$O$333=$E155),""),4)="POST",CONCATENATE(_xlfn._xlws.FILTER(Sheet1!$A$2:$A$333,(Sheet1!$O$2:$O$333=$E153)+(Sheet1!$O$2:$O$333=$E154)+(Sheet1!$O$2:$O$333=$E155),""),"-","POST"),_xlfn._xlws.FILTER(Sheet1!$A$2:$A$333,(Sheet1!$O$2:$O$333=$E153)+(Sheet1!$O$2:$O$333=$E154)+(Sheet1!$O$2:$O$333=$E155),"UNFILLED"))</f>
        <v>WASHINGTON, JOHN</v>
      </c>
      <c r="L153" s="169" t="str" cm="1">
        <f t="array" ref="L153">IF(RIGHT(_xlfn._xlws.FILTER(Sheet1!$Q$2:$Q$333,(Sheet1!$Q$2:$Q$333=$E153)+(Sheet1!$Q$2:$Q$333=$E154)+(Sheet1!$Q$2:$Q$333=$E155),""),4)="POST",CONCATENATE(_xlfn._xlws.FILTER(Sheet1!$A$2:$A$333,(Sheet1!$Q$2:$Q$333=$E153)+(Sheet1!$Q$2:$Q$333=$E154)+(Sheet1!$Q$2:$Q$333=$E155),""),"-","POST"),_xlfn._xlws.FILTER(Sheet1!$A$2:$A$333,(Sheet1!$Q$2:$Q$333=$E153)+(Sheet1!$Q$2:$Q$333=$E154)+(Sheet1!$Q$2:$Q$333=$E155),"UNFILLED"))</f>
        <v>WASHINGTON, JOHN</v>
      </c>
      <c r="M153" s="169" t="str" cm="1">
        <f t="array" ref="M153">IF(RIGHT(_xlfn._xlws.FILTER(Sheet1!$S$2:$S$333,(Sheet1!$S$2:$S$333=$E153)+(Sheet1!$S$2:$S$333=$E154)+(Sheet1!$S$2:$S$333=$E155),""),4)="POST",CONCATENATE(_xlfn._xlws.FILTER(Sheet1!$A$2:$A$333,(Sheet1!$S$2:$S$333=$E153)+(Sheet1!$S$2:$S$333=$E154)+(Sheet1!$S$2:$S$333=$E155),""),"-","POST"),_xlfn._xlws.FILTER(Sheet1!$A$2:$A$333,(Sheet1!$S$2:$S$333=$E153)+(Sheet1!$S$2:$S$333=$E154)+(Sheet1!$S$2:$S$333=$E155),"UNFILLED"))</f>
        <v>GARRETT, DARREN</v>
      </c>
      <c r="W153" s="417"/>
      <c r="X153" s="170"/>
      <c r="Y153" s="170"/>
      <c r="Z153" s="170"/>
      <c r="AA153" s="170"/>
      <c r="AB153" s="170"/>
      <c r="AC153" s="170"/>
      <c r="AD153" s="170"/>
    </row>
    <row r="154" spans="1:30" ht="17.25" customHeight="1" x14ac:dyDescent="0.4">
      <c r="A154" s="153"/>
      <c r="C154" s="412"/>
      <c r="D154" s="413"/>
      <c r="E154" s="168" t="str">
        <f>_xlfn.CONCAT(E153,"-","POST")</f>
        <v>SO-2-POST</v>
      </c>
      <c r="F154" s="415"/>
      <c r="G154" s="171"/>
      <c r="H154" s="171"/>
      <c r="I154" s="171"/>
      <c r="J154" s="171"/>
      <c r="K154" s="171"/>
      <c r="L154" s="171"/>
      <c r="M154" s="171"/>
      <c r="W154" s="417"/>
      <c r="X154" s="172"/>
      <c r="Y154" s="172"/>
      <c r="Z154" s="172"/>
      <c r="AA154" s="167"/>
      <c r="AB154" s="172"/>
      <c r="AC154" s="172"/>
      <c r="AD154" s="172"/>
    </row>
    <row r="155" spans="1:30" ht="17.25" customHeight="1" x14ac:dyDescent="0.4">
      <c r="A155" s="153"/>
      <c r="C155" s="412"/>
      <c r="D155" s="413"/>
      <c r="E155" s="168" t="str">
        <f>_xlfn.CONCAT(E153,"-","PILOT")</f>
        <v>SO-2-PILOT</v>
      </c>
      <c r="F155" s="416"/>
      <c r="G155" s="173"/>
      <c r="H155" s="173"/>
      <c r="I155" s="173"/>
      <c r="J155" s="173"/>
      <c r="K155" s="173"/>
      <c r="L155" s="173"/>
      <c r="M155" s="173"/>
      <c r="W155" s="417"/>
      <c r="X155" s="172"/>
      <c r="Y155" s="172"/>
      <c r="Z155" s="172"/>
      <c r="AA155" s="172"/>
      <c r="AB155" s="172"/>
      <c r="AC155" s="172"/>
      <c r="AD155" s="172"/>
    </row>
    <row r="156" spans="1:30" ht="17.25" customHeight="1" x14ac:dyDescent="0.45">
      <c r="A156" s="153"/>
      <c r="C156" s="412"/>
      <c r="D156" s="413"/>
      <c r="E156" s="175" t="s">
        <v>140</v>
      </c>
      <c r="F156" s="414" t="s">
        <v>114</v>
      </c>
      <c r="G156" s="169" t="str" cm="1">
        <f t="array" ref="G156">IF(RIGHT(_xlfn._xlws.FILTER(Sheet1!$G$2:$G$333,(Sheet1!$G$2:$G$333=$E156)+(Sheet1!$G$2:$G$333=$E157)+(Sheet1!$G$2:$G$333=$E158),""),4)="POST",CONCATENATE(_xlfn._xlws.FILTER(Sheet1!$A$2:$A$333,(Sheet1!$G$2:$G$333=$E156)+(Sheet1!$G$2:$G$333=$E157)+(Sheet1!$G$2:$G$333=$E158),""),"-","POST"),_xlfn._xlws.FILTER(Sheet1!$A$2:$A$333,(Sheet1!$G$2:$G$333=$E156)+(Sheet1!$G$2:$G$333=$E157)+(Sheet1!$G$2:$G$333=$E158),"UNFILLED"))</f>
        <v>THOMAS, RONNIE</v>
      </c>
      <c r="H156" s="169" t="str" cm="1">
        <f t="array" ref="H156">IF(RIGHT(_xlfn._xlws.FILTER(Sheet1!$I$2:$I$333,(Sheet1!$I$2:$I$333=$E156)+(Sheet1!$I$2:$I$333=$E157)+(Sheet1!$I$2:$I$333=$E158),""),4)="POST",CONCATENATE(_xlfn._xlws.FILTER(Sheet1!$A$2:$A$333,(Sheet1!$I$2:$I$333=$E156)+(Sheet1!$I$2:$I$333=$E157)+(Sheet1!$I$2:$I$333=$E158),""),"-","POST"),_xlfn._xlws.FILTER(Sheet1!$A$2:$A$333,(Sheet1!$I$2:$I$333=$E156)+(Sheet1!$I$2:$I$333=$E157)+(Sheet1!$I$2:$I$333=$E158),"UNFILLED"))</f>
        <v>THOMAS, RONNIE</v>
      </c>
      <c r="I156" s="169" t="str" cm="1">
        <f t="array" ref="I156">IF(RIGHT(_xlfn._xlws.FILTER(Sheet1!$K$2:$K$333,(Sheet1!$K$2:$K$333=$E156)+(Sheet1!$K$2:$K$333=$E157)+(Sheet1!$K$2:$K$333=$E158),""),4)="POST",CONCATENATE(_xlfn._xlws.FILTER(Sheet1!$A$2:$A$333,(Sheet1!$K$2:$K$333=$E156)+(Sheet1!$K$2:$K$333=$E157)+(Sheet1!$K$2:$K$333=$E158),""),"-","POST"),_xlfn._xlws.FILTER(Sheet1!$A$2:$A$333,(Sheet1!$K$2:$K$333=$E156)+(Sheet1!$K$2:$K$333=$E157)+(Sheet1!$K$2:$K$333=$E158),"UNFILLED"))</f>
        <v>THOMAS, RONNIE</v>
      </c>
      <c r="J156" s="169" t="str" cm="1">
        <f t="array" ref="J156">IF(RIGHT(_xlfn._xlws.FILTER(Sheet1!M$2:M$333,(Sheet1!M$2:M$333=$E156)+(Sheet1!M$2:M$333=$E157)+(Sheet1!M$2:M$333=$E158),""),4)="POST",CONCATENATE(_xlfn._xlws.FILTER(Sheet1!$A$2:$A$333,(Sheet1!M$2:M$333=$E156)+(Sheet1!M$2:M$333=$E157)+(Sheet1!M$2:M$333=$E158),""),"-","POST"),_xlfn._xlws.FILTER(Sheet1!$A$2:$A$333,(Sheet1!M$2:M$333=$E156)+(Sheet1!M$2:M$333=$E157)+(Sheet1!M$2:M$333=$E158),"UNFILLED"))</f>
        <v>BREITKREUZ, DUSTIN</v>
      </c>
      <c r="K156" s="169" t="str" cm="1">
        <f t="array" ref="K156">IF(RIGHT(_xlfn._xlws.FILTER(Sheet1!$O$2:$O$333,(Sheet1!$O$2:$O$333=$E156)+(Sheet1!$O$2:$O$333=$E157)+(Sheet1!$O$2:$O$333=$E158),""),4)="POST",CONCATENATE(_xlfn._xlws.FILTER(Sheet1!$A$2:$A$333,(Sheet1!$O$2:$O$333=$E156)+(Sheet1!$O$2:$O$333=$E157)+(Sheet1!$O$2:$O$333=$E158),""),"-","POST"),_xlfn._xlws.FILTER(Sheet1!$A$2:$A$333,(Sheet1!$O$2:$O$333=$E156)+(Sheet1!$O$2:$O$333=$E157)+(Sheet1!$O$2:$O$333=$E158),"UNFILLED"))</f>
        <v>THOMAS, RONNIE</v>
      </c>
      <c r="L156" s="169" t="str" cm="1">
        <f t="array" ref="L156:L157">IF(RIGHT(_xlfn._xlws.FILTER(Sheet1!$Q$2:$Q$333,(Sheet1!$Q$2:$Q$333=$E156)+(Sheet1!$Q$2:$Q$333=$E157)+(Sheet1!$Q$2:$Q$333=$E158),""),4)="POST",CONCATENATE(_xlfn._xlws.FILTER(Sheet1!$A$2:$A$333,(Sheet1!$Q$2:$Q$333=$E156)+(Sheet1!$Q$2:$Q$333=$E157)+(Sheet1!$Q$2:$Q$333=$E158),""),"-","POST"),_xlfn._xlws.FILTER(Sheet1!$A$2:$A$333,(Sheet1!$Q$2:$Q$333=$E156)+(Sheet1!$Q$2:$Q$333=$E157)+(Sheet1!$Q$2:$Q$333=$E158),"UNFILLED"))</f>
        <v>STEELE, DAKOTA-POST</v>
      </c>
      <c r="M156" s="169" t="str" cm="1">
        <f t="array" ref="M156:M157">IF(RIGHT(_xlfn._xlws.FILTER(Sheet1!$S$2:$S$333,(Sheet1!$S$2:$S$333=$E156)+(Sheet1!$S$2:$S$333=$E157)+(Sheet1!$S$2:$S$333=$E158),""),4)="POST",CONCATENATE(_xlfn._xlws.FILTER(Sheet1!$A$2:$A$333,(Sheet1!$S$2:$S$333=$E156)+(Sheet1!$S$2:$S$333=$E157)+(Sheet1!$S$2:$S$333=$E158),""),"-","POST"),_xlfn._xlws.FILTER(Sheet1!$A$2:$A$333,(Sheet1!$S$2:$S$333=$E156)+(Sheet1!$S$2:$S$333=$E157)+(Sheet1!$S$2:$S$333=$E158),"UNFILLED"))</f>
        <v>HERRING, DARYL</v>
      </c>
      <c r="W156" s="417"/>
      <c r="X156" s="170"/>
      <c r="Y156" s="170"/>
      <c r="Z156" s="170"/>
      <c r="AA156" s="170"/>
      <c r="AB156" s="170"/>
      <c r="AC156" s="170"/>
      <c r="AD156" s="170"/>
    </row>
    <row r="157" spans="1:30" ht="17.25" customHeight="1" x14ac:dyDescent="0.4">
      <c r="A157" s="153"/>
      <c r="C157" s="412"/>
      <c r="D157" s="413"/>
      <c r="E157" s="168" t="str">
        <f>_xlfn.CONCAT(E156,"-","POST")</f>
        <v>KY-2-POST</v>
      </c>
      <c r="F157" s="415"/>
      <c r="G157" s="171"/>
      <c r="H157" s="171"/>
      <c r="I157" s="171"/>
      <c r="J157" s="171"/>
      <c r="K157" s="171"/>
      <c r="L157" s="171" t="str">
        <v>THOMAS, RONNIE</v>
      </c>
      <c r="M157" s="171" t="str">
        <v>STEELE, DAKOTA-POST</v>
      </c>
      <c r="W157" s="417"/>
      <c r="X157" s="172"/>
      <c r="Y157" s="172"/>
      <c r="Z157" s="172"/>
      <c r="AA157" s="172"/>
      <c r="AB157" s="172"/>
      <c r="AC157" s="172"/>
      <c r="AD157" s="172"/>
    </row>
    <row r="158" spans="1:30" ht="17.25" customHeight="1" x14ac:dyDescent="0.4">
      <c r="A158" s="153"/>
      <c r="C158" s="412"/>
      <c r="D158" s="413"/>
      <c r="E158" s="168" t="str">
        <f>_xlfn.CONCAT(E156,"-","PILOT")</f>
        <v>KY-2-PILOT</v>
      </c>
      <c r="F158" s="416"/>
      <c r="G158" s="173"/>
      <c r="H158" s="173"/>
      <c r="I158" s="173"/>
      <c r="J158" s="173"/>
      <c r="K158" s="173"/>
      <c r="L158" s="173"/>
      <c r="M158" s="173"/>
      <c r="W158" s="417"/>
      <c r="X158" s="172"/>
      <c r="Y158" s="172"/>
      <c r="Z158" s="172"/>
      <c r="AA158" s="172"/>
      <c r="AB158" s="172"/>
      <c r="AC158" s="172"/>
      <c r="AD158" s="172"/>
    </row>
    <row r="159" spans="1:30" ht="17.25" customHeight="1" x14ac:dyDescent="0.45">
      <c r="A159" s="153"/>
      <c r="C159" s="412"/>
      <c r="D159" s="413"/>
      <c r="E159" s="175" t="s">
        <v>141</v>
      </c>
      <c r="F159" s="414" t="s">
        <v>116</v>
      </c>
      <c r="G159" s="169" t="str" cm="1">
        <f t="array" ref="G159">IF(RIGHT(_xlfn._xlws.FILTER(Sheet1!$G$2:$G$333,(Sheet1!$G$2:$G$333=$E159)+(Sheet1!$G$2:$G$333=$E160)+(Sheet1!$G$2:$G$333=$E161),""),4)="POST",CONCATENATE(_xlfn._xlws.FILTER(Sheet1!$A$2:$A$333,(Sheet1!$G$2:$G$333=$E159)+(Sheet1!$G$2:$G$333=$E160)+(Sheet1!$G$2:$G$333=$E161),""),"-","POST"),_xlfn._xlws.FILTER(Sheet1!$A$2:$A$333,(Sheet1!$G$2:$G$333=$E159)+(Sheet1!$G$2:$G$333=$E160)+(Sheet1!$G$2:$G$333=$E161),"UNFILLED"))</f>
        <v>BREITKREUZ, DUSTIN</v>
      </c>
      <c r="H159" s="169" t="str" cm="1">
        <f t="array" ref="H159">IF(RIGHT(_xlfn._xlws.FILTER(Sheet1!$I$2:$I$333,(Sheet1!$I$2:$I$333=$E159)+(Sheet1!$I$2:$I$333=$E160)+(Sheet1!$I$2:$I$333=$E161),""),4)="POST",CONCATENATE(_xlfn._xlws.FILTER(Sheet1!$A$2:$A$333,(Sheet1!$I$2:$I$333=$E159)+(Sheet1!$I$2:$I$333=$E160)+(Sheet1!$I$2:$I$333=$E161),""),"-","POST"),_xlfn._xlws.FILTER(Sheet1!$A$2:$A$333,(Sheet1!$I$2:$I$333=$E159)+(Sheet1!$I$2:$I$333=$E160)+(Sheet1!$I$2:$I$333=$E161),"UNFILLED"))</f>
        <v>BREITKREUZ, DUSTIN</v>
      </c>
      <c r="I159" s="169" t="str" cm="1">
        <f t="array" ref="I159">IF(RIGHT(_xlfn._xlws.FILTER(Sheet1!$K$2:$K$333,(Sheet1!$K$2:$K$333=$E159)+(Sheet1!$K$2:$K$333=$E160)+(Sheet1!$K$2:$K$333=$E161),""),4)="POST",CONCATENATE(_xlfn._xlws.FILTER(Sheet1!$A$2:$A$333,(Sheet1!$K$2:$K$333=$E159)+(Sheet1!$K$2:$K$333=$E160)+(Sheet1!$K$2:$K$333=$E161),""),"-","POST"),_xlfn._xlws.FILTER(Sheet1!$A$2:$A$333,(Sheet1!$K$2:$K$333=$E159)+(Sheet1!$K$2:$K$333=$E160)+(Sheet1!$K$2:$K$333=$E161),"UNFILLED"))</f>
        <v>STAMETS, LUCAS</v>
      </c>
      <c r="J159" s="169" t="str" cm="1">
        <f t="array" ref="J159">IF(RIGHT(_xlfn._xlws.FILTER(Sheet1!M$2:M$333,(Sheet1!M$2:M$333=$E159)+(Sheet1!M$2:M$333=$E160)+(Sheet1!M$2:M$333=$E161),""),4)="POST",CONCATENATE(_xlfn._xlws.FILTER(Sheet1!$A$2:$A$333,(Sheet1!M$2:M$333=$E159)+(Sheet1!M$2:M$333=$E160)+(Sheet1!M$2:M$333=$E161),""),"-","POST"),_xlfn._xlws.FILTER(Sheet1!$A$2:$A$333,(Sheet1!M$2:M$333=$E159)+(Sheet1!M$2:M$333=$E160)+(Sheet1!M$2:M$333=$E161),"UNFILLED"))</f>
        <v>STAMETS, LUCAS</v>
      </c>
      <c r="K159" s="169" t="str" cm="1">
        <f t="array" ref="K159">IF(RIGHT(_xlfn._xlws.FILTER(Sheet1!$O$2:$O$333,(Sheet1!$O$2:$O$333=$E159)+(Sheet1!$O$2:$O$333=$E160)+(Sheet1!$O$2:$O$333=$E161),""),4)="POST",CONCATENATE(_xlfn._xlws.FILTER(Sheet1!$A$2:$A$333,(Sheet1!$O$2:$O$333=$E159)+(Sheet1!$O$2:$O$333=$E160)+(Sheet1!$O$2:$O$333=$E161),""),"-","POST"),_xlfn._xlws.FILTER(Sheet1!$A$2:$A$333,(Sheet1!$O$2:$O$333=$E159)+(Sheet1!$O$2:$O$333=$E160)+(Sheet1!$O$2:$O$333=$E161),"UNFILLED"))</f>
        <v>FAIRCLOTH, HANNAH</v>
      </c>
      <c r="L159" s="169" t="str" cm="1">
        <f t="array" ref="L159">IF(RIGHT(_xlfn._xlws.FILTER(Sheet1!$Q$2:$Q$333,(Sheet1!$Q$2:$Q$333=$E159)+(Sheet1!$Q$2:$Q$333=$E160)+(Sheet1!$Q$2:$Q$333=$E161),""),4)="POST",CONCATENATE(_xlfn._xlws.FILTER(Sheet1!$A$2:$A$333,(Sheet1!$Q$2:$Q$333=$E159)+(Sheet1!$Q$2:$Q$333=$E160)+(Sheet1!$Q$2:$Q$333=$E161),""),"-","POST"),_xlfn._xlws.FILTER(Sheet1!$A$2:$A$333,(Sheet1!$Q$2:$Q$333=$E159)+(Sheet1!$Q$2:$Q$333=$E160)+(Sheet1!$Q$2:$Q$333=$E161),"UNFILLED"))</f>
        <v>FAIRCLOTH, HANNAH</v>
      </c>
      <c r="M159" s="169" t="str" cm="1">
        <f t="array" ref="M159">IF(RIGHT(_xlfn._xlws.FILTER(Sheet1!$S$2:$S$333,(Sheet1!$S$2:$S$333=$E159)+(Sheet1!$S$2:$S$333=$E160)+(Sheet1!$S$2:$S$333=$E161),""),4)="POST",CONCATENATE(_xlfn._xlws.FILTER(Sheet1!$A$2:$A$333,(Sheet1!$S$2:$S$333=$E159)+(Sheet1!$S$2:$S$333=$E160)+(Sheet1!$S$2:$S$333=$E161),""),"-","POST"),_xlfn._xlws.FILTER(Sheet1!$A$2:$A$333,(Sheet1!$S$2:$S$333=$E159)+(Sheet1!$S$2:$S$333=$E160)+(Sheet1!$S$2:$S$333=$E161),"UNFILLED"))</f>
        <v>BREITKREUZ, DUSTIN</v>
      </c>
      <c r="W159" s="417"/>
      <c r="X159" s="170"/>
      <c r="Y159" s="170"/>
      <c r="Z159" s="170"/>
      <c r="AA159" s="170"/>
      <c r="AB159" s="170"/>
      <c r="AC159" s="170"/>
      <c r="AD159" s="170"/>
    </row>
    <row r="160" spans="1:30" ht="17.25" customHeight="1" x14ac:dyDescent="0.4">
      <c r="A160" s="153"/>
      <c r="C160" s="412"/>
      <c r="D160" s="413"/>
      <c r="E160" s="168" t="str">
        <f>_xlfn.CONCAT(E159,"-","POST")</f>
        <v>QC-2-POST</v>
      </c>
      <c r="F160" s="415"/>
      <c r="G160" s="171"/>
      <c r="H160" s="171"/>
      <c r="I160" s="171"/>
      <c r="J160" s="171"/>
      <c r="K160" s="171"/>
      <c r="L160" s="171"/>
      <c r="M160" s="171"/>
      <c r="W160" s="417"/>
      <c r="X160" s="172"/>
      <c r="Y160" s="172"/>
      <c r="Z160" s="172"/>
      <c r="AA160" s="172"/>
      <c r="AB160" s="172"/>
      <c r="AC160" s="172"/>
      <c r="AD160" s="172"/>
    </row>
    <row r="161" spans="1:30" ht="17.25" customHeight="1" x14ac:dyDescent="0.4">
      <c r="A161" s="153"/>
      <c r="C161" s="412"/>
      <c r="D161" s="413"/>
      <c r="E161" s="168" t="str">
        <f>_xlfn.CONCAT(E159,"-","PILOT")</f>
        <v>QC-2-PILOT</v>
      </c>
      <c r="F161" s="416"/>
      <c r="G161" s="173"/>
      <c r="H161" s="173"/>
      <c r="I161" s="173"/>
      <c r="J161" s="173"/>
      <c r="K161" s="173"/>
      <c r="L161" s="173"/>
      <c r="M161" s="173"/>
      <c r="W161" s="417"/>
      <c r="X161" s="172"/>
      <c r="Y161" s="172"/>
      <c r="Z161" s="172"/>
      <c r="AA161" s="172"/>
      <c r="AB161" s="172"/>
      <c r="AC161" s="172"/>
      <c r="AD161" s="172"/>
    </row>
    <row r="162" spans="1:30" ht="25.5" customHeight="1" thickBot="1" x14ac:dyDescent="0.45">
      <c r="A162" s="153"/>
      <c r="C162" s="176"/>
      <c r="D162" s="177"/>
      <c r="E162" s="178"/>
      <c r="F162" s="191"/>
      <c r="G162" s="192"/>
      <c r="H162" s="192"/>
      <c r="I162" s="192"/>
      <c r="J162" s="192"/>
      <c r="K162" s="192"/>
      <c r="L162" s="192"/>
      <c r="M162" s="177"/>
      <c r="W162" s="167"/>
      <c r="X162" s="167"/>
      <c r="Y162" s="167"/>
      <c r="Z162" s="167"/>
      <c r="AA162" s="167"/>
      <c r="AB162" s="167"/>
      <c r="AC162" s="167"/>
      <c r="AD162" s="167"/>
    </row>
    <row r="163" spans="1:30" ht="11.25" customHeight="1" x14ac:dyDescent="0.4">
      <c r="A163" s="147"/>
      <c r="B163" s="148"/>
      <c r="C163" s="182"/>
      <c r="D163" s="183"/>
      <c r="E163" s="193"/>
      <c r="F163" s="421" t="s">
        <v>65</v>
      </c>
      <c r="G163" s="421"/>
      <c r="H163" s="421"/>
      <c r="I163" s="421"/>
      <c r="J163" s="421"/>
      <c r="K163" s="421"/>
      <c r="L163" s="421"/>
      <c r="M163" s="425"/>
      <c r="W163" s="167"/>
      <c r="X163" s="167"/>
      <c r="Y163" s="167"/>
      <c r="Z163" s="167"/>
      <c r="AA163" s="167"/>
      <c r="AB163" s="167"/>
      <c r="AC163" s="167"/>
      <c r="AD163" s="167"/>
    </row>
    <row r="164" spans="1:30" ht="11.25" customHeight="1" x14ac:dyDescent="0.4">
      <c r="A164" s="153"/>
      <c r="C164" s="159"/>
      <c r="D164" s="185"/>
      <c r="E164" s="194"/>
      <c r="F164" s="426"/>
      <c r="G164" s="426"/>
      <c r="H164" s="426"/>
      <c r="I164" s="426"/>
      <c r="J164" s="426"/>
      <c r="K164" s="426"/>
      <c r="L164" s="426"/>
      <c r="M164" s="427"/>
      <c r="W164" s="167"/>
      <c r="X164" s="167"/>
      <c r="Y164" s="167"/>
      <c r="Z164" s="167"/>
      <c r="AA164" s="167"/>
      <c r="AB164" s="167"/>
      <c r="AC164" s="167"/>
      <c r="AD164" s="167"/>
    </row>
    <row r="165" spans="1:30" ht="11.25" customHeight="1" thickBot="1" x14ac:dyDescent="0.45">
      <c r="A165" s="153"/>
      <c r="C165" s="159"/>
      <c r="D165" s="160"/>
      <c r="F165" s="428"/>
      <c r="G165" s="428"/>
      <c r="H165" s="428"/>
      <c r="I165" s="428"/>
      <c r="J165" s="428"/>
      <c r="K165" s="428"/>
      <c r="L165" s="428"/>
      <c r="M165" s="429"/>
      <c r="W165" s="167"/>
      <c r="X165" s="167"/>
      <c r="Y165" s="167"/>
      <c r="Z165" s="167"/>
      <c r="AA165" s="167"/>
      <c r="AB165" s="167"/>
      <c r="AC165" s="167"/>
      <c r="AD165" s="167"/>
    </row>
    <row r="166" spans="1:30" ht="18" customHeight="1" x14ac:dyDescent="0.45">
      <c r="A166" s="153"/>
      <c r="C166" s="159"/>
      <c r="D166" s="166"/>
      <c r="F166" s="195"/>
      <c r="G166" s="189" t="str">
        <f t="shared" ref="G166:M166" si="4">TEXT(G167,"dddd")</f>
        <v>Saturday</v>
      </c>
      <c r="H166" s="189" t="str">
        <f t="shared" si="4"/>
        <v>Sunday</v>
      </c>
      <c r="I166" s="189" t="str">
        <f t="shared" si="4"/>
        <v>Monday</v>
      </c>
      <c r="J166" s="189" t="str">
        <f t="shared" si="4"/>
        <v>Tuesday</v>
      </c>
      <c r="K166" s="189" t="str">
        <f t="shared" si="4"/>
        <v>Wednesday</v>
      </c>
      <c r="L166" s="189" t="str">
        <f t="shared" si="4"/>
        <v>Thursday</v>
      </c>
      <c r="M166" s="189" t="str">
        <f t="shared" si="4"/>
        <v>Friday</v>
      </c>
      <c r="W166" s="167"/>
      <c r="X166" s="167"/>
      <c r="Y166" s="167"/>
      <c r="Z166" s="167"/>
      <c r="AA166" s="167"/>
      <c r="AB166" s="167"/>
      <c r="AC166" s="167"/>
      <c r="AD166" s="167"/>
    </row>
    <row r="167" spans="1:30" ht="18" customHeight="1" x14ac:dyDescent="0.4">
      <c r="A167" s="153"/>
      <c r="C167" s="159"/>
      <c r="D167" s="166"/>
      <c r="F167" s="164" t="s">
        <v>66</v>
      </c>
      <c r="G167" s="165">
        <f>+G86</f>
        <v>45969</v>
      </c>
      <c r="H167" s="165">
        <f t="shared" ref="H167:M167" si="5">+G167+1</f>
        <v>45970</v>
      </c>
      <c r="I167" s="165">
        <f t="shared" si="5"/>
        <v>45971</v>
      </c>
      <c r="J167" s="165">
        <f t="shared" si="5"/>
        <v>45972</v>
      </c>
      <c r="K167" s="165">
        <f t="shared" si="5"/>
        <v>45973</v>
      </c>
      <c r="L167" s="165">
        <f t="shared" si="5"/>
        <v>45974</v>
      </c>
      <c r="M167" s="165">
        <f t="shared" si="5"/>
        <v>45975</v>
      </c>
      <c r="W167" s="167"/>
      <c r="X167" s="167"/>
      <c r="Y167" s="167"/>
      <c r="Z167" s="167"/>
      <c r="AA167" s="167"/>
      <c r="AB167" s="167"/>
      <c r="AC167" s="167"/>
      <c r="AD167" s="167"/>
    </row>
    <row r="168" spans="1:30" ht="25.5" customHeight="1" x14ac:dyDescent="0.4">
      <c r="A168" s="153"/>
      <c r="C168" s="159"/>
      <c r="D168" s="166"/>
      <c r="F168" s="422" t="s">
        <v>5</v>
      </c>
      <c r="G168" s="423"/>
      <c r="H168" s="423"/>
      <c r="I168" s="423"/>
      <c r="J168" s="423"/>
      <c r="K168" s="423"/>
      <c r="L168" s="423"/>
      <c r="M168" s="424"/>
      <c r="W168" s="167"/>
      <c r="X168" s="167"/>
      <c r="Y168" s="167"/>
      <c r="Z168" s="167"/>
      <c r="AA168" s="167"/>
      <c r="AB168" s="167"/>
      <c r="AC168" s="167"/>
      <c r="AD168" s="167"/>
    </row>
    <row r="169" spans="1:30" ht="17.25" customHeight="1" x14ac:dyDescent="0.4">
      <c r="A169" s="153"/>
      <c r="C169" s="412" t="s">
        <v>142</v>
      </c>
      <c r="D169" s="413"/>
      <c r="E169" s="168" t="s">
        <v>143</v>
      </c>
      <c r="F169" s="414" t="s">
        <v>69</v>
      </c>
      <c r="G169" s="169" t="str" cm="1">
        <f t="array" ref="G169">IF(RIGHT(_xlfn._xlws.FILTER(Sheet1!$G$2:$G$333,(Sheet1!$G$2:$G$333=$E169)+(Sheet1!$G$2:$G$333=$E170)+(Sheet1!$G$2:$G$333=$E171),""),4)="POST",CONCATENATE(_xlfn._xlws.FILTER(Sheet1!$A$2:$A$333,(Sheet1!$G$2:$G$333=$E169)+(Sheet1!$G$2:$G$333=$E170)+(Sheet1!$G$2:$G$333=$E171),""),"-","POST"),_xlfn._xlws.FILTER(Sheet1!$A$2:$A$333,(Sheet1!$G$2:$G$333=$E169)+(Sheet1!$G$2:$G$333=$E170)+(Sheet1!$G$2:$G$333=$E171),"UNFILLED"))</f>
        <v>SHIELDS, BRIAN</v>
      </c>
      <c r="H169" s="169" t="str" cm="1">
        <f t="array" ref="H169">IF(RIGHT(_xlfn._xlws.FILTER(Sheet1!$I$2:$I$333,(Sheet1!$I$2:$I$333=$E169)+(Sheet1!$I$2:$I$333=$E170)+(Sheet1!$I$2:$I$333=$E171),""),4)="POST",CONCATENATE(_xlfn._xlws.FILTER(Sheet1!$A$2:$A$333,(Sheet1!$I$2:$I$333=$E169)+(Sheet1!$I$2:$I$333=$E170)+(Sheet1!$I$2:$I$333=$E171),""),"-","POST"),_xlfn._xlws.FILTER(Sheet1!$A$2:$A$333,(Sheet1!$I$2:$I$333=$E169)+(Sheet1!$I$2:$I$333=$E170)+(Sheet1!$I$2:$I$333=$E171),"UNFILLED"))</f>
        <v>SHIELDS, BRIAN</v>
      </c>
      <c r="I169" s="169" t="str" cm="1">
        <f t="array" ref="I169">IF(RIGHT(_xlfn._xlws.FILTER(Sheet1!$K$2:$K$333,(Sheet1!$K$2:$K$333=$E169)+(Sheet1!$K$2:$K$333=$E170)+(Sheet1!$K$2:$K$333=$E171),""),4)="POST",CONCATENATE(_xlfn._xlws.FILTER(Sheet1!$A$2:$A$333,(Sheet1!$K$2:$K$333=$E169)+(Sheet1!$K$2:$K$333=$E170)+(Sheet1!$K$2:$K$333=$E171),""),"-","POST"),_xlfn._xlws.FILTER(Sheet1!$A$2:$A$333,(Sheet1!$K$2:$K$333=$E169)+(Sheet1!$K$2:$K$333=$E170)+(Sheet1!$K$2:$K$333=$E171),"UNFILLED"))</f>
        <v>GRAHAM, KEITH</v>
      </c>
      <c r="J169" s="169" t="str" cm="1">
        <f t="array" ref="J169">IF(RIGHT(_xlfn._xlws.FILTER(Sheet1!M$2:M$333,(Sheet1!M$2:M$333=$E169)+(Sheet1!M$2:M$333=$E170)+(Sheet1!M$2:M$333=$E171),""),4)="POST",CONCATENATE(_xlfn._xlws.FILTER(Sheet1!$A$2:$A$333,(Sheet1!M$2:M$333=$E169)+(Sheet1!M$2:M$333=$E170)+(Sheet1!M$2:M$333=$E171),""),"-","POST"),_xlfn._xlws.FILTER(Sheet1!$A$2:$A$333,(Sheet1!M$2:M$333=$E169)+(Sheet1!M$2:M$333=$E170)+(Sheet1!M$2:M$333=$E171),"UNFILLED"))</f>
        <v>CLAFFY, DEIDRE</v>
      </c>
      <c r="K169" s="169" t="str" cm="1">
        <f t="array" ref="K169">IF(RIGHT(_xlfn._xlws.FILTER(Sheet1!$O$2:$O$333,(Sheet1!$O$2:$O$333=$E169)+(Sheet1!$O$2:$O$333=$E170)+(Sheet1!$O$2:$O$333=$E171),""),4)="POST",CONCATENATE(_xlfn._xlws.FILTER(Sheet1!$A$2:$A$333,(Sheet1!$O$2:$O$333=$E169)+(Sheet1!$O$2:$O$333=$E170)+(Sheet1!$O$2:$O$333=$E171),""),"-","POST"),_xlfn._xlws.FILTER(Sheet1!$A$2:$A$333,(Sheet1!$O$2:$O$333=$E169)+(Sheet1!$O$2:$O$333=$E170)+(Sheet1!$O$2:$O$333=$E171),"UNFILLED"))</f>
        <v>SHIELDS, BRIAN</v>
      </c>
      <c r="L169" s="169" t="str" cm="1">
        <f t="array" ref="L169">IF(RIGHT(_xlfn._xlws.FILTER(Sheet1!$Q$2:$Q$333,(Sheet1!$Q$2:$Q$333=$E169)+(Sheet1!$Q$2:$Q$333=$E170)+(Sheet1!$Q$2:$Q$333=$E171),""),4)="POST",CONCATENATE(_xlfn._xlws.FILTER(Sheet1!$A$2:$A$333,(Sheet1!$Q$2:$Q$333=$E169)+(Sheet1!$Q$2:$Q$333=$E170)+(Sheet1!$Q$2:$Q$333=$E171),""),"-","POST"),_xlfn._xlws.FILTER(Sheet1!$A$2:$A$333,(Sheet1!$Q$2:$Q$333=$E169)+(Sheet1!$Q$2:$Q$333=$E170)+(Sheet1!$Q$2:$Q$333=$E171),"UNFILLED"))</f>
        <v>SHIELDS, BRIAN</v>
      </c>
      <c r="M169" s="169" t="str" cm="1">
        <f t="array" ref="M169">IF(RIGHT(_xlfn._xlws.FILTER(Sheet1!$S$2:$S$333,(Sheet1!$S$2:$S$333=$E169)+(Sheet1!$S$2:$S$333=$E170)+(Sheet1!$S$2:$S$333=$E171),""),4)="POST",CONCATENATE(_xlfn._xlws.FILTER(Sheet1!$A$2:$A$333,(Sheet1!$S$2:$S$333=$E169)+(Sheet1!$S$2:$S$333=$E170)+(Sheet1!$S$2:$S$333=$E171),""),"-","POST"),_xlfn._xlws.FILTER(Sheet1!$A$2:$A$333,(Sheet1!$S$2:$S$333=$E169)+(Sheet1!$S$2:$S$333=$E170)+(Sheet1!$S$2:$S$333=$E171),"UNFILLED"))</f>
        <v>SHIELDS, BRIAN</v>
      </c>
      <c r="W169" s="417"/>
      <c r="X169" s="170"/>
      <c r="Y169" s="170"/>
      <c r="Z169" s="170"/>
      <c r="AA169" s="170"/>
      <c r="AB169" s="170"/>
      <c r="AC169" s="170"/>
      <c r="AD169" s="170"/>
    </row>
    <row r="170" spans="1:30" ht="17.25" customHeight="1" x14ac:dyDescent="0.4">
      <c r="A170" s="153"/>
      <c r="C170" s="412"/>
      <c r="D170" s="413"/>
      <c r="E170" s="168" t="str">
        <f>_xlfn.CONCAT(E169,"-","POST")</f>
        <v>HT-3-POST</v>
      </c>
      <c r="F170" s="415"/>
      <c r="G170" s="171"/>
      <c r="H170" s="171"/>
      <c r="I170" s="171"/>
      <c r="J170" s="171"/>
      <c r="K170" s="171"/>
      <c r="L170" s="171"/>
      <c r="M170" s="171"/>
      <c r="W170" s="417"/>
      <c r="X170" s="172"/>
      <c r="Y170" s="172"/>
      <c r="Z170" s="172"/>
      <c r="AA170" s="172"/>
      <c r="AB170" s="172"/>
      <c r="AC170" s="172"/>
      <c r="AD170" s="172"/>
    </row>
    <row r="171" spans="1:30" ht="17.25" customHeight="1" x14ac:dyDescent="0.4">
      <c r="A171" s="153"/>
      <c r="C171" s="412"/>
      <c r="D171" s="413"/>
      <c r="E171" s="168" t="str">
        <f>_xlfn.CONCAT(E169,"-","PILOT")</f>
        <v>HT-3-PILOT</v>
      </c>
      <c r="F171" s="416"/>
      <c r="G171" s="173"/>
      <c r="H171" s="173"/>
      <c r="I171" s="173"/>
      <c r="J171" s="173"/>
      <c r="K171" s="173"/>
      <c r="L171" s="173"/>
      <c r="M171" s="173"/>
      <c r="W171" s="417"/>
      <c r="X171" s="172"/>
      <c r="Y171" s="172"/>
      <c r="Z171" s="172"/>
      <c r="AA171" s="172"/>
      <c r="AB171" s="172"/>
      <c r="AC171" s="172"/>
      <c r="AD171" s="172"/>
    </row>
    <row r="172" spans="1:30" ht="17.25" customHeight="1" x14ac:dyDescent="0.4">
      <c r="A172" s="153"/>
      <c r="C172" s="412"/>
      <c r="D172" s="413"/>
      <c r="E172" s="168" t="s">
        <v>144</v>
      </c>
      <c r="F172" s="414" t="s">
        <v>72</v>
      </c>
      <c r="G172" s="169" t="str" cm="1">
        <f t="array" ref="G172">IF(RIGHT(_xlfn._xlws.FILTER(Sheet1!$G$2:$G$333,(Sheet1!$G$2:$G$333=$E172)+(Sheet1!$G$2:$G$333=$E173)+(Sheet1!$G$2:$G$333=$E174),""),4)="POST",CONCATENATE(_xlfn._xlws.FILTER(Sheet1!$A$2:$A$333,(Sheet1!$G$2:$G$333=$E172)+(Sheet1!$G$2:$G$333=$E173)+(Sheet1!$G$2:$G$333=$E174),""),"-","POST"),_xlfn._xlws.FILTER(Sheet1!$A$2:$A$333,(Sheet1!$G$2:$G$333=$E172)+(Sheet1!$G$2:$G$333=$E173)+(Sheet1!$G$2:$G$333=$E174),"UNFILLED"))</f>
        <v>ALLEN, RYAN</v>
      </c>
      <c r="H172" s="169" t="str" cm="1">
        <f t="array" ref="H172">IF(RIGHT(_xlfn._xlws.FILTER(Sheet1!$I$2:$I$333,(Sheet1!$I$2:$I$333=$E172)+(Sheet1!$I$2:$I$333=$E173)+(Sheet1!$I$2:$I$333=$E174),""),4)="POST",CONCATENATE(_xlfn._xlws.FILTER(Sheet1!$A$2:$A$333,(Sheet1!$I$2:$I$333=$E172)+(Sheet1!$I$2:$I$333=$E173)+(Sheet1!$I$2:$I$333=$E174),""),"-","POST"),_xlfn._xlws.FILTER(Sheet1!$A$2:$A$333,(Sheet1!$I$2:$I$333=$E172)+(Sheet1!$I$2:$I$333=$E173)+(Sheet1!$I$2:$I$333=$E174),"UNFILLED"))</f>
        <v>GREEN, SUSAN</v>
      </c>
      <c r="I172" s="169" t="str" cm="1">
        <f t="array" ref="I172">IF(RIGHT(_xlfn._xlws.FILTER(Sheet1!$K$2:$K$333,(Sheet1!$K$2:$K$333=$E172)+(Sheet1!$K$2:$K$333=$E173)+(Sheet1!$K$2:$K$333=$E174),""),4)="POST",CONCATENATE(_xlfn._xlws.FILTER(Sheet1!$A$2:$A$333,(Sheet1!$K$2:$K$333=$E172)+(Sheet1!$K$2:$K$333=$E173)+(Sheet1!$K$2:$K$333=$E174),""),"-","POST"),_xlfn._xlws.FILTER(Sheet1!$A$2:$A$333,(Sheet1!$K$2:$K$333=$E172)+(Sheet1!$K$2:$K$333=$E173)+(Sheet1!$K$2:$K$333=$E174),"UNFILLED"))</f>
        <v>ALLEN, RYAN</v>
      </c>
      <c r="J172" s="169" t="str" cm="1">
        <f t="array" ref="J172">IF(RIGHT(_xlfn._xlws.FILTER(Sheet1!M$2:M$333,(Sheet1!M$2:M$333=$E172)+(Sheet1!M$2:M$333=$E173)+(Sheet1!M$2:M$333=$E174),""),4)="POST",CONCATENATE(_xlfn._xlws.FILTER(Sheet1!$A$2:$A$333,(Sheet1!M$2:M$333=$E172)+(Sheet1!M$2:M$333=$E173)+(Sheet1!M$2:M$333=$E174),""),"-","POST"),_xlfn._xlws.FILTER(Sheet1!$A$2:$A$333,(Sheet1!M$2:M$333=$E172)+(Sheet1!M$2:M$333=$E173)+(Sheet1!M$2:M$333=$E174),"UNFILLED"))</f>
        <v>DOUGHERTY, MIKE</v>
      </c>
      <c r="K172" s="169" t="str" cm="1">
        <f t="array" ref="K172">IF(RIGHT(_xlfn._xlws.FILTER(Sheet1!$O$2:$O$333,(Sheet1!$O$2:$O$333=$E172)+(Sheet1!$O$2:$O$333=$E173)+(Sheet1!$O$2:$O$333=$E174),""),4)="POST",CONCATENATE(_xlfn._xlws.FILTER(Sheet1!$A$2:$A$333,(Sheet1!$O$2:$O$333=$E172)+(Sheet1!$O$2:$O$333=$E173)+(Sheet1!$O$2:$O$333=$E174),""),"-","POST"),_xlfn._xlws.FILTER(Sheet1!$A$2:$A$333,(Sheet1!$O$2:$O$333=$E172)+(Sheet1!$O$2:$O$333=$E173)+(Sheet1!$O$2:$O$333=$E174),"UNFILLED"))</f>
        <v>SLANEY, MATTHEW</v>
      </c>
      <c r="L172" s="169" t="str" cm="1">
        <f t="array" ref="L172">IF(RIGHT(_xlfn._xlws.FILTER(Sheet1!$Q$2:$Q$333,(Sheet1!$Q$2:$Q$333=$E172)+(Sheet1!$Q$2:$Q$333=$E173)+(Sheet1!$Q$2:$Q$333=$E174),""),4)="POST",CONCATENATE(_xlfn._xlws.FILTER(Sheet1!$A$2:$A$333,(Sheet1!$Q$2:$Q$333=$E172)+(Sheet1!$Q$2:$Q$333=$E173)+(Sheet1!$Q$2:$Q$333=$E174),""),"-","POST"),_xlfn._xlws.FILTER(Sheet1!$A$2:$A$333,(Sheet1!$Q$2:$Q$333=$E172)+(Sheet1!$Q$2:$Q$333=$E173)+(Sheet1!$Q$2:$Q$333=$E174),"UNFILLED"))</f>
        <v>ZIEGERT, ABIGAIL</v>
      </c>
      <c r="M172" s="169" t="str" cm="1">
        <f t="array" ref="M172">IF(RIGHT(_xlfn._xlws.FILTER(Sheet1!$S$2:$S$333,(Sheet1!$S$2:$S$333=$E172)+(Sheet1!$S$2:$S$333=$E173)+(Sheet1!$S$2:$S$333=$E174),""),4)="POST",CONCATENATE(_xlfn._xlws.FILTER(Sheet1!$A$2:$A$333,(Sheet1!$S$2:$S$333=$E172)+(Sheet1!$S$2:$S$333=$E173)+(Sheet1!$S$2:$S$333=$E174),""),"-","POST"),_xlfn._xlws.FILTER(Sheet1!$A$2:$A$333,(Sheet1!$S$2:$S$333=$E172)+(Sheet1!$S$2:$S$333=$E173)+(Sheet1!$S$2:$S$333=$E174),"UNFILLED"))</f>
        <v>ZIEGERT, ABIGAIL</v>
      </c>
      <c r="W172" s="417"/>
      <c r="X172" s="170"/>
      <c r="Y172" s="170"/>
      <c r="Z172" s="170"/>
      <c r="AA172" s="170"/>
      <c r="AB172" s="170"/>
      <c r="AC172" s="170"/>
      <c r="AD172" s="170"/>
    </row>
    <row r="173" spans="1:30" ht="17.25" customHeight="1" x14ac:dyDescent="0.4">
      <c r="A173" s="153"/>
      <c r="C173" s="412"/>
      <c r="D173" s="413"/>
      <c r="E173" s="168" t="str">
        <f>_xlfn.CONCAT(E172,"-","POST")</f>
        <v>HE-3-POST</v>
      </c>
      <c r="F173" s="415"/>
      <c r="G173" s="171"/>
      <c r="H173" s="171"/>
      <c r="I173" s="171"/>
      <c r="J173" s="171"/>
      <c r="K173" s="171"/>
      <c r="L173" s="171"/>
      <c r="M173" s="171"/>
      <c r="W173" s="417"/>
      <c r="X173" s="172"/>
      <c r="Y173" s="172"/>
      <c r="Z173" s="172"/>
      <c r="AA173" s="172"/>
      <c r="AB173" s="172"/>
      <c r="AC173" s="172"/>
      <c r="AD173" s="172"/>
    </row>
    <row r="174" spans="1:30" ht="17.25" customHeight="1" x14ac:dyDescent="0.4">
      <c r="A174" s="153"/>
      <c r="C174" s="412"/>
      <c r="D174" s="413"/>
      <c r="E174" s="168" t="str">
        <f>_xlfn.CONCAT(E172,"-","PILOT")</f>
        <v>HE-3-PILOT</v>
      </c>
      <c r="F174" s="416"/>
      <c r="G174" s="173"/>
      <c r="H174" s="173"/>
      <c r="I174" s="173"/>
      <c r="J174" s="173"/>
      <c r="K174" s="173"/>
      <c r="L174" s="173"/>
      <c r="M174" s="173"/>
      <c r="W174" s="417"/>
      <c r="X174" s="172"/>
      <c r="Y174" s="172"/>
      <c r="Z174" s="172"/>
      <c r="AA174" s="172"/>
      <c r="AB174" s="172"/>
      <c r="AC174" s="172"/>
      <c r="AD174" s="172"/>
    </row>
    <row r="175" spans="1:30" ht="17.25" customHeight="1" x14ac:dyDescent="0.4">
      <c r="A175" s="153"/>
      <c r="C175" s="412"/>
      <c r="D175" s="413"/>
      <c r="E175" s="168" t="s">
        <v>145</v>
      </c>
      <c r="F175" s="414" t="s">
        <v>74</v>
      </c>
      <c r="G175" s="169" t="str" cm="1">
        <f t="array" ref="G175">IF(RIGHT(_xlfn._xlws.FILTER(Sheet1!$G$2:$G$333,(Sheet1!$G$2:$G$333=$E175)+(Sheet1!$G$2:$G$333=$E176)+(Sheet1!$G$2:$G$333=$E177),""),4)="POST",CONCATENATE(_xlfn._xlws.FILTER(Sheet1!$A$2:$A$333,(Sheet1!$G$2:$G$333=$E175)+(Sheet1!$G$2:$G$333=$E176)+(Sheet1!$G$2:$G$333=$E177),""),"-","POST"),_xlfn._xlws.FILTER(Sheet1!$A$2:$A$333,(Sheet1!$G$2:$G$333=$E175)+(Sheet1!$G$2:$G$333=$E176)+(Sheet1!$G$2:$G$333=$E177),"UNFILLED"))</f>
        <v>MIMS, CHRISTOPHER</v>
      </c>
      <c r="H175" s="169" t="str" cm="1">
        <f t="array" ref="H175">IF(RIGHT(_xlfn._xlws.FILTER(Sheet1!$I$2:$I$333,(Sheet1!$I$2:$I$333=$E175)+(Sheet1!$I$2:$I$333=$E176)+(Sheet1!$I$2:$I$333=$E177),""),4)="POST",CONCATENATE(_xlfn._xlws.FILTER(Sheet1!$A$2:$A$333,(Sheet1!$I$2:$I$333=$E175)+(Sheet1!$I$2:$I$333=$E176)+(Sheet1!$I$2:$I$333=$E177),""),"-","POST"),_xlfn._xlws.FILTER(Sheet1!$A$2:$A$333,(Sheet1!$I$2:$I$333=$E175)+(Sheet1!$I$2:$I$333=$E176)+(Sheet1!$I$2:$I$333=$E177),"UNFILLED"))</f>
        <v>MIMS, CHRISTOPHER</v>
      </c>
      <c r="I175" s="169" t="str" cm="1">
        <f t="array" ref="I175">IF(RIGHT(_xlfn._xlws.FILTER(Sheet1!$K$2:$K$333,(Sheet1!$K$2:$K$333=$E175)+(Sheet1!$K$2:$K$333=$E176)+(Sheet1!$K$2:$K$333=$E177),""),4)="POST",CONCATENATE(_xlfn._xlws.FILTER(Sheet1!$A$2:$A$333,(Sheet1!$K$2:$K$333=$E175)+(Sheet1!$K$2:$K$333=$E176)+(Sheet1!$K$2:$K$333=$E177),""),"-","POST"),_xlfn._xlws.FILTER(Sheet1!$A$2:$A$333,(Sheet1!$K$2:$K$333=$E175)+(Sheet1!$K$2:$K$333=$E176)+(Sheet1!$K$2:$K$333=$E177),"UNFILLED"))</f>
        <v>KRZYZANOWSKI, KIMMY</v>
      </c>
      <c r="J175" s="169" t="str" cm="1">
        <f t="array" ref="J175">IF(RIGHT(_xlfn._xlws.FILTER(Sheet1!M$2:M$333,(Sheet1!M$2:M$333=$E175)+(Sheet1!M$2:M$333=$E176)+(Sheet1!M$2:M$333=$E177),""),4)="POST",CONCATENATE(_xlfn._xlws.FILTER(Sheet1!$A$2:$A$333,(Sheet1!M$2:M$333=$E175)+(Sheet1!M$2:M$333=$E176)+(Sheet1!M$2:M$333=$E177),""),"-","POST"),_xlfn._xlws.FILTER(Sheet1!$A$2:$A$333,(Sheet1!M$2:M$333=$E175)+(Sheet1!M$2:M$333=$E176)+(Sheet1!M$2:M$333=$E177),"UNFILLED"))</f>
        <v>BOYD, MIA</v>
      </c>
      <c r="K175" s="169" t="str" cm="1">
        <f t="array" ref="K175">IF(RIGHT(_xlfn._xlws.FILTER(Sheet1!$O$2:$O$333,(Sheet1!$O$2:$O$333=$E175)+(Sheet1!$O$2:$O$333=$E176)+(Sheet1!$O$2:$O$333=$E177),""),4)="POST",CONCATENATE(_xlfn._xlws.FILTER(Sheet1!$A$2:$A$333,(Sheet1!$O$2:$O$333=$E175)+(Sheet1!$O$2:$O$333=$E176)+(Sheet1!$O$2:$O$333=$E177),""),"-","POST"),_xlfn._xlws.FILTER(Sheet1!$A$2:$A$333,(Sheet1!$O$2:$O$333=$E175)+(Sheet1!$O$2:$O$333=$E176)+(Sheet1!$O$2:$O$333=$E177),"UNFILLED"))</f>
        <v>GRAHAM, KEITH</v>
      </c>
      <c r="L175" s="169" t="str" cm="1">
        <f t="array" ref="L175:L176">IF(RIGHT(_xlfn._xlws.FILTER(Sheet1!$Q$2:$Q$333,(Sheet1!$Q$2:$Q$333=$E175)+(Sheet1!$Q$2:$Q$333=$E176)+(Sheet1!$Q$2:$Q$333=$E177),""),4)="POST",CONCATENATE(_xlfn._xlws.FILTER(Sheet1!$A$2:$A$333,(Sheet1!$Q$2:$Q$333=$E175)+(Sheet1!$Q$2:$Q$333=$E176)+(Sheet1!$Q$2:$Q$333=$E177),""),"-","POST"),_xlfn._xlws.FILTER(Sheet1!$A$2:$A$333,(Sheet1!$Q$2:$Q$333=$E175)+(Sheet1!$Q$2:$Q$333=$E176)+(Sheet1!$Q$2:$Q$333=$E177),"UNFILLED"))</f>
        <v>HARBIN, BRYANT-POST</v>
      </c>
      <c r="M175" s="169" t="str" cm="1">
        <f t="array" ref="M175:M176">IF(RIGHT(_xlfn._xlws.FILTER(Sheet1!$S$2:$S$333,(Sheet1!$S$2:$S$333=$E175)+(Sheet1!$S$2:$S$333=$E176)+(Sheet1!$S$2:$S$333=$E177),""),4)="POST",CONCATENATE(_xlfn._xlws.FILTER(Sheet1!$A$2:$A$333,(Sheet1!$S$2:$S$333=$E175)+(Sheet1!$S$2:$S$333=$E176)+(Sheet1!$S$2:$S$333=$E177),""),"-","POST"),_xlfn._xlws.FILTER(Sheet1!$A$2:$A$333,(Sheet1!$S$2:$S$333=$E175)+(Sheet1!$S$2:$S$333=$E176)+(Sheet1!$S$2:$S$333=$E177),"UNFILLED"))</f>
        <v>HARBIN, BRYANT-POST</v>
      </c>
      <c r="W175" s="417"/>
      <c r="X175" s="170"/>
      <c r="Y175" s="170"/>
      <c r="Z175" s="170"/>
      <c r="AA175" s="170"/>
      <c r="AB175" s="170"/>
      <c r="AC175" s="170"/>
      <c r="AD175" s="170"/>
    </row>
    <row r="176" spans="1:30" ht="17.25" customHeight="1" x14ac:dyDescent="0.4">
      <c r="A176" s="153"/>
      <c r="C176" s="412"/>
      <c r="D176" s="413"/>
      <c r="E176" s="168" t="str">
        <f>_xlfn.CONCAT(E175,"-","POST")</f>
        <v>RL-3-POST</v>
      </c>
      <c r="F176" s="415"/>
      <c r="G176" s="171"/>
      <c r="H176" s="171"/>
      <c r="I176" s="171"/>
      <c r="J176" s="171"/>
      <c r="K176" s="171"/>
      <c r="L176" s="171" t="str">
        <v>KRZYZANOWSKI, KIMMY</v>
      </c>
      <c r="M176" s="171" t="str">
        <v>KRZYZANOWSKI, KIMMY</v>
      </c>
      <c r="W176" s="417"/>
      <c r="X176" s="172"/>
      <c r="Y176" s="172"/>
      <c r="Z176" s="172"/>
      <c r="AA176" s="172"/>
      <c r="AB176" s="172"/>
      <c r="AC176" s="172"/>
      <c r="AD176" s="172"/>
    </row>
    <row r="177" spans="1:30" ht="17.25" customHeight="1" x14ac:dyDescent="0.4">
      <c r="A177" s="153"/>
      <c r="C177" s="412"/>
      <c r="D177" s="413"/>
      <c r="E177" s="168" t="str">
        <f>_xlfn.CONCAT(E175,"-","PILOT")</f>
        <v>RL-3-PILOT</v>
      </c>
      <c r="F177" s="416"/>
      <c r="G177" s="173"/>
      <c r="H177" s="173"/>
      <c r="I177" s="173"/>
      <c r="J177" s="173"/>
      <c r="K177" s="173"/>
      <c r="L177" s="173"/>
      <c r="M177" s="173"/>
      <c r="W177" s="417"/>
      <c r="X177" s="172"/>
      <c r="Y177" s="172"/>
      <c r="Z177" s="172"/>
      <c r="AA177" s="172"/>
      <c r="AB177" s="172"/>
      <c r="AC177" s="172"/>
      <c r="AD177" s="172"/>
    </row>
    <row r="178" spans="1:30" ht="17.25" customHeight="1" x14ac:dyDescent="0.4">
      <c r="A178" s="153"/>
      <c r="C178" s="412"/>
      <c r="D178" s="413"/>
      <c r="E178" s="168" t="s">
        <v>146</v>
      </c>
      <c r="F178" s="414" t="s">
        <v>76</v>
      </c>
      <c r="G178" s="169" t="str" cm="1">
        <f t="array" ref="G178">IF(RIGHT(_xlfn._xlws.FILTER(Sheet1!$G$2:$G$333,(Sheet1!$G$2:$G$333=$E178)+(Sheet1!$G$2:$G$333=$E179)+(Sheet1!$G$2:$G$333=$E180),""),4)="POST",CONCATENATE(_xlfn._xlws.FILTER(Sheet1!$A$2:$A$333,(Sheet1!$G$2:$G$333=$E178)+(Sheet1!$G$2:$G$333=$E179)+(Sheet1!$G$2:$G$333=$E180),""),"-","POST"),_xlfn._xlws.FILTER(Sheet1!$A$2:$A$333,(Sheet1!$G$2:$G$333=$E178)+(Sheet1!$G$2:$G$333=$E179)+(Sheet1!$G$2:$G$333=$E180),"UNFILLED"))</f>
        <v>GRUBBS, TUJUANA</v>
      </c>
      <c r="H178" s="169" t="str" cm="1">
        <f t="array" ref="H178">IF(RIGHT(_xlfn._xlws.FILTER(Sheet1!$I$2:$I$333,(Sheet1!$I$2:$I$333=$E178)+(Sheet1!$I$2:$I$333=$E179)+(Sheet1!$I$2:$I$333=$E180),""),4)="POST",CONCATENATE(_xlfn._xlws.FILTER(Sheet1!$A$2:$A$333,(Sheet1!$I$2:$I$333=$E178)+(Sheet1!$I$2:$I$333=$E179)+(Sheet1!$I$2:$I$333=$E180),""),"-","POST"),_xlfn._xlws.FILTER(Sheet1!$A$2:$A$333,(Sheet1!$I$2:$I$333=$E178)+(Sheet1!$I$2:$I$333=$E179)+(Sheet1!$I$2:$I$333=$E180),"UNFILLED"))</f>
        <v>GRUBBS, TUJUANA</v>
      </c>
      <c r="I178" s="169" t="str" cm="1">
        <f t="array" ref="I178:I179">IF(RIGHT(_xlfn._xlws.FILTER(Sheet1!$K$2:$K$333,(Sheet1!$K$2:$K$333=$E178)+(Sheet1!$K$2:$K$333=$E179)+(Sheet1!$K$2:$K$333=$E180),""),4)="POST",CONCATENATE(_xlfn._xlws.FILTER(Sheet1!$A$2:$A$333,(Sheet1!$K$2:$K$333=$E178)+(Sheet1!$K$2:$K$333=$E179)+(Sheet1!$K$2:$K$333=$E180),""),"-","POST"),_xlfn._xlws.FILTER(Sheet1!$A$2:$A$333,(Sheet1!$K$2:$K$333=$E178)+(Sheet1!$K$2:$K$333=$E179)+(Sheet1!$K$2:$K$333=$E180),"UNFILLED"))</f>
        <v>BOX, MANDY-POST</v>
      </c>
      <c r="J178" s="169" t="str" cm="1">
        <f t="array" ref="J178:J179">IF(RIGHT(_xlfn._xlws.FILTER(Sheet1!M$2:M$333,(Sheet1!M$2:M$333=$E178)+(Sheet1!M$2:M$333=$E179)+(Sheet1!M$2:M$333=$E180),""),4)="POST",CONCATENATE(_xlfn._xlws.FILTER(Sheet1!$A$2:$A$333,(Sheet1!M$2:M$333=$E178)+(Sheet1!M$2:M$333=$E179)+(Sheet1!M$2:M$333=$E180),""),"-","POST"),_xlfn._xlws.FILTER(Sheet1!$A$2:$A$333,(Sheet1!M$2:M$333=$E178)+(Sheet1!M$2:M$333=$E179)+(Sheet1!M$2:M$333=$E180),"UNFILLED"))</f>
        <v>BOX, MANDY-POST</v>
      </c>
      <c r="K178" s="169" t="str" cm="1">
        <f t="array" ref="K178">IF(RIGHT(_xlfn._xlws.FILTER(Sheet1!$O$2:$O$333,(Sheet1!$O$2:$O$333=$E178)+(Sheet1!$O$2:$O$333=$E179)+(Sheet1!$O$2:$O$333=$E180),""),4)="POST",CONCATENATE(_xlfn._xlws.FILTER(Sheet1!$A$2:$A$333,(Sheet1!$O$2:$O$333=$E178)+(Sheet1!$O$2:$O$333=$E179)+(Sheet1!$O$2:$O$333=$E180),""),"-","POST"),_xlfn._xlws.FILTER(Sheet1!$A$2:$A$333,(Sheet1!$O$2:$O$333=$E178)+(Sheet1!$O$2:$O$333=$E179)+(Sheet1!$O$2:$O$333=$E180),"UNFILLED"))</f>
        <v>ZEIGLER, KIMBERLY</v>
      </c>
      <c r="L178" s="169" t="str" cm="1">
        <f t="array" ref="L178">IF(RIGHT(_xlfn._xlws.FILTER(Sheet1!$Q$2:$Q$333,(Sheet1!$Q$2:$Q$333=$E178)+(Sheet1!$Q$2:$Q$333=$E179)+(Sheet1!$Q$2:$Q$333=$E180),""),4)="POST",CONCATENATE(_xlfn._xlws.FILTER(Sheet1!$A$2:$A$333,(Sheet1!$Q$2:$Q$333=$E178)+(Sheet1!$Q$2:$Q$333=$E179)+(Sheet1!$Q$2:$Q$333=$E180),""),"-","POST"),_xlfn._xlws.FILTER(Sheet1!$A$2:$A$333,(Sheet1!$Q$2:$Q$333=$E178)+(Sheet1!$Q$2:$Q$333=$E179)+(Sheet1!$Q$2:$Q$333=$E180),"UNFILLED"))</f>
        <v>GRAHAM, KEITH</v>
      </c>
      <c r="M178" s="169" t="str" cm="1">
        <f t="array" ref="M178:M179">IF(RIGHT(_xlfn._xlws.FILTER(Sheet1!$S$2:$S$333,(Sheet1!$S$2:$S$333=$E178)+(Sheet1!$S$2:$S$333=$E179)+(Sheet1!$S$2:$S$333=$E180),""),4)="POST",CONCATENATE(_xlfn._xlws.FILTER(Sheet1!$A$2:$A$333,(Sheet1!$S$2:$S$333=$E178)+(Sheet1!$S$2:$S$333=$E179)+(Sheet1!$S$2:$S$333=$E180),""),"-","POST"),_xlfn._xlws.FILTER(Sheet1!$A$2:$A$333,(Sheet1!$S$2:$S$333=$E178)+(Sheet1!$S$2:$S$333=$E179)+(Sheet1!$S$2:$S$333=$E180),"UNFILLED"))</f>
        <v>BOX, MANDY-POST</v>
      </c>
      <c r="W178" s="417"/>
      <c r="X178" s="170"/>
      <c r="Y178" s="170"/>
      <c r="Z178" s="170"/>
      <c r="AA178" s="170"/>
      <c r="AB178" s="170"/>
      <c r="AC178" s="170"/>
      <c r="AD178" s="170"/>
    </row>
    <row r="179" spans="1:30" ht="17.25" customHeight="1" x14ac:dyDescent="0.4">
      <c r="A179" s="153"/>
      <c r="C179" s="412"/>
      <c r="D179" s="413"/>
      <c r="E179" s="168" t="str">
        <f>_xlfn.CONCAT(E178,"-","POST")</f>
        <v>DH-3-POST</v>
      </c>
      <c r="F179" s="415"/>
      <c r="G179" s="171"/>
      <c r="H179" s="171"/>
      <c r="I179" s="171" t="str">
        <v>GRUBBS, TUJUANA</v>
      </c>
      <c r="J179" s="171" t="str">
        <v>REEVES, JULIAN</v>
      </c>
      <c r="K179" s="171"/>
      <c r="L179" s="171"/>
      <c r="M179" s="171" t="str">
        <v>REEVES, JULIAN</v>
      </c>
      <c r="W179" s="417"/>
      <c r="X179" s="172"/>
      <c r="Y179" s="172"/>
      <c r="Z179" s="172"/>
      <c r="AA179" s="172"/>
      <c r="AB179" s="172"/>
      <c r="AC179" s="172"/>
      <c r="AD179" s="172"/>
    </row>
    <row r="180" spans="1:30" ht="17.25" customHeight="1" x14ac:dyDescent="0.4">
      <c r="A180" s="153"/>
      <c r="C180" s="412"/>
      <c r="D180" s="413"/>
      <c r="E180" s="168" t="str">
        <f>_xlfn.CONCAT(E178,"-","PILOT")</f>
        <v>DH-3-PILOT</v>
      </c>
      <c r="F180" s="416"/>
      <c r="G180" s="173"/>
      <c r="H180" s="173"/>
      <c r="I180" s="173"/>
      <c r="J180" s="173"/>
      <c r="K180" s="173"/>
      <c r="L180" s="173"/>
      <c r="M180" s="173"/>
      <c r="W180" s="417"/>
      <c r="X180" s="172"/>
      <c r="Y180" s="172"/>
      <c r="Z180" s="172"/>
      <c r="AA180" s="172"/>
      <c r="AB180" s="172"/>
      <c r="AC180" s="172"/>
      <c r="AD180" s="172"/>
    </row>
    <row r="181" spans="1:30" ht="17.25" customHeight="1" x14ac:dyDescent="0.4">
      <c r="A181" s="153"/>
      <c r="C181" s="412"/>
      <c r="D181" s="413"/>
      <c r="E181" s="168" t="s">
        <v>147</v>
      </c>
      <c r="F181" s="414" t="s">
        <v>78</v>
      </c>
      <c r="G181" s="169" t="str" cm="1">
        <f t="array" ref="G181">IF(RIGHT(_xlfn._xlws.FILTER(Sheet1!$G$2:$G$333,(Sheet1!$G$2:$G$333=$E181)+(Sheet1!$G$2:$G$333=$E182)+(Sheet1!$G$2:$G$333=$E183),""),4)="POST",CONCATENATE(_xlfn._xlws.FILTER(Sheet1!$A$2:$A$333,(Sheet1!$G$2:$G$333=$E181)+(Sheet1!$G$2:$G$333=$E182)+(Sheet1!$G$2:$G$333=$E183),""),"-","POST"),_xlfn._xlws.FILTER(Sheet1!$A$2:$A$333,(Sheet1!$G$2:$G$333=$E181)+(Sheet1!$G$2:$G$333=$E182)+(Sheet1!$G$2:$G$333=$E183),"UNFILLED"))</f>
        <v>LITTLE, RYAN</v>
      </c>
      <c r="H181" s="169" t="str" cm="1">
        <f t="array" ref="H181">IF(RIGHT(_xlfn._xlws.FILTER(Sheet1!$I$2:$I$333,(Sheet1!$I$2:$I$333=$E181)+(Sheet1!$I$2:$I$333=$E182)+(Sheet1!$I$2:$I$333=$E183),""),4)="POST",CONCATENATE(_xlfn._xlws.FILTER(Sheet1!$A$2:$A$333,(Sheet1!$I$2:$I$333=$E181)+(Sheet1!$I$2:$I$333=$E182)+(Sheet1!$I$2:$I$333=$E183),""),"-","POST"),_xlfn._xlws.FILTER(Sheet1!$A$2:$A$333,(Sheet1!$I$2:$I$333=$E181)+(Sheet1!$I$2:$I$333=$E182)+(Sheet1!$I$2:$I$333=$E183),"UNFILLED"))</f>
        <v>MOGGIO, WILLIAM</v>
      </c>
      <c r="I181" s="169" t="str" cm="1">
        <f t="array" ref="I181">IF(RIGHT(_xlfn._xlws.FILTER(Sheet1!$K$2:$K$333,(Sheet1!$K$2:$K$333=$E181)+(Sheet1!$K$2:$K$333=$E182)+(Sheet1!$K$2:$K$333=$E183),""),4)="POST",CONCATENATE(_xlfn._xlws.FILTER(Sheet1!$A$2:$A$333,(Sheet1!$K$2:$K$333=$E181)+(Sheet1!$K$2:$K$333=$E182)+(Sheet1!$K$2:$K$333=$E183),""),"-","POST"),_xlfn._xlws.FILTER(Sheet1!$A$2:$A$333,(Sheet1!$K$2:$K$333=$E181)+(Sheet1!$K$2:$K$333=$E182)+(Sheet1!$K$2:$K$333=$E183),"UNFILLED"))</f>
        <v>MOGGIO, WILLIAM</v>
      </c>
      <c r="J181" s="169" t="str" cm="1">
        <f t="array" ref="J181">IF(RIGHT(_xlfn._xlws.FILTER(Sheet1!M$2:M$333,(Sheet1!M$2:M$333=$E181)+(Sheet1!M$2:M$333=$E182)+(Sheet1!M$2:M$333=$E183),""),4)="POST",CONCATENATE(_xlfn._xlws.FILTER(Sheet1!$A$2:$A$333,(Sheet1!M$2:M$333=$E181)+(Sheet1!M$2:M$333=$E182)+(Sheet1!M$2:M$333=$E183),""),"-","POST"),_xlfn._xlws.FILTER(Sheet1!$A$2:$A$333,(Sheet1!M$2:M$333=$E181)+(Sheet1!M$2:M$333=$E182)+(Sheet1!M$2:M$333=$E183),"UNFILLED"))</f>
        <v>MOGGIO, WILLIAM</v>
      </c>
      <c r="K181" s="169" t="str" cm="1">
        <f t="array" ref="K181">IF(RIGHT(_xlfn._xlws.FILTER(Sheet1!$O$2:$O$333,(Sheet1!$O$2:$O$333=$E181)+(Sheet1!$O$2:$O$333=$E182)+(Sheet1!$O$2:$O$333=$E183),""),4)="POST",CONCATENATE(_xlfn._xlws.FILTER(Sheet1!$A$2:$A$333,(Sheet1!$O$2:$O$333=$E181)+(Sheet1!$O$2:$O$333=$E182)+(Sheet1!$O$2:$O$333=$E183),""),"-","POST"),_xlfn._xlws.FILTER(Sheet1!$A$2:$A$333,(Sheet1!$O$2:$O$333=$E181)+(Sheet1!$O$2:$O$333=$E182)+(Sheet1!$O$2:$O$333=$E183),"UNFILLED"))</f>
        <v>MOGGIO, WILLIAM</v>
      </c>
      <c r="L181" s="169" t="str" cm="1">
        <f t="array" ref="L181">IF(RIGHT(_xlfn._xlws.FILTER(Sheet1!$Q$2:$Q$333,(Sheet1!$Q$2:$Q$333=$E181)+(Sheet1!$Q$2:$Q$333=$E182)+(Sheet1!$Q$2:$Q$333=$E183),""),4)="POST",CONCATENATE(_xlfn._xlws.FILTER(Sheet1!$A$2:$A$333,(Sheet1!$Q$2:$Q$333=$E181)+(Sheet1!$Q$2:$Q$333=$E182)+(Sheet1!$Q$2:$Q$333=$E183),""),"-","POST"),_xlfn._xlws.FILTER(Sheet1!$A$2:$A$333,(Sheet1!$Q$2:$Q$333=$E181)+(Sheet1!$Q$2:$Q$333=$E182)+(Sheet1!$Q$2:$Q$333=$E183),"UNFILLED"))</f>
        <v>PIFER, BRIAN</v>
      </c>
      <c r="M181" s="169" t="str" cm="1">
        <f t="array" ref="M181">IF(RIGHT(_xlfn._xlws.FILTER(Sheet1!$S$2:$S$333,(Sheet1!$S$2:$S$333=$E181)+(Sheet1!$S$2:$S$333=$E182)+(Sheet1!$S$2:$S$333=$E183),""),4)="POST",CONCATENATE(_xlfn._xlws.FILTER(Sheet1!$A$2:$A$333,(Sheet1!$S$2:$S$333=$E181)+(Sheet1!$S$2:$S$333=$E182)+(Sheet1!$S$2:$S$333=$E183),""),"-","POST"),_xlfn._xlws.FILTER(Sheet1!$A$2:$A$333,(Sheet1!$S$2:$S$333=$E181)+(Sheet1!$S$2:$S$333=$E182)+(Sheet1!$S$2:$S$333=$E183),"UNFILLED"))</f>
        <v>HARRIS, MARCUS</v>
      </c>
      <c r="W181" s="417"/>
      <c r="X181" s="170"/>
      <c r="Y181" s="170"/>
      <c r="Z181" s="170"/>
      <c r="AA181" s="170"/>
      <c r="AB181" s="170"/>
      <c r="AC181" s="170"/>
      <c r="AD181" s="170"/>
    </row>
    <row r="182" spans="1:30" ht="17.25" customHeight="1" x14ac:dyDescent="0.4">
      <c r="A182" s="153"/>
      <c r="C182" s="412"/>
      <c r="D182" s="413"/>
      <c r="E182" s="168" t="str">
        <f>_xlfn.CONCAT(E181,"-","POST")</f>
        <v>AL-3-POST</v>
      </c>
      <c r="F182" s="415"/>
      <c r="G182" s="171"/>
      <c r="H182" s="171"/>
      <c r="I182" s="171"/>
      <c r="J182" s="171"/>
      <c r="K182" s="171"/>
      <c r="L182" s="171"/>
      <c r="M182" s="171"/>
      <c r="W182" s="417"/>
      <c r="X182" s="172"/>
      <c r="Y182" s="172"/>
      <c r="Z182" s="172"/>
      <c r="AA182" s="172"/>
      <c r="AB182" s="172"/>
      <c r="AC182" s="172"/>
      <c r="AD182" s="172"/>
    </row>
    <row r="183" spans="1:30" ht="17.25" customHeight="1" x14ac:dyDescent="0.4">
      <c r="A183" s="153"/>
      <c r="C183" s="412"/>
      <c r="D183" s="413"/>
      <c r="E183" s="168" t="str">
        <f>_xlfn.CONCAT(E181,"-","PILOT")</f>
        <v>AL-3-PILOT</v>
      </c>
      <c r="F183" s="416"/>
      <c r="G183" s="173"/>
      <c r="H183" s="173"/>
      <c r="I183" s="173"/>
      <c r="J183" s="173"/>
      <c r="K183" s="173"/>
      <c r="L183" s="173"/>
      <c r="M183" s="173"/>
      <c r="W183" s="417"/>
      <c r="X183" s="172"/>
      <c r="Y183" s="172"/>
      <c r="Z183" s="172"/>
      <c r="AA183" s="172"/>
      <c r="AB183" s="172"/>
      <c r="AC183" s="172"/>
      <c r="AD183" s="172"/>
    </row>
    <row r="184" spans="1:30" ht="17.25" customHeight="1" x14ac:dyDescent="0.4">
      <c r="A184" s="153"/>
      <c r="C184" s="412"/>
      <c r="D184" s="413"/>
      <c r="E184" s="168" t="s">
        <v>148</v>
      </c>
      <c r="F184" s="414" t="s">
        <v>80</v>
      </c>
      <c r="G184" s="169" t="str" cm="1">
        <f t="array" ref="G184">IF(RIGHT(_xlfn._xlws.FILTER(Sheet1!$G$2:$G$333,(Sheet1!$G$2:$G$333=$E184)+(Sheet1!$G$2:$G$333=$E185)+(Sheet1!$G$2:$G$333=$E186),""),4)="POST",CONCATENATE(_xlfn._xlws.FILTER(Sheet1!$A$2:$A$333,(Sheet1!$G$2:$G$333=$E184)+(Sheet1!$G$2:$G$333=$E185)+(Sheet1!$G$2:$G$333=$E186),""),"-","POST"),_xlfn._xlws.FILTER(Sheet1!$A$2:$A$333,(Sheet1!$G$2:$G$333=$E184)+(Sheet1!$G$2:$G$333=$E185)+(Sheet1!$G$2:$G$333=$E186),"UNFILLED"))</f>
        <v>WEIL, BILL</v>
      </c>
      <c r="H184" s="169" t="str" cm="1">
        <f t="array" ref="H184">IF(RIGHT(_xlfn._xlws.FILTER(Sheet1!$I$2:$I$333,(Sheet1!$I$2:$I$333=$E184)+(Sheet1!$I$2:$I$333=$E185)+(Sheet1!$I$2:$I$333=$E186),""),4)="POST",CONCATENATE(_xlfn._xlws.FILTER(Sheet1!$A$2:$A$333,(Sheet1!$I$2:$I$333=$E184)+(Sheet1!$I$2:$I$333=$E185)+(Sheet1!$I$2:$I$333=$E186),""),"-","POST"),_xlfn._xlws.FILTER(Sheet1!$A$2:$A$333,(Sheet1!$I$2:$I$333=$E184)+(Sheet1!$I$2:$I$333=$E185)+(Sheet1!$I$2:$I$333=$E186),"UNFILLED"))</f>
        <v>WEIL, BILL</v>
      </c>
      <c r="I184" s="169" t="str" cm="1">
        <f t="array" ref="I184">IF(RIGHT(_xlfn._xlws.FILTER(Sheet1!$K$2:$K$333,(Sheet1!$K$2:$K$333=$E184)+(Sheet1!$K$2:$K$333=$E185)+(Sheet1!$K$2:$K$333=$E186),""),4)="POST",CONCATENATE(_xlfn._xlws.FILTER(Sheet1!$A$2:$A$333,(Sheet1!$K$2:$K$333=$E184)+(Sheet1!$K$2:$K$333=$E185)+(Sheet1!$K$2:$K$333=$E186),""),"-","POST"),_xlfn._xlws.FILTER(Sheet1!$A$2:$A$333,(Sheet1!$K$2:$K$333=$E184)+(Sheet1!$K$2:$K$333=$E185)+(Sheet1!$K$2:$K$333=$E186),"UNFILLED"))</f>
        <v>WEIL, BILL</v>
      </c>
      <c r="J184" s="169" t="str" cm="1">
        <f t="array" ref="J184">IF(RIGHT(_xlfn._xlws.FILTER(Sheet1!M$2:M$333,(Sheet1!M$2:M$333=$E184)+(Sheet1!M$2:M$333=$E185)+(Sheet1!M$2:M$333=$E186),""),4)="POST",CONCATENATE(_xlfn._xlws.FILTER(Sheet1!$A$2:$A$333,(Sheet1!M$2:M$333=$E184)+(Sheet1!M$2:M$333=$E185)+(Sheet1!M$2:M$333=$E186),""),"-","POST"),_xlfn._xlws.FILTER(Sheet1!$A$2:$A$333,(Sheet1!M$2:M$333=$E184)+(Sheet1!M$2:M$333=$E185)+(Sheet1!M$2:M$333=$E186),"UNFILLED"))</f>
        <v>HARRIS, MARCUS</v>
      </c>
      <c r="K184" s="169" t="str" cm="1">
        <f t="array" ref="K184">IF(RIGHT(_xlfn._xlws.FILTER(Sheet1!$O$2:$O$333,(Sheet1!$O$2:$O$333=$E184)+(Sheet1!$O$2:$O$333=$E185)+(Sheet1!$O$2:$O$333=$E186),""),4)="POST",CONCATENATE(_xlfn._xlws.FILTER(Sheet1!$A$2:$A$333,(Sheet1!$O$2:$O$333=$E184)+(Sheet1!$O$2:$O$333=$E185)+(Sheet1!$O$2:$O$333=$E186),""),"-","POST"),_xlfn._xlws.FILTER(Sheet1!$A$2:$A$333,(Sheet1!$O$2:$O$333=$E184)+(Sheet1!$O$2:$O$333=$E185)+(Sheet1!$O$2:$O$333=$E186),"UNFILLED"))</f>
        <v>REYNOLDS, RO</v>
      </c>
      <c r="L184" s="169" t="str" cm="1">
        <f t="array" ref="L184">IF(RIGHT(_xlfn._xlws.FILTER(Sheet1!$Q$2:$Q$333,(Sheet1!$Q$2:$Q$333=$E184)+(Sheet1!$Q$2:$Q$333=$E185)+(Sheet1!$Q$2:$Q$333=$E186),""),4)="POST",CONCATENATE(_xlfn._xlws.FILTER(Sheet1!$A$2:$A$333,(Sheet1!$Q$2:$Q$333=$E184)+(Sheet1!$Q$2:$Q$333=$E185)+(Sheet1!$Q$2:$Q$333=$E186),""),"-","POST"),_xlfn._xlws.FILTER(Sheet1!$A$2:$A$333,(Sheet1!$Q$2:$Q$333=$E184)+(Sheet1!$Q$2:$Q$333=$E185)+(Sheet1!$Q$2:$Q$333=$E186),"UNFILLED"))</f>
        <v>WEIL, BILL</v>
      </c>
      <c r="M184" s="169" t="str" cm="1">
        <f t="array" ref="M184">IF(RIGHT(_xlfn._xlws.FILTER(Sheet1!$S$2:$S$333,(Sheet1!$S$2:$S$333=$E184)+(Sheet1!$S$2:$S$333=$E185)+(Sheet1!$S$2:$S$333=$E186),""),4)="POST",CONCATENATE(_xlfn._xlws.FILTER(Sheet1!$A$2:$A$333,(Sheet1!$S$2:$S$333=$E184)+(Sheet1!$S$2:$S$333=$E185)+(Sheet1!$S$2:$S$333=$E186),""),"-","POST"),_xlfn._xlws.FILTER(Sheet1!$A$2:$A$333,(Sheet1!$S$2:$S$333=$E184)+(Sheet1!$S$2:$S$333=$E185)+(Sheet1!$S$2:$S$333=$E186),"UNFILLED"))</f>
        <v>WEIL, BILL</v>
      </c>
      <c r="W184" s="417"/>
      <c r="X184" s="170"/>
      <c r="Y184" s="170"/>
      <c r="Z184" s="170"/>
      <c r="AA184" s="170"/>
      <c r="AB184" s="170"/>
      <c r="AC184" s="170"/>
      <c r="AD184" s="170"/>
    </row>
    <row r="185" spans="1:30" ht="17.25" customHeight="1" x14ac:dyDescent="0.4">
      <c r="A185" s="153"/>
      <c r="C185" s="412"/>
      <c r="D185" s="413"/>
      <c r="E185" s="168" t="str">
        <f>_xlfn.CONCAT(E184,"-","POST")</f>
        <v>CT-3-POST</v>
      </c>
      <c r="F185" s="415"/>
      <c r="G185" s="171"/>
      <c r="H185" s="171"/>
      <c r="I185" s="171"/>
      <c r="J185" s="171"/>
      <c r="K185" s="171"/>
      <c r="L185" s="171"/>
      <c r="M185" s="171"/>
      <c r="W185" s="417"/>
      <c r="X185" s="172"/>
      <c r="Y185" s="172"/>
      <c r="Z185" s="172"/>
      <c r="AA185" s="172"/>
      <c r="AB185" s="172"/>
      <c r="AC185" s="172"/>
      <c r="AD185" s="172"/>
    </row>
    <row r="186" spans="1:30" ht="17.25" customHeight="1" x14ac:dyDescent="0.4">
      <c r="A186" s="153"/>
      <c r="C186" s="412"/>
      <c r="D186" s="413"/>
      <c r="E186" s="168" t="str">
        <f>_xlfn.CONCAT(E184,"-","PILOT")</f>
        <v>CT-3-PILOT</v>
      </c>
      <c r="F186" s="416"/>
      <c r="G186" s="173"/>
      <c r="H186" s="173"/>
      <c r="I186" s="173"/>
      <c r="J186" s="173"/>
      <c r="K186" s="173"/>
      <c r="L186" s="173"/>
      <c r="M186" s="173"/>
      <c r="W186" s="417"/>
      <c r="X186" s="172"/>
      <c r="Y186" s="172"/>
      <c r="Z186" s="172"/>
      <c r="AA186" s="172"/>
      <c r="AB186" s="172"/>
      <c r="AC186" s="172"/>
      <c r="AD186" s="172"/>
    </row>
    <row r="187" spans="1:30" ht="17.25" customHeight="1" x14ac:dyDescent="0.4">
      <c r="A187" s="153"/>
      <c r="C187" s="412"/>
      <c r="D187" s="413"/>
      <c r="E187" s="168" t="s">
        <v>149</v>
      </c>
      <c r="F187" s="414" t="s">
        <v>82</v>
      </c>
      <c r="G187" s="169" t="str" cm="1">
        <f t="array" ref="G187">IF(RIGHT(_xlfn._xlws.FILTER(Sheet1!$G$2:$G$333,(Sheet1!$G$2:$G$333=$E187)+(Sheet1!$G$2:$G$333=$E188)+(Sheet1!$G$2:$G$333=$E189),""),4)="POST",CONCATENATE(_xlfn._xlws.FILTER(Sheet1!$A$2:$A$333,(Sheet1!$G$2:$G$333=$E187)+(Sheet1!$G$2:$G$333=$E188)+(Sheet1!$G$2:$G$333=$E189),""),"-","POST"),_xlfn._xlws.FILTER(Sheet1!$A$2:$A$333,(Sheet1!$G$2:$G$333=$E187)+(Sheet1!$G$2:$G$333=$E188)+(Sheet1!$G$2:$G$333=$E189),"UNFILLED"))</f>
        <v>BOX, MANDY</v>
      </c>
      <c r="H187" s="169" t="str" cm="1">
        <f t="array" ref="H187:H188">IF(RIGHT(_xlfn._xlws.FILTER(Sheet1!$I$2:$I$333,(Sheet1!$I$2:$I$333=$E187)+(Sheet1!$I$2:$I$333=$E188)+(Sheet1!$I$2:$I$333=$E189),""),4)="POST",CONCATENATE(_xlfn._xlws.FILTER(Sheet1!$A$2:$A$333,(Sheet1!$I$2:$I$333=$E187)+(Sheet1!$I$2:$I$333=$E188)+(Sheet1!$I$2:$I$333=$E189),""),"-","POST"),_xlfn._xlws.FILTER(Sheet1!$A$2:$A$333,(Sheet1!$I$2:$I$333=$E187)+(Sheet1!$I$2:$I$333=$E188)+(Sheet1!$I$2:$I$333=$E189),"UNFILLED"))</f>
        <v>GILREATH, AUSTIN-POST</v>
      </c>
      <c r="I187" s="169" t="str" cm="1">
        <f t="array" ref="I187:I188">IF(RIGHT(_xlfn._xlws.FILTER(Sheet1!$K$2:$K$333,(Sheet1!$K$2:$K$333=$E187)+(Sheet1!$K$2:$K$333=$E188)+(Sheet1!$K$2:$K$333=$E189),""),4)="POST",CONCATENATE(_xlfn._xlws.FILTER(Sheet1!$A$2:$A$333,(Sheet1!$K$2:$K$333=$E187)+(Sheet1!$K$2:$K$333=$E188)+(Sheet1!$K$2:$K$333=$E189),""),"-","POST"),_xlfn._xlws.FILTER(Sheet1!$A$2:$A$333,(Sheet1!$K$2:$K$333=$E187)+(Sheet1!$K$2:$K$333=$E188)+(Sheet1!$K$2:$K$333=$E189),"UNFILLED"))</f>
        <v>GILREATH, AUSTIN-POST</v>
      </c>
      <c r="J187" s="169" t="str" cm="1">
        <f t="array" ref="J187:J188">IF(RIGHT(_xlfn._xlws.FILTER(Sheet1!M$2:M$333,(Sheet1!M$2:M$333=$E187)+(Sheet1!M$2:M$333=$E188)+(Sheet1!M$2:M$333=$E189),""),4)="POST",CONCATENATE(_xlfn._xlws.FILTER(Sheet1!$A$2:$A$333,(Sheet1!M$2:M$333=$E187)+(Sheet1!M$2:M$333=$E188)+(Sheet1!M$2:M$333=$E189),""),"-","POST"),_xlfn._xlws.FILTER(Sheet1!$A$2:$A$333,(Sheet1!M$2:M$333=$E187)+(Sheet1!M$2:M$333=$E188)+(Sheet1!M$2:M$333=$E189),"UNFILLED"))</f>
        <v>GILREATH, AUSTIN-POST</v>
      </c>
      <c r="K187" s="169" t="str" cm="1">
        <f t="array" ref="K187">IF(RIGHT(_xlfn._xlws.FILTER(Sheet1!$O$2:$O$333,(Sheet1!$O$2:$O$333=$E187)+(Sheet1!$O$2:$O$333=$E188)+(Sheet1!$O$2:$O$333=$E189),""),4)="POST",CONCATENATE(_xlfn._xlws.FILTER(Sheet1!$A$2:$A$333,(Sheet1!$O$2:$O$333=$E187)+(Sheet1!$O$2:$O$333=$E188)+(Sheet1!$O$2:$O$333=$E189),""),"-","POST"),_xlfn._xlws.FILTER(Sheet1!$A$2:$A$333,(Sheet1!$O$2:$O$333=$E187)+(Sheet1!$O$2:$O$333=$E188)+(Sheet1!$O$2:$O$333=$E189),"UNFILLED"))</f>
        <v>HARRIS, MARCUS</v>
      </c>
      <c r="L187" s="169" t="str" cm="1">
        <f t="array" ref="L187:L188">IF(RIGHT(_xlfn._xlws.FILTER(Sheet1!$Q$2:$Q$333,(Sheet1!$Q$2:$Q$333=$E187)+(Sheet1!$Q$2:$Q$333=$E188)+(Sheet1!$Q$2:$Q$333=$E189),""),4)="POST",CONCATENATE(_xlfn._xlws.FILTER(Sheet1!$A$2:$A$333,(Sheet1!$Q$2:$Q$333=$E187)+(Sheet1!$Q$2:$Q$333=$E188)+(Sheet1!$Q$2:$Q$333=$E189),""),"-","POST"),_xlfn._xlws.FILTER(Sheet1!$A$2:$A$333,(Sheet1!$Q$2:$Q$333=$E187)+(Sheet1!$Q$2:$Q$333=$E188)+(Sheet1!$Q$2:$Q$333=$E189),"UNFILLED"))</f>
        <v>GILREATH, AUSTIN-POST</v>
      </c>
      <c r="M187" s="169" t="str" cm="1">
        <f t="array" ref="M187:M188">IF(RIGHT(_xlfn._xlws.FILTER(Sheet1!$S$2:$S$333,(Sheet1!$S$2:$S$333=$E187)+(Sheet1!$S$2:$S$333=$E188)+(Sheet1!$S$2:$S$333=$E189),""),4)="POST",CONCATENATE(_xlfn._xlws.FILTER(Sheet1!$A$2:$A$333,(Sheet1!$S$2:$S$333=$E187)+(Sheet1!$S$2:$S$333=$E188)+(Sheet1!$S$2:$S$333=$E189),""),"-","POST"),_xlfn._xlws.FILTER(Sheet1!$A$2:$A$333,(Sheet1!$S$2:$S$333=$E187)+(Sheet1!$S$2:$S$333=$E188)+(Sheet1!$S$2:$S$333=$E189),"UNFILLED"))</f>
        <v>GILREATH, AUSTIN-POST</v>
      </c>
      <c r="W187" s="417"/>
      <c r="X187" s="170"/>
      <c r="Y187" s="170"/>
      <c r="Z187" s="170"/>
      <c r="AA187" s="170"/>
      <c r="AB187" s="170"/>
      <c r="AC187" s="170"/>
      <c r="AD187" s="170"/>
    </row>
    <row r="188" spans="1:30" ht="17.25" customHeight="1" x14ac:dyDescent="0.4">
      <c r="A188" s="153"/>
      <c r="C188" s="412"/>
      <c r="D188" s="413"/>
      <c r="E188" s="168" t="str">
        <f>_xlfn.CONCAT(E187,"-","POST")</f>
        <v>PE-3-POST</v>
      </c>
      <c r="F188" s="415"/>
      <c r="G188" s="171"/>
      <c r="H188" s="171" t="str">
        <v>TEKLU, BETH</v>
      </c>
      <c r="I188" s="171" t="str">
        <v>TEKLU, BETH</v>
      </c>
      <c r="J188" s="171" t="str">
        <v>MALCOLM, JOSH</v>
      </c>
      <c r="K188" s="171"/>
      <c r="L188" s="171" t="str">
        <v>REYNOLDS, RO</v>
      </c>
      <c r="M188" s="171" t="str">
        <v>MCCARREN, CARRIE</v>
      </c>
      <c r="W188" s="417"/>
      <c r="X188" s="172"/>
      <c r="Y188" s="172"/>
      <c r="Z188" s="172"/>
      <c r="AA188" s="172"/>
      <c r="AB188" s="172"/>
      <c r="AC188" s="172"/>
      <c r="AD188" s="172"/>
    </row>
    <row r="189" spans="1:30" ht="17.25" customHeight="1" x14ac:dyDescent="0.4">
      <c r="A189" s="153"/>
      <c r="C189" s="412"/>
      <c r="D189" s="413"/>
      <c r="E189" s="168" t="str">
        <f>_xlfn.CONCAT(E187,"-","PILOT")</f>
        <v>PE-3-PILOT</v>
      </c>
      <c r="F189" s="416"/>
      <c r="G189" s="173"/>
      <c r="H189" s="173"/>
      <c r="I189" s="173"/>
      <c r="J189" s="173"/>
      <c r="K189" s="173"/>
      <c r="L189" s="173"/>
      <c r="M189" s="173"/>
      <c r="W189" s="417"/>
      <c r="X189" s="172"/>
      <c r="Y189" s="172"/>
      <c r="Z189" s="172"/>
      <c r="AA189" s="172"/>
      <c r="AB189" s="172"/>
      <c r="AC189" s="172"/>
      <c r="AD189" s="172"/>
    </row>
    <row r="190" spans="1:30" ht="17.25" customHeight="1" x14ac:dyDescent="0.4">
      <c r="A190" s="153"/>
      <c r="C190" s="412"/>
      <c r="D190" s="413"/>
      <c r="E190" s="168" t="s">
        <v>150</v>
      </c>
      <c r="F190" s="414" t="s">
        <v>84</v>
      </c>
      <c r="G190" s="169" t="str" cm="1">
        <f t="array" ref="G190">IF(RIGHT(_xlfn._xlws.FILTER(Sheet1!$G$2:$G$333,(Sheet1!$G$2:$G$333=$E190)+(Sheet1!$G$2:$G$333=$E191)+(Sheet1!$G$2:$G$333=$E192),""),4)="POST",CONCATENATE(_xlfn._xlws.FILTER(Sheet1!$A$2:$A$333,(Sheet1!$G$2:$G$333=$E190)+(Sheet1!$G$2:$G$333=$E191)+(Sheet1!$G$2:$G$333=$E192),""),"-","POST"),_xlfn._xlws.FILTER(Sheet1!$A$2:$A$333,(Sheet1!$G$2:$G$333=$E190)+(Sheet1!$G$2:$G$333=$E191)+(Sheet1!$G$2:$G$333=$E192),"UNFILLED"))</f>
        <v>HARRIS, MARCUS</v>
      </c>
      <c r="H190" s="169" t="str" cm="1">
        <f t="array" ref="H190">IF(RIGHT(_xlfn._xlws.FILTER(Sheet1!$I$2:$I$333,(Sheet1!$I$2:$I$333=$E190)+(Sheet1!$I$2:$I$333=$E191)+(Sheet1!$I$2:$I$333=$E192),""),4)="POST",CONCATENATE(_xlfn._xlws.FILTER(Sheet1!$A$2:$A$333,(Sheet1!$I$2:$I$333=$E190)+(Sheet1!$I$2:$I$333=$E191)+(Sheet1!$I$2:$I$333=$E192),""),"-","POST"),_xlfn._xlws.FILTER(Sheet1!$A$2:$A$333,(Sheet1!$I$2:$I$333=$E190)+(Sheet1!$I$2:$I$333=$E191)+(Sheet1!$I$2:$I$333=$E192),"UNFILLED"))</f>
        <v>DYE, JAMES</v>
      </c>
      <c r="I190" s="169" t="str" cm="1">
        <f t="array" ref="I190">IF(RIGHT(_xlfn._xlws.FILTER(Sheet1!$K$2:$K$333,(Sheet1!$K$2:$K$333=$E190)+(Sheet1!$K$2:$K$333=$E191)+(Sheet1!$K$2:$K$333=$E192),""),4)="POST",CONCATENATE(_xlfn._xlws.FILTER(Sheet1!$A$2:$A$333,(Sheet1!$K$2:$K$333=$E190)+(Sheet1!$K$2:$K$333=$E191)+(Sheet1!$K$2:$K$333=$E192),""),"-","POST"),_xlfn._xlws.FILTER(Sheet1!$A$2:$A$333,(Sheet1!$K$2:$K$333=$E190)+(Sheet1!$K$2:$K$333=$E191)+(Sheet1!$K$2:$K$333=$E192),"UNFILLED"))</f>
        <v>DYE, JAMES</v>
      </c>
      <c r="J190" s="169" t="str" cm="1">
        <f t="array" ref="J190">IF(RIGHT(_xlfn._xlws.FILTER(Sheet1!M$2:M$333,(Sheet1!M$2:M$333=$E190)+(Sheet1!M$2:M$333=$E191)+(Sheet1!M$2:M$333=$E192),""),4)="POST",CONCATENATE(_xlfn._xlws.FILTER(Sheet1!$A$2:$A$333,(Sheet1!M$2:M$333=$E190)+(Sheet1!M$2:M$333=$E191)+(Sheet1!M$2:M$333=$E192),""),"-","POST"),_xlfn._xlws.FILTER(Sheet1!$A$2:$A$333,(Sheet1!M$2:M$333=$E190)+(Sheet1!M$2:M$333=$E191)+(Sheet1!M$2:M$333=$E192),"UNFILLED"))</f>
        <v>DYE, JAMES</v>
      </c>
      <c r="K190" s="169" t="str" cm="1">
        <f t="array" ref="K190">IF(RIGHT(_xlfn._xlws.FILTER(Sheet1!$O$2:$O$333,(Sheet1!$O$2:$O$333=$E190)+(Sheet1!$O$2:$O$333=$E191)+(Sheet1!$O$2:$O$333=$E192),""),4)="POST",CONCATENATE(_xlfn._xlws.FILTER(Sheet1!$A$2:$A$333,(Sheet1!$O$2:$O$333=$E190)+(Sheet1!$O$2:$O$333=$E191)+(Sheet1!$O$2:$O$333=$E192),""),"-","POST"),_xlfn._xlws.FILTER(Sheet1!$A$2:$A$333,(Sheet1!$O$2:$O$333=$E190)+(Sheet1!$O$2:$O$333=$E191)+(Sheet1!$O$2:$O$333=$E192),"UNFILLED"))</f>
        <v>DYE, JAMES</v>
      </c>
      <c r="L190" s="169" t="str" cm="1">
        <f t="array" ref="L190">IF(RIGHT(_xlfn._xlws.FILTER(Sheet1!$Q$2:$Q$333,(Sheet1!$Q$2:$Q$333=$E190)+(Sheet1!$Q$2:$Q$333=$E191)+(Sheet1!$Q$2:$Q$333=$E192),""),4)="POST",CONCATENATE(_xlfn._xlws.FILTER(Sheet1!$A$2:$A$333,(Sheet1!$Q$2:$Q$333=$E190)+(Sheet1!$Q$2:$Q$333=$E191)+(Sheet1!$Q$2:$Q$333=$E192),""),"-","POST"),_xlfn._xlws.FILTER(Sheet1!$A$2:$A$333,(Sheet1!$Q$2:$Q$333=$E190)+(Sheet1!$Q$2:$Q$333=$E191)+(Sheet1!$Q$2:$Q$333=$E192),"UNFILLED"))</f>
        <v>DYE, JAMES</v>
      </c>
      <c r="M190" s="169" t="str" cm="1">
        <f t="array" ref="M190">IF(RIGHT(_xlfn._xlws.FILTER(Sheet1!$S$2:$S$333,(Sheet1!$S$2:$S$333=$E190)+(Sheet1!$S$2:$S$333=$E191)+(Sheet1!$S$2:$S$333=$E192),""),4)="POST",CONCATENATE(_xlfn._xlws.FILTER(Sheet1!$A$2:$A$333,(Sheet1!$S$2:$S$333=$E190)+(Sheet1!$S$2:$S$333=$E191)+(Sheet1!$S$2:$S$333=$E192),""),"-","POST"),_xlfn._xlws.FILTER(Sheet1!$A$2:$A$333,(Sheet1!$S$2:$S$333=$E190)+(Sheet1!$S$2:$S$333=$E191)+(Sheet1!$S$2:$S$333=$E192),"UNFILLED"))</f>
        <v>HARP, KEENAN</v>
      </c>
      <c r="W190" s="417"/>
      <c r="X190" s="170"/>
      <c r="Y190" s="170"/>
      <c r="Z190" s="170"/>
      <c r="AA190" s="170"/>
      <c r="AB190" s="170"/>
      <c r="AC190" s="170"/>
      <c r="AD190" s="170"/>
    </row>
    <row r="191" spans="1:30" ht="17.25" customHeight="1" x14ac:dyDescent="0.4">
      <c r="A191" s="153"/>
      <c r="C191" s="412"/>
      <c r="D191" s="413"/>
      <c r="E191" s="168" t="str">
        <f>_xlfn.CONCAT(E190,"-","POST")</f>
        <v>MV-3-POST</v>
      </c>
      <c r="F191" s="415"/>
      <c r="G191" s="171"/>
      <c r="H191" s="171"/>
      <c r="I191" s="171"/>
      <c r="J191" s="171"/>
      <c r="K191" s="171"/>
      <c r="L191" s="171"/>
      <c r="M191" s="171"/>
      <c r="W191" s="417"/>
      <c r="X191" s="172"/>
      <c r="Y191" s="172"/>
      <c r="Z191" s="172"/>
      <c r="AA191" s="172"/>
      <c r="AB191" s="172"/>
      <c r="AC191" s="172"/>
      <c r="AD191" s="172"/>
    </row>
    <row r="192" spans="1:30" ht="17.25" customHeight="1" x14ac:dyDescent="0.4">
      <c r="A192" s="153"/>
      <c r="C192" s="412"/>
      <c r="D192" s="413"/>
      <c r="E192" s="168" t="str">
        <f>_xlfn.CONCAT(E190,"-","PILOT")</f>
        <v>MV-3-PILOT</v>
      </c>
      <c r="F192" s="416"/>
      <c r="G192" s="173"/>
      <c r="H192" s="173"/>
      <c r="I192" s="173"/>
      <c r="J192" s="173"/>
      <c r="K192" s="173"/>
      <c r="L192" s="173"/>
      <c r="M192" s="173"/>
      <c r="W192" s="417"/>
      <c r="X192" s="172"/>
      <c r="Y192" s="172"/>
      <c r="Z192" s="172"/>
      <c r="AA192" s="172"/>
      <c r="AB192" s="172"/>
      <c r="AC192" s="172"/>
      <c r="AD192" s="172"/>
    </row>
    <row r="193" spans="1:30" ht="17.25" customHeight="1" x14ac:dyDescent="0.4">
      <c r="A193" s="153"/>
      <c r="C193" s="412"/>
      <c r="D193" s="413"/>
      <c r="E193" s="168" t="s">
        <v>151</v>
      </c>
      <c r="F193" s="414" t="s">
        <v>86</v>
      </c>
      <c r="G193" s="169" t="str" cm="1">
        <f t="array" ref="G193:G194">IF(RIGHT(_xlfn._xlws.FILTER(Sheet1!$G$2:$G$333,(Sheet1!$G$2:$G$333=$E193)+(Sheet1!$G$2:$G$333=$E194)+(Sheet1!$G$2:$G$333=$E195),""),4)="POST",CONCATENATE(_xlfn._xlws.FILTER(Sheet1!$A$2:$A$333,(Sheet1!$G$2:$G$333=$E193)+(Sheet1!$G$2:$G$333=$E194)+(Sheet1!$G$2:$G$333=$E195),""),"-","POST"),_xlfn._xlws.FILTER(Sheet1!$A$2:$A$333,(Sheet1!$G$2:$G$333=$E193)+(Sheet1!$G$2:$G$333=$E194)+(Sheet1!$G$2:$G$333=$E195),"UNFILLED"))</f>
        <v>LUMPKIN, MADISON-POST</v>
      </c>
      <c r="H193" s="169" t="str" cm="1">
        <f t="array" ref="H193">IF(RIGHT(_xlfn._xlws.FILTER(Sheet1!$I$2:$I$333,(Sheet1!$I$2:$I$333=$E193)+(Sheet1!$I$2:$I$333=$E194)+(Sheet1!$I$2:$I$333=$E195),""),4)="POST",CONCATENATE(_xlfn._xlws.FILTER(Sheet1!$A$2:$A$333,(Sheet1!$I$2:$I$333=$E193)+(Sheet1!$I$2:$I$333=$E194)+(Sheet1!$I$2:$I$333=$E195),""),"-","POST"),_xlfn._xlws.FILTER(Sheet1!$A$2:$A$333,(Sheet1!$I$2:$I$333=$E193)+(Sheet1!$I$2:$I$333=$E194)+(Sheet1!$I$2:$I$333=$E195),"UNFILLED"))</f>
        <v>WILLIAMS, SCOTT</v>
      </c>
      <c r="I193" s="169" t="str" cm="1">
        <f t="array" ref="I193:I194">IF(RIGHT(_xlfn._xlws.FILTER(Sheet1!$K$2:$K$333,(Sheet1!$K$2:$K$333=$E193)+(Sheet1!$K$2:$K$333=$E194)+(Sheet1!$K$2:$K$333=$E195),""),4)="POST",CONCATENATE(_xlfn._xlws.FILTER(Sheet1!$A$2:$A$333,(Sheet1!$K$2:$K$333=$E193)+(Sheet1!$K$2:$K$333=$E194)+(Sheet1!$K$2:$K$333=$E195),""),"-","POST"),_xlfn._xlws.FILTER(Sheet1!$A$2:$A$333,(Sheet1!$K$2:$K$333=$E193)+(Sheet1!$K$2:$K$333=$E194)+(Sheet1!$K$2:$K$333=$E195),"UNFILLED"))</f>
        <v>LUMPKIN, MADISON-POST</v>
      </c>
      <c r="J193" s="169" t="str" cm="1">
        <f t="array" ref="J193:J194">IF(RIGHT(_xlfn._xlws.FILTER(Sheet1!M$2:M$333,(Sheet1!M$2:M$333=$E193)+(Sheet1!M$2:M$333=$E194)+(Sheet1!M$2:M$333=$E195),""),4)="POST",CONCATENATE(_xlfn._xlws.FILTER(Sheet1!$A$2:$A$333,(Sheet1!M$2:M$333=$E193)+(Sheet1!M$2:M$333=$E194)+(Sheet1!M$2:M$333=$E195),""),"-","POST"),_xlfn._xlws.FILTER(Sheet1!$A$2:$A$333,(Sheet1!M$2:M$333=$E193)+(Sheet1!M$2:M$333=$E194)+(Sheet1!M$2:M$333=$E195),"UNFILLED"))</f>
        <v>LUMPKIN, MADISON-POST</v>
      </c>
      <c r="K193" s="169" t="str" cm="1">
        <f t="array" ref="K193:K194">IF(RIGHT(_xlfn._xlws.FILTER(Sheet1!$O$2:$O$333,(Sheet1!$O$2:$O$333=$E193)+(Sheet1!$O$2:$O$333=$E194)+(Sheet1!$O$2:$O$333=$E195),""),4)="POST",CONCATENATE(_xlfn._xlws.FILTER(Sheet1!$A$2:$A$333,(Sheet1!$O$2:$O$333=$E193)+(Sheet1!$O$2:$O$333=$E194)+(Sheet1!$O$2:$O$333=$E195),""),"-","POST"),_xlfn._xlws.FILTER(Sheet1!$A$2:$A$333,(Sheet1!$O$2:$O$333=$E193)+(Sheet1!$O$2:$O$333=$E194)+(Sheet1!$O$2:$O$333=$E195),"UNFILLED"))</f>
        <v>FLEITES, FRANK</v>
      </c>
      <c r="L193" s="169" t="str" cm="1">
        <f t="array" ref="L193">IF(RIGHT(_xlfn._xlws.FILTER(Sheet1!$Q$2:$Q$333,(Sheet1!$Q$2:$Q$333=$E193)+(Sheet1!$Q$2:$Q$333=$E194)+(Sheet1!$Q$2:$Q$333=$E195),""),4)="POST",CONCATENATE(_xlfn._xlws.FILTER(Sheet1!$A$2:$A$333,(Sheet1!$Q$2:$Q$333=$E193)+(Sheet1!$Q$2:$Q$333=$E194)+(Sheet1!$Q$2:$Q$333=$E195),""),"-","POST"),_xlfn._xlws.FILTER(Sheet1!$A$2:$A$333,(Sheet1!$Q$2:$Q$333=$E193)+(Sheet1!$Q$2:$Q$333=$E194)+(Sheet1!$Q$2:$Q$333=$E195),"UNFILLED"))</f>
        <v>THAYER, KELLY</v>
      </c>
      <c r="M193" s="169" t="str" cm="1">
        <f t="array" ref="M193:M194">IF(RIGHT(_xlfn._xlws.FILTER(Sheet1!$S$2:$S$333,(Sheet1!$S$2:$S$333=$E193)+(Sheet1!$S$2:$S$333=$E194)+(Sheet1!$S$2:$S$333=$E195),""),4)="POST",CONCATENATE(_xlfn._xlws.FILTER(Sheet1!$A$2:$A$333,(Sheet1!$S$2:$S$333=$E193)+(Sheet1!$S$2:$S$333=$E194)+(Sheet1!$S$2:$S$333=$E195),""),"-","POST"),_xlfn._xlws.FILTER(Sheet1!$A$2:$A$333,(Sheet1!$S$2:$S$333=$E193)+(Sheet1!$S$2:$S$333=$E194)+(Sheet1!$S$2:$S$333=$E195),"UNFILLED"))</f>
        <v>LUMPKIN, MADISON-POST</v>
      </c>
      <c r="W193" s="417"/>
      <c r="X193" s="170"/>
      <c r="Y193" s="170"/>
      <c r="Z193" s="170"/>
      <c r="AA193" s="170"/>
      <c r="AB193" s="170"/>
      <c r="AC193" s="170"/>
      <c r="AD193" s="170"/>
    </row>
    <row r="194" spans="1:30" ht="17.25" customHeight="1" x14ac:dyDescent="0.4">
      <c r="A194" s="153"/>
      <c r="C194" s="412"/>
      <c r="D194" s="413"/>
      <c r="E194" s="168" t="str">
        <f>_xlfn.CONCAT(E193,"-","POST")</f>
        <v>CE-3-POST</v>
      </c>
      <c r="F194" s="415"/>
      <c r="G194" s="171" t="str">
        <v>WILLIAMS, SCOTT</v>
      </c>
      <c r="H194" s="171"/>
      <c r="I194" s="171" t="str">
        <v>WILLIAMS, SCOTT</v>
      </c>
      <c r="J194" s="171" t="str">
        <v>WILLIAMS, SCOTT</v>
      </c>
      <c r="K194" s="171" t="str">
        <v>LUMPKIN, MADISON-POST</v>
      </c>
      <c r="L194" s="171"/>
      <c r="M194" s="171" t="str">
        <v>REYNOLDS, RO</v>
      </c>
      <c r="W194" s="417"/>
      <c r="X194" s="172"/>
      <c r="Y194" s="172"/>
      <c r="Z194" s="172"/>
      <c r="AA194" s="172"/>
      <c r="AB194" s="172"/>
      <c r="AC194" s="172"/>
      <c r="AD194" s="172"/>
    </row>
    <row r="195" spans="1:30" ht="17.25" customHeight="1" x14ac:dyDescent="0.4">
      <c r="A195" s="153"/>
      <c r="C195" s="412"/>
      <c r="D195" s="413"/>
      <c r="E195" s="168" t="str">
        <f>_xlfn.CONCAT(E193,"-","PILOT")</f>
        <v>CE-3-PILOT</v>
      </c>
      <c r="F195" s="416"/>
      <c r="G195" s="173"/>
      <c r="H195" s="173"/>
      <c r="I195" s="173"/>
      <c r="J195" s="173"/>
      <c r="K195" s="173"/>
      <c r="L195" s="173"/>
      <c r="M195" s="173"/>
      <c r="W195" s="417"/>
      <c r="X195" s="172"/>
      <c r="Y195" s="172"/>
      <c r="Z195" s="172"/>
      <c r="AA195" s="172"/>
      <c r="AB195" s="172"/>
      <c r="AC195" s="172"/>
      <c r="AD195" s="172"/>
    </row>
    <row r="196" spans="1:30" ht="25.5" customHeight="1" thickBot="1" x14ac:dyDescent="0.45">
      <c r="A196" s="153"/>
      <c r="C196" s="412"/>
      <c r="D196" s="413"/>
      <c r="E196" s="174"/>
      <c r="F196" s="418" t="s">
        <v>19</v>
      </c>
      <c r="G196" s="419"/>
      <c r="H196" s="419"/>
      <c r="I196" s="419"/>
      <c r="J196" s="419"/>
      <c r="K196" s="419"/>
      <c r="L196" s="419"/>
      <c r="M196" s="420"/>
      <c r="W196" s="167"/>
      <c r="X196" s="167"/>
      <c r="Y196" s="172"/>
      <c r="Z196" s="172"/>
      <c r="AA196" s="172"/>
      <c r="AB196" s="172"/>
      <c r="AC196" s="172"/>
      <c r="AD196" s="172"/>
    </row>
    <row r="197" spans="1:30" ht="17.25" customHeight="1" thickTop="1" x14ac:dyDescent="0.4">
      <c r="A197" s="153"/>
      <c r="C197" s="412"/>
      <c r="D197" s="413"/>
      <c r="E197" s="168" t="s">
        <v>152</v>
      </c>
      <c r="F197" s="414" t="s">
        <v>88</v>
      </c>
      <c r="G197" s="169" t="str" cm="1">
        <f t="array" ref="G197:G198">IF(RIGHT(_xlfn._xlws.FILTER(Sheet1!$G$2:$G$333,(Sheet1!$G$2:$G$333=$E197)+(Sheet1!$G$2:$G$333=$E198)+(Sheet1!$G$2:$G$333=$E199),""),4)="POST",CONCATENATE(_xlfn._xlws.FILTER(Sheet1!$A$2:$A$333,(Sheet1!$G$2:$G$333=$E197)+(Sheet1!$G$2:$G$333=$E198)+(Sheet1!$G$2:$G$333=$E199),""),"-","POST"),_xlfn._xlws.FILTER(Sheet1!$A$2:$A$333,(Sheet1!$G$2:$G$333=$E197)+(Sheet1!$G$2:$G$333=$E198)+(Sheet1!$G$2:$G$333=$E199),"UNFILLED"))</f>
        <v>BAILEY, STEVEN</v>
      </c>
      <c r="H197" s="169" t="str" cm="1">
        <f t="array" ref="H197:H198">IF(RIGHT(_xlfn._xlws.FILTER(Sheet1!$I$2:$I$333,(Sheet1!$I$2:$I$333=$E197)+(Sheet1!$I$2:$I$333=$E198)+(Sheet1!$I$2:$I$333=$E199),""),4)="POST",CONCATENATE(_xlfn._xlws.FILTER(Sheet1!$A$2:$A$333,(Sheet1!$I$2:$I$333=$E197)+(Sheet1!$I$2:$I$333=$E198)+(Sheet1!$I$2:$I$333=$E199),""),"-","POST"),_xlfn._xlws.FILTER(Sheet1!$A$2:$A$333,(Sheet1!$I$2:$I$333=$E197)+(Sheet1!$I$2:$I$333=$E198)+(Sheet1!$I$2:$I$333=$E199),"UNFILLED"))</f>
        <v>BAILEY, STEVEN</v>
      </c>
      <c r="I197" s="169" t="str" cm="1">
        <f t="array" ref="I197">IF(RIGHT(_xlfn._xlws.FILTER(Sheet1!$K$2:$K$333,(Sheet1!$K$2:$K$333=$E197)+(Sheet1!$K$2:$K$333=$E198)+(Sheet1!$K$2:$K$333=$E199),""),4)="POST",CONCATENATE(_xlfn._xlws.FILTER(Sheet1!$A$2:$A$333,(Sheet1!$K$2:$K$333=$E197)+(Sheet1!$K$2:$K$333=$E198)+(Sheet1!$K$2:$K$333=$E199),""),"-","POST"),_xlfn._xlws.FILTER(Sheet1!$A$2:$A$333,(Sheet1!$K$2:$K$333=$E197)+(Sheet1!$K$2:$K$333=$E198)+(Sheet1!$K$2:$K$333=$E199),"UNFILLED"))</f>
        <v>THAYER, KELLY</v>
      </c>
      <c r="J197" s="169" t="str" cm="1">
        <f t="array" ref="J197">IF(RIGHT(_xlfn._xlws.FILTER(Sheet1!M$2:M$333,(Sheet1!M$2:M$333=$E197)+(Sheet1!M$2:M$333=$E198)+(Sheet1!M$2:M$333=$E199),""),4)="POST",CONCATENATE(_xlfn._xlws.FILTER(Sheet1!$A$2:$A$333,(Sheet1!M$2:M$333=$E197)+(Sheet1!M$2:M$333=$E198)+(Sheet1!M$2:M$333=$E199),""),"-","POST"),_xlfn._xlws.FILTER(Sheet1!$A$2:$A$333,(Sheet1!M$2:M$333=$E197)+(Sheet1!M$2:M$333=$E198)+(Sheet1!M$2:M$333=$E199),"UNFILLED"))</f>
        <v>MCGOLDRICK, MATT</v>
      </c>
      <c r="K197" s="169" t="str" cm="1">
        <f t="array" ref="K197:K198">IF(RIGHT(_xlfn._xlws.FILTER(Sheet1!$O$2:$O$333,(Sheet1!$O$2:$O$333=$E197)+(Sheet1!$O$2:$O$333=$E198)+(Sheet1!$O$2:$O$333=$E199),""),4)="POST",CONCATENATE(_xlfn._xlws.FILTER(Sheet1!$A$2:$A$333,(Sheet1!$O$2:$O$333=$E197)+(Sheet1!$O$2:$O$333=$E198)+(Sheet1!$O$2:$O$333=$E199),""),"-","POST"),_xlfn._xlws.FILTER(Sheet1!$A$2:$A$333,(Sheet1!$O$2:$O$333=$E197)+(Sheet1!$O$2:$O$333=$E198)+(Sheet1!$O$2:$O$333=$E199),"UNFILLED"))</f>
        <v>JAMES, BRAD-POST</v>
      </c>
      <c r="L197" s="169" t="str" cm="1">
        <f t="array" ref="L197:L198">IF(RIGHT(_xlfn._xlws.FILTER(Sheet1!$Q$2:$Q$333,(Sheet1!$Q$2:$Q$333=$E197)+(Sheet1!$Q$2:$Q$333=$E198)+(Sheet1!$Q$2:$Q$333=$E199),""),4)="POST",CONCATENATE(_xlfn._xlws.FILTER(Sheet1!$A$2:$A$333,(Sheet1!$Q$2:$Q$333=$E197)+(Sheet1!$Q$2:$Q$333=$E198)+(Sheet1!$Q$2:$Q$333=$E199),""),"-","POST"),_xlfn._xlws.FILTER(Sheet1!$A$2:$A$333,(Sheet1!$Q$2:$Q$333=$E197)+(Sheet1!$Q$2:$Q$333=$E198)+(Sheet1!$Q$2:$Q$333=$E199),"UNFILLED"))</f>
        <v>BAILEY, STEVEN</v>
      </c>
      <c r="M197" s="169" t="str" cm="1">
        <f t="array" ref="M197:M198">IF(RIGHT(_xlfn._xlws.FILTER(Sheet1!$S$2:$S$333,(Sheet1!$S$2:$S$333=$E197)+(Sheet1!$S$2:$S$333=$E198)+(Sheet1!$S$2:$S$333=$E199),""),4)="POST",CONCATENATE(_xlfn._xlws.FILTER(Sheet1!$A$2:$A$333,(Sheet1!$S$2:$S$333=$E197)+(Sheet1!$S$2:$S$333=$E198)+(Sheet1!$S$2:$S$333=$E199),""),"-","POST"),_xlfn._xlws.FILTER(Sheet1!$A$2:$A$333,(Sheet1!$S$2:$S$333=$E197)+(Sheet1!$S$2:$S$333=$E198)+(Sheet1!$S$2:$S$333=$E199),"UNFILLED"))</f>
        <v>BAILEY, STEVEN</v>
      </c>
      <c r="W197" s="417"/>
      <c r="X197" s="170"/>
      <c r="Y197" s="170"/>
      <c r="Z197" s="170"/>
      <c r="AA197" s="170"/>
      <c r="AB197" s="170"/>
      <c r="AC197" s="170"/>
      <c r="AD197" s="170"/>
    </row>
    <row r="198" spans="1:30" ht="17.25" customHeight="1" x14ac:dyDescent="0.4">
      <c r="A198" s="153"/>
      <c r="C198" s="412"/>
      <c r="D198" s="413"/>
      <c r="E198" s="168" t="str">
        <f>_xlfn.CONCAT(E197,"-","POST")</f>
        <v>CD-3-POST</v>
      </c>
      <c r="F198" s="415"/>
      <c r="G198" s="171" t="str">
        <v>JAMES, BRAD-POST</v>
      </c>
      <c r="H198" s="171" t="str">
        <v>JAMES, BRAD-POST</v>
      </c>
      <c r="I198" s="171"/>
      <c r="J198" s="171"/>
      <c r="K198" s="171" t="str">
        <v>MCGOLDRICK, MATT</v>
      </c>
      <c r="L198" s="171" t="str">
        <v>JAMES, BRAD-POST</v>
      </c>
      <c r="M198" s="171" t="str">
        <v>JAMES, BRAD-POST</v>
      </c>
      <c r="W198" s="417"/>
      <c r="X198" s="172"/>
      <c r="Y198" s="172"/>
      <c r="Z198" s="172"/>
      <c r="AA198" s="172"/>
      <c r="AB198" s="172"/>
      <c r="AC198" s="172"/>
      <c r="AD198" s="172"/>
    </row>
    <row r="199" spans="1:30" ht="17.25" customHeight="1" x14ac:dyDescent="0.4">
      <c r="A199" s="153"/>
      <c r="C199" s="412"/>
      <c r="D199" s="413"/>
      <c r="E199" s="168" t="str">
        <f>_xlfn.CONCAT(E197,"-","PILOT")</f>
        <v>CD-3-PILOT</v>
      </c>
      <c r="F199" s="416"/>
      <c r="G199" s="173"/>
      <c r="H199" s="173"/>
      <c r="I199" s="173"/>
      <c r="J199" s="173"/>
      <c r="K199" s="173"/>
      <c r="L199" s="173"/>
      <c r="M199" s="173"/>
      <c r="W199" s="417"/>
      <c r="X199" s="172"/>
      <c r="Y199" s="172"/>
      <c r="Z199" s="172"/>
      <c r="AA199" s="172"/>
      <c r="AB199" s="172"/>
      <c r="AC199" s="172"/>
      <c r="AD199" s="172"/>
    </row>
    <row r="200" spans="1:30" ht="17.25" customHeight="1" x14ac:dyDescent="0.4">
      <c r="A200" s="153"/>
      <c r="C200" s="412"/>
      <c r="D200" s="413"/>
      <c r="E200" s="168" t="s">
        <v>153</v>
      </c>
      <c r="F200" s="414" t="s">
        <v>90</v>
      </c>
      <c r="G200" s="169" t="str" cm="1">
        <f t="array" ref="G200">IF(RIGHT(_xlfn._xlws.FILTER(Sheet1!$G$2:$G$333,(Sheet1!$G$2:$G$333=$E200)+(Sheet1!$G$2:$G$333=$E201)+(Sheet1!$G$2:$G$333=$E202),""),4)="POST",CONCATENATE(_xlfn._xlws.FILTER(Sheet1!$A$2:$A$333,(Sheet1!$G$2:$G$333=$E200)+(Sheet1!$G$2:$G$333=$E201)+(Sheet1!$G$2:$G$333=$E202),""),"-","POST"),_xlfn._xlws.FILTER(Sheet1!$A$2:$A$333,(Sheet1!$G$2:$G$333=$E200)+(Sheet1!$G$2:$G$333=$E201)+(Sheet1!$G$2:$G$333=$E202),"UNFILLED"))</f>
        <v>TRACY, LUCAS</v>
      </c>
      <c r="H200" s="169" t="str" cm="1">
        <f t="array" ref="H200">IF(RIGHT(_xlfn._xlws.FILTER(Sheet1!$I$2:$I$333,(Sheet1!$I$2:$I$333=$E200)+(Sheet1!$I$2:$I$333=$E201)+(Sheet1!$I$2:$I$333=$E202),""),4)="POST",CONCATENATE(_xlfn._xlws.FILTER(Sheet1!$A$2:$A$333,(Sheet1!$I$2:$I$333=$E200)+(Sheet1!$I$2:$I$333=$E201)+(Sheet1!$I$2:$I$333=$E202),""),"-","POST"),_xlfn._xlws.FILTER(Sheet1!$A$2:$A$333,(Sheet1!$I$2:$I$333=$E200)+(Sheet1!$I$2:$I$333=$E201)+(Sheet1!$I$2:$I$333=$E202),"UNFILLED"))</f>
        <v>TRACY, LUCAS</v>
      </c>
      <c r="I200" s="169" t="str" cm="1">
        <f t="array" ref="I200">IF(RIGHT(_xlfn._xlws.FILTER(Sheet1!$K$2:$K$333,(Sheet1!$K$2:$K$333=$E200)+(Sheet1!$K$2:$K$333=$E201)+(Sheet1!$K$2:$K$333=$E202),""),4)="POST",CONCATENATE(_xlfn._xlws.FILTER(Sheet1!$A$2:$A$333,(Sheet1!$K$2:$K$333=$E200)+(Sheet1!$K$2:$K$333=$E201)+(Sheet1!$K$2:$K$333=$E202),""),"-","POST"),_xlfn._xlws.FILTER(Sheet1!$A$2:$A$333,(Sheet1!$K$2:$K$333=$E200)+(Sheet1!$K$2:$K$333=$E201)+(Sheet1!$K$2:$K$333=$E202),"UNFILLED"))</f>
        <v>TRACY, LUCAS</v>
      </c>
      <c r="J200" s="169" t="str" cm="1">
        <f t="array" ref="J200">IF(RIGHT(_xlfn._xlws.FILTER(Sheet1!M$2:M$333,(Sheet1!M$2:M$333=$E200)+(Sheet1!M$2:M$333=$E201)+(Sheet1!M$2:M$333=$E202),""),4)="POST",CONCATENATE(_xlfn._xlws.FILTER(Sheet1!$A$2:$A$333,(Sheet1!M$2:M$333=$E200)+(Sheet1!M$2:M$333=$E201)+(Sheet1!M$2:M$333=$E202),""),"-","POST"),_xlfn._xlws.FILTER(Sheet1!$A$2:$A$333,(Sheet1!M$2:M$333=$E200)+(Sheet1!M$2:M$333=$E201)+(Sheet1!M$2:M$333=$E202),"UNFILLED"))</f>
        <v>THAYER, KELLY</v>
      </c>
      <c r="K200" s="169" t="str" cm="1">
        <f t="array" ref="K200">IF(RIGHT(_xlfn._xlws.FILTER(Sheet1!$O$2:$O$333,(Sheet1!$O$2:$O$333=$E200)+(Sheet1!$O$2:$O$333=$E201)+(Sheet1!$O$2:$O$333=$E202),""),4)="POST",CONCATENATE(_xlfn._xlws.FILTER(Sheet1!$A$2:$A$333,(Sheet1!$O$2:$O$333=$E200)+(Sheet1!$O$2:$O$333=$E201)+(Sheet1!$O$2:$O$333=$E202),""),"-","POST"),_xlfn._xlws.FILTER(Sheet1!$A$2:$A$333,(Sheet1!$O$2:$O$333=$E200)+(Sheet1!$O$2:$O$333=$E201)+(Sheet1!$O$2:$O$333=$E202),"UNFILLED"))</f>
        <v>JOHNSON, EMILY</v>
      </c>
      <c r="L200" s="169" t="str" cm="1">
        <f t="array" ref="L200">IF(RIGHT(_xlfn._xlws.FILTER(Sheet1!$Q$2:$Q$333,(Sheet1!$Q$2:$Q$333=$E200)+(Sheet1!$Q$2:$Q$333=$E201)+(Sheet1!$Q$2:$Q$333=$E202),""),4)="POST",CONCATENATE(_xlfn._xlws.FILTER(Sheet1!$A$2:$A$333,(Sheet1!$Q$2:$Q$333=$E200)+(Sheet1!$Q$2:$Q$333=$E201)+(Sheet1!$Q$2:$Q$333=$E202),""),"-","POST"),_xlfn._xlws.FILTER(Sheet1!$A$2:$A$333,(Sheet1!$Q$2:$Q$333=$E200)+(Sheet1!$Q$2:$Q$333=$E201)+(Sheet1!$Q$2:$Q$333=$E202),"UNFILLED"))</f>
        <v>SLANEY, MATTHEW</v>
      </c>
      <c r="M200" s="169" t="str" cm="1">
        <f t="array" ref="M200">IF(RIGHT(_xlfn._xlws.FILTER(Sheet1!$S$2:$S$333,(Sheet1!$S$2:$S$333=$E200)+(Sheet1!$S$2:$S$333=$E201)+(Sheet1!$S$2:$S$333=$E202),""),4)="POST",CONCATENATE(_xlfn._xlws.FILTER(Sheet1!$A$2:$A$333,(Sheet1!$S$2:$S$333=$E200)+(Sheet1!$S$2:$S$333=$E201)+(Sheet1!$S$2:$S$333=$E202),""),"-","POST"),_xlfn._xlws.FILTER(Sheet1!$A$2:$A$333,(Sheet1!$S$2:$S$333=$E200)+(Sheet1!$S$2:$S$333=$E201)+(Sheet1!$S$2:$S$333=$E202),"UNFILLED"))</f>
        <v>JOHNSON, EMILY</v>
      </c>
      <c r="W200" s="417"/>
      <c r="X200" s="170"/>
      <c r="Y200" s="170"/>
      <c r="Z200" s="170"/>
      <c r="AA200" s="170"/>
      <c r="AB200" s="170"/>
      <c r="AC200" s="170"/>
      <c r="AD200" s="170"/>
    </row>
    <row r="201" spans="1:30" ht="17.25" customHeight="1" x14ac:dyDescent="0.4">
      <c r="A201" s="153"/>
      <c r="C201" s="412"/>
      <c r="D201" s="413"/>
      <c r="E201" s="168" t="str">
        <f>_xlfn.CONCAT(E200,"-","POST")</f>
        <v>EL-3-POST</v>
      </c>
      <c r="F201" s="415"/>
      <c r="G201" s="171"/>
      <c r="H201" s="171"/>
      <c r="I201" s="171"/>
      <c r="J201" s="171"/>
      <c r="K201" s="171"/>
      <c r="L201" s="171"/>
      <c r="M201" s="171"/>
      <c r="W201" s="417"/>
      <c r="X201" s="172"/>
      <c r="Y201" s="172"/>
      <c r="Z201" s="172"/>
      <c r="AA201" s="172"/>
      <c r="AB201" s="172"/>
      <c r="AC201" s="172"/>
      <c r="AD201" s="172"/>
    </row>
    <row r="202" spans="1:30" ht="17.25" customHeight="1" x14ac:dyDescent="0.4">
      <c r="A202" s="153"/>
      <c r="C202" s="412"/>
      <c r="D202" s="413"/>
      <c r="E202" s="168" t="str">
        <f>_xlfn.CONCAT(E200,"-","PILOT")</f>
        <v>EL-3-PILOT</v>
      </c>
      <c r="F202" s="416"/>
      <c r="G202" s="173"/>
      <c r="H202" s="173"/>
      <c r="I202" s="173"/>
      <c r="J202" s="173"/>
      <c r="K202" s="173"/>
      <c r="L202" s="173"/>
      <c r="M202" s="173"/>
      <c r="W202" s="417"/>
      <c r="X202" s="172"/>
      <c r="Y202" s="172"/>
      <c r="Z202" s="172"/>
      <c r="AA202" s="172"/>
      <c r="AB202" s="172"/>
      <c r="AC202" s="172"/>
      <c r="AD202" s="172"/>
    </row>
    <row r="203" spans="1:30" ht="17.25" customHeight="1" x14ac:dyDescent="0.4">
      <c r="A203" s="153"/>
      <c r="C203" s="412"/>
      <c r="D203" s="413"/>
      <c r="E203" s="168" t="s">
        <v>154</v>
      </c>
      <c r="F203" s="414" t="s">
        <v>92</v>
      </c>
      <c r="G203" s="169" t="str" cm="1">
        <f t="array" ref="G203">IF(RIGHT(_xlfn._xlws.FILTER(Sheet1!$G$2:$G$333,(Sheet1!$G$2:$G$333=$E203)+(Sheet1!$G$2:$G$333=$E204)+(Sheet1!$G$2:$G$333=$E205),""),4)="POST",CONCATENATE(_xlfn._xlws.FILTER(Sheet1!$A$2:$A$333,(Sheet1!$G$2:$G$333=$E203)+(Sheet1!$G$2:$G$333=$E204)+(Sheet1!$G$2:$G$333=$E205),""),"-","POST"),_xlfn._xlws.FILTER(Sheet1!$A$2:$A$333,(Sheet1!$G$2:$G$333=$E203)+(Sheet1!$G$2:$G$333=$E204)+(Sheet1!$G$2:$G$333=$E205),"UNFILLED"))</f>
        <v>JOHNSON, EMILY</v>
      </c>
      <c r="H203" s="169" t="str" cm="1">
        <f t="array" ref="H203">IF(RIGHT(_xlfn._xlws.FILTER(Sheet1!$I$2:$I$333,(Sheet1!$I$2:$I$333=$E203)+(Sheet1!$I$2:$I$333=$E204)+(Sheet1!$I$2:$I$333=$E205),""),4)="POST",CONCATENATE(_xlfn._xlws.FILTER(Sheet1!$A$2:$A$333,(Sheet1!$I$2:$I$333=$E203)+(Sheet1!$I$2:$I$333=$E204)+(Sheet1!$I$2:$I$333=$E205),""),"-","POST"),_xlfn._xlws.FILTER(Sheet1!$A$2:$A$333,(Sheet1!$I$2:$I$333=$E203)+(Sheet1!$I$2:$I$333=$E204)+(Sheet1!$I$2:$I$333=$E205),"UNFILLED"))</f>
        <v>JOHNSON, EMILY</v>
      </c>
      <c r="I203" s="169" t="str" cm="1">
        <f t="array" ref="I203">IF(RIGHT(_xlfn._xlws.FILTER(Sheet1!$K$2:$K$333,(Sheet1!$K$2:$K$333=$E203)+(Sheet1!$K$2:$K$333=$E204)+(Sheet1!$K$2:$K$333=$E205),""),4)="POST",CONCATENATE(_xlfn._xlws.FILTER(Sheet1!$A$2:$A$333,(Sheet1!$K$2:$K$333=$E203)+(Sheet1!$K$2:$K$333=$E204)+(Sheet1!$K$2:$K$333=$E205),""),"-","POST"),_xlfn._xlws.FILTER(Sheet1!$A$2:$A$333,(Sheet1!$K$2:$K$333=$E203)+(Sheet1!$K$2:$K$333=$E204)+(Sheet1!$K$2:$K$333=$E205),"UNFILLED"))</f>
        <v>WAGUESPACK, SAMMY</v>
      </c>
      <c r="J203" s="169" t="str" cm="1">
        <f t="array" ref="J203">IF(RIGHT(_xlfn._xlws.FILTER(Sheet1!M$2:M$333,(Sheet1!M$2:M$333=$E203)+(Sheet1!M$2:M$333=$E204)+(Sheet1!M$2:M$333=$E205),""),4)="POST",CONCATENATE(_xlfn._xlws.FILTER(Sheet1!$A$2:$A$333,(Sheet1!M$2:M$333=$E203)+(Sheet1!M$2:M$333=$E204)+(Sheet1!M$2:M$333=$E205),""),"-","POST"),_xlfn._xlws.FILTER(Sheet1!$A$2:$A$333,(Sheet1!M$2:M$333=$E203)+(Sheet1!M$2:M$333=$E204)+(Sheet1!M$2:M$333=$E205),"UNFILLED"))</f>
        <v>WAGUESPACK, SAMMY</v>
      </c>
      <c r="K203" s="169" t="str" cm="1">
        <f t="array" ref="K203">IF(RIGHT(_xlfn._xlws.FILTER(Sheet1!$O$2:$O$333,(Sheet1!$O$2:$O$333=$E203)+(Sheet1!$O$2:$O$333=$E204)+(Sheet1!$O$2:$O$333=$E205),""),4)="POST",CONCATENATE(_xlfn._xlws.FILTER(Sheet1!$A$2:$A$333,(Sheet1!$O$2:$O$333=$E203)+(Sheet1!$O$2:$O$333=$E204)+(Sheet1!$O$2:$O$333=$E205),""),"-","POST"),_xlfn._xlws.FILTER(Sheet1!$A$2:$A$333,(Sheet1!$O$2:$O$333=$E203)+(Sheet1!$O$2:$O$333=$E204)+(Sheet1!$O$2:$O$333=$E205),"UNFILLED"))</f>
        <v>THAYER, KELLY</v>
      </c>
      <c r="L203" s="169" t="str" cm="1">
        <f t="array" ref="L203">IF(RIGHT(_xlfn._xlws.FILTER(Sheet1!$Q$2:$Q$333,(Sheet1!$Q$2:$Q$333=$E203)+(Sheet1!$Q$2:$Q$333=$E204)+(Sheet1!$Q$2:$Q$333=$E205),""),4)="POST",CONCATENATE(_xlfn._xlws.FILTER(Sheet1!$A$2:$A$333,(Sheet1!$Q$2:$Q$333=$E203)+(Sheet1!$Q$2:$Q$333=$E204)+(Sheet1!$Q$2:$Q$333=$E205),""),"-","POST"),_xlfn._xlws.FILTER(Sheet1!$A$2:$A$333,(Sheet1!$Q$2:$Q$333=$E203)+(Sheet1!$Q$2:$Q$333=$E204)+(Sheet1!$Q$2:$Q$333=$E205),"UNFILLED"))</f>
        <v>TURNER, CHERTARVEYA</v>
      </c>
      <c r="M203" s="169" t="str" cm="1">
        <f t="array" ref="M203">IF(RIGHT(_xlfn._xlws.FILTER(Sheet1!$S$2:$S$333,(Sheet1!$S$2:$S$333=$E203)+(Sheet1!$S$2:$S$333=$E204)+(Sheet1!$S$2:$S$333=$E205),""),4)="POST",CONCATENATE(_xlfn._xlws.FILTER(Sheet1!$A$2:$A$333,(Sheet1!$S$2:$S$333=$E203)+(Sheet1!$S$2:$S$333=$E204)+(Sheet1!$S$2:$S$333=$E205),""),"-","POST"),_xlfn._xlws.FILTER(Sheet1!$A$2:$A$333,(Sheet1!$S$2:$S$333=$E203)+(Sheet1!$S$2:$S$333=$E204)+(Sheet1!$S$2:$S$333=$E205),"UNFILLED"))</f>
        <v>THAYER, KELLY</v>
      </c>
      <c r="W203" s="417"/>
      <c r="X203" s="170"/>
      <c r="Y203" s="170"/>
      <c r="Z203" s="170"/>
      <c r="AA203" s="170"/>
      <c r="AB203" s="170"/>
      <c r="AC203" s="170"/>
      <c r="AD203" s="170"/>
    </row>
    <row r="204" spans="1:30" ht="17.25" customHeight="1" x14ac:dyDescent="0.4">
      <c r="A204" s="153"/>
      <c r="C204" s="412"/>
      <c r="D204" s="413"/>
      <c r="E204" s="168" t="str">
        <f>_xlfn.CONCAT(E203,"-","POST")</f>
        <v>TT-3-POST</v>
      </c>
      <c r="F204" s="415"/>
      <c r="G204" s="171"/>
      <c r="H204" s="171"/>
      <c r="I204" s="171"/>
      <c r="J204" s="171"/>
      <c r="K204" s="171"/>
      <c r="L204" s="171"/>
      <c r="M204" s="171"/>
      <c r="W204" s="417"/>
      <c r="X204" s="172"/>
      <c r="Y204" s="172"/>
      <c r="Z204" s="172"/>
      <c r="AA204" s="172"/>
      <c r="AB204" s="172"/>
      <c r="AC204" s="172"/>
      <c r="AD204" s="172"/>
    </row>
    <row r="205" spans="1:30" ht="17.25" customHeight="1" x14ac:dyDescent="0.4">
      <c r="A205" s="153"/>
      <c r="C205" s="412"/>
      <c r="D205" s="413"/>
      <c r="E205" s="168" t="str">
        <f>_xlfn.CONCAT(E203,"-","PILOT")</f>
        <v>TT-3-PILOT</v>
      </c>
      <c r="F205" s="416"/>
      <c r="G205" s="173"/>
      <c r="H205" s="173"/>
      <c r="I205" s="173"/>
      <c r="J205" s="173"/>
      <c r="K205" s="173"/>
      <c r="L205" s="173"/>
      <c r="M205" s="173"/>
      <c r="W205" s="417"/>
      <c r="X205" s="172"/>
      <c r="Y205" s="172"/>
      <c r="Z205" s="172"/>
      <c r="AA205" s="172"/>
      <c r="AB205" s="172"/>
      <c r="AC205" s="172"/>
      <c r="AD205" s="172"/>
    </row>
    <row r="206" spans="1:30" ht="17.25" customHeight="1" x14ac:dyDescent="0.4">
      <c r="A206" s="153"/>
      <c r="C206" s="412"/>
      <c r="D206" s="413"/>
      <c r="E206" s="168" t="s">
        <v>155</v>
      </c>
      <c r="F206" s="414" t="s">
        <v>94</v>
      </c>
      <c r="G206" s="169" t="str" cm="1">
        <f t="array" ref="G206">IF(RIGHT(_xlfn._xlws.FILTER(Sheet1!$G$2:$G$333,(Sheet1!$G$2:$G$333=$E206)+(Sheet1!$G$2:$G$333=$E207)+(Sheet1!$G$2:$G$333=$E208),""),4)="POST",CONCATENATE(_xlfn._xlws.FILTER(Sheet1!$A$2:$A$333,(Sheet1!$G$2:$G$333=$E206)+(Sheet1!$G$2:$G$333=$E207)+(Sheet1!$G$2:$G$333=$E208),""),"-","POST"),_xlfn._xlws.FILTER(Sheet1!$A$2:$A$333,(Sheet1!$G$2:$G$333=$E206)+(Sheet1!$G$2:$G$333=$E207)+(Sheet1!$G$2:$G$333=$E208),"UNFILLED"))</f>
        <v>BULLO, GABRIELLE</v>
      </c>
      <c r="H206" s="169" t="str" cm="1">
        <f t="array" ref="H206">IF(RIGHT(_xlfn._xlws.FILTER(Sheet1!$I$2:$I$333,(Sheet1!$I$2:$I$333=$E206)+(Sheet1!$I$2:$I$333=$E207)+(Sheet1!$I$2:$I$333=$E208),""),4)="POST",CONCATENATE(_xlfn._xlws.FILTER(Sheet1!$A$2:$A$333,(Sheet1!$I$2:$I$333=$E206)+(Sheet1!$I$2:$I$333=$E207)+(Sheet1!$I$2:$I$333=$E208),""),"-","POST"),_xlfn._xlws.FILTER(Sheet1!$A$2:$A$333,(Sheet1!$I$2:$I$333=$E206)+(Sheet1!$I$2:$I$333=$E207)+(Sheet1!$I$2:$I$333=$E208),"UNFILLED"))</f>
        <v>BULLO, GABRIELLE</v>
      </c>
      <c r="I206" s="169" t="str" cm="1">
        <f t="array" ref="I206">IF(RIGHT(_xlfn._xlws.FILTER(Sheet1!$K$2:$K$333,(Sheet1!$K$2:$K$333=$E206)+(Sheet1!$K$2:$K$333=$E207)+(Sheet1!$K$2:$K$333=$E208),""),4)="POST",CONCATENATE(_xlfn._xlws.FILTER(Sheet1!$A$2:$A$333,(Sheet1!$K$2:$K$333=$E206)+(Sheet1!$K$2:$K$333=$E207)+(Sheet1!$K$2:$K$333=$E208),""),"-","POST"),_xlfn._xlws.FILTER(Sheet1!$A$2:$A$333,(Sheet1!$K$2:$K$333=$E206)+(Sheet1!$K$2:$K$333=$E207)+(Sheet1!$K$2:$K$333=$E208),"UNFILLED"))</f>
        <v>ISBELL, STEVE</v>
      </c>
      <c r="J206" s="169" t="str" cm="1">
        <f t="array" ref="J206">IF(RIGHT(_xlfn._xlws.FILTER(Sheet1!M$2:M$333,(Sheet1!M$2:M$333=$E206)+(Sheet1!M$2:M$333=$E207)+(Sheet1!M$2:M$333=$E208),""),4)="POST",CONCATENATE(_xlfn._xlws.FILTER(Sheet1!$A$2:$A$333,(Sheet1!M$2:M$333=$E206)+(Sheet1!M$2:M$333=$E207)+(Sheet1!M$2:M$333=$E208),""),"-","POST"),_xlfn._xlws.FILTER(Sheet1!$A$2:$A$333,(Sheet1!M$2:M$333=$E206)+(Sheet1!M$2:M$333=$E207)+(Sheet1!M$2:M$333=$E208),"UNFILLED"))</f>
        <v>GRUBBS, TUJUANA</v>
      </c>
      <c r="K206" s="169" t="str" cm="1">
        <f t="array" ref="K206">IF(RIGHT(_xlfn._xlws.FILTER(Sheet1!$O$2:$O$333,(Sheet1!$O$2:$O$333=$E206)+(Sheet1!$O$2:$O$333=$E207)+(Sheet1!$O$2:$O$333=$E208),""),4)="POST",CONCATENATE(_xlfn._xlws.FILTER(Sheet1!$A$2:$A$333,(Sheet1!$O$2:$O$333=$E206)+(Sheet1!$O$2:$O$333=$E207)+(Sheet1!$O$2:$O$333=$E208),""),"-","POST"),_xlfn._xlws.FILTER(Sheet1!$A$2:$A$333,(Sheet1!$O$2:$O$333=$E206)+(Sheet1!$O$2:$O$333=$E207)+(Sheet1!$O$2:$O$333=$E208),"UNFILLED"))</f>
        <v>BULLO, GABRIELLE</v>
      </c>
      <c r="L206" s="169" t="str" cm="1">
        <f t="array" ref="L206">IF(RIGHT(_xlfn._xlws.FILTER(Sheet1!$Q$2:$Q$333,(Sheet1!$Q$2:$Q$333=$E206)+(Sheet1!$Q$2:$Q$333=$E207)+(Sheet1!$Q$2:$Q$333=$E208),""),4)="POST",CONCATENATE(_xlfn._xlws.FILTER(Sheet1!$A$2:$A$333,(Sheet1!$Q$2:$Q$333=$E206)+(Sheet1!$Q$2:$Q$333=$E207)+(Sheet1!$Q$2:$Q$333=$E208),""),"-","POST"),_xlfn._xlws.FILTER(Sheet1!$A$2:$A$333,(Sheet1!$Q$2:$Q$333=$E206)+(Sheet1!$Q$2:$Q$333=$E207)+(Sheet1!$Q$2:$Q$333=$E208),"UNFILLED"))</f>
        <v>BULLO, GABRIELLE</v>
      </c>
      <c r="M206" s="169" t="str" cm="1">
        <f t="array" ref="M206">IF(RIGHT(_xlfn._xlws.FILTER(Sheet1!$S$2:$S$333,(Sheet1!$S$2:$S$333=$E206)+(Sheet1!$S$2:$S$333=$E207)+(Sheet1!$S$2:$S$333=$E208),""),4)="POST",CONCATENATE(_xlfn._xlws.FILTER(Sheet1!$A$2:$A$333,(Sheet1!$S$2:$S$333=$E206)+(Sheet1!$S$2:$S$333=$E207)+(Sheet1!$S$2:$S$333=$E208),""),"-","POST"),_xlfn._xlws.FILTER(Sheet1!$A$2:$A$333,(Sheet1!$S$2:$S$333=$E206)+(Sheet1!$S$2:$S$333=$E207)+(Sheet1!$S$2:$S$333=$E208),"UNFILLED"))</f>
        <v>BULLO, GABRIELLE</v>
      </c>
      <c r="W206" s="417"/>
      <c r="X206" s="170"/>
      <c r="Y206" s="170"/>
      <c r="Z206" s="170"/>
      <c r="AA206" s="170"/>
      <c r="AB206" s="170"/>
      <c r="AC206" s="170"/>
      <c r="AD206" s="170"/>
    </row>
    <row r="207" spans="1:30" ht="17.25" customHeight="1" x14ac:dyDescent="0.4">
      <c r="A207" s="153"/>
      <c r="C207" s="412"/>
      <c r="D207" s="413"/>
      <c r="E207" s="168" t="str">
        <f>_xlfn.CONCAT(E206,"-","POST")</f>
        <v>DT-3-POST</v>
      </c>
      <c r="F207" s="415"/>
      <c r="G207" s="171"/>
      <c r="H207" s="171"/>
      <c r="I207" s="171"/>
      <c r="J207" s="171"/>
      <c r="K207" s="171"/>
      <c r="L207" s="171"/>
      <c r="M207" s="171"/>
      <c r="W207" s="417"/>
      <c r="X207" s="172"/>
      <c r="Y207" s="172"/>
      <c r="Z207" s="172"/>
      <c r="AA207" s="172"/>
      <c r="AB207" s="172"/>
      <c r="AC207" s="172"/>
      <c r="AD207" s="172"/>
    </row>
    <row r="208" spans="1:30" ht="17.25" customHeight="1" x14ac:dyDescent="0.4">
      <c r="A208" s="153"/>
      <c r="C208" s="412"/>
      <c r="D208" s="413"/>
      <c r="E208" s="168" t="str">
        <f>_xlfn.CONCAT(E206,"-","PILOT")</f>
        <v>DT-3-PILOT</v>
      </c>
      <c r="F208" s="416"/>
      <c r="G208" s="173"/>
      <c r="H208" s="173"/>
      <c r="I208" s="173"/>
      <c r="J208" s="173"/>
      <c r="K208" s="173"/>
      <c r="L208" s="173"/>
      <c r="M208" s="173"/>
      <c r="W208" s="417"/>
      <c r="X208" s="172"/>
      <c r="Y208" s="172"/>
      <c r="Z208" s="172"/>
      <c r="AA208" s="172"/>
      <c r="AB208" s="172"/>
      <c r="AC208" s="172"/>
      <c r="AD208" s="172"/>
    </row>
    <row r="209" spans="1:30" ht="17.25" customHeight="1" x14ac:dyDescent="0.45">
      <c r="A209" s="153"/>
      <c r="C209" s="412"/>
      <c r="D209" s="413"/>
      <c r="E209" s="175" t="s">
        <v>156</v>
      </c>
      <c r="F209" s="414" t="s">
        <v>96</v>
      </c>
      <c r="G209" s="169" t="str" cm="1">
        <f t="array" ref="G209">IF(RIGHT(_xlfn._xlws.FILTER(Sheet1!$G$2:$G$333,(Sheet1!$G$2:$G$333=$E209)+(Sheet1!$G$2:$G$333=$E210)+(Sheet1!$G$2:$G$333=$E211),""),4)="POST",CONCATENATE(_xlfn._xlws.FILTER(Sheet1!$A$2:$A$333,(Sheet1!$G$2:$G$333=$E209)+(Sheet1!$G$2:$G$333=$E210)+(Sheet1!$G$2:$G$333=$E211),""),"-","POST"),_xlfn._xlws.FILTER(Sheet1!$A$2:$A$333,(Sheet1!$G$2:$G$333=$E209)+(Sheet1!$G$2:$G$333=$E210)+(Sheet1!$G$2:$G$333=$E211),"UNFILLED"))</f>
        <v>WENGER, JOSH</v>
      </c>
      <c r="H209" s="169" t="str" cm="1">
        <f t="array" ref="H209">IF(RIGHT(_xlfn._xlws.FILTER(Sheet1!$I$2:$I$333,(Sheet1!$I$2:$I$333=$E209)+(Sheet1!$I$2:$I$333=$E210)+(Sheet1!$I$2:$I$333=$E211),""),4)="POST",CONCATENATE(_xlfn._xlws.FILTER(Sheet1!$A$2:$A$333,(Sheet1!$I$2:$I$333=$E209)+(Sheet1!$I$2:$I$333=$E210)+(Sheet1!$I$2:$I$333=$E211),""),"-","POST"),_xlfn._xlws.FILTER(Sheet1!$A$2:$A$333,(Sheet1!$I$2:$I$333=$E209)+(Sheet1!$I$2:$I$333=$E210)+(Sheet1!$I$2:$I$333=$E211),"UNFILLED"))</f>
        <v>WENGER, JOSH</v>
      </c>
      <c r="I209" s="169" t="str" cm="1">
        <f t="array" ref="I209">IF(RIGHT(_xlfn._xlws.FILTER(Sheet1!$K$2:$K$333,(Sheet1!$K$2:$K$333=$E209)+(Sheet1!$K$2:$K$333=$E210)+(Sheet1!$K$2:$K$333=$E211),""),4)="POST",CONCATENATE(_xlfn._xlws.FILTER(Sheet1!$A$2:$A$333,(Sheet1!$K$2:$K$333=$E209)+(Sheet1!$K$2:$K$333=$E210)+(Sheet1!$K$2:$K$333=$E211),""),"-","POST"),_xlfn._xlws.FILTER(Sheet1!$A$2:$A$333,(Sheet1!$K$2:$K$333=$E209)+(Sheet1!$K$2:$K$333=$E210)+(Sheet1!$K$2:$K$333=$E211),"UNFILLED"))</f>
        <v>HESSELTINE, BRAEDEN</v>
      </c>
      <c r="J209" s="169" t="str" cm="1">
        <f t="array" ref="J209">IF(RIGHT(_xlfn._xlws.FILTER(Sheet1!M$2:M$333,(Sheet1!M$2:M$333=$E209)+(Sheet1!M$2:M$333=$E210)+(Sheet1!M$2:M$333=$E211),""),4)="POST",CONCATENATE(_xlfn._xlws.FILTER(Sheet1!$A$2:$A$333,(Sheet1!M$2:M$333=$E209)+(Sheet1!M$2:M$333=$E210)+(Sheet1!M$2:M$333=$E211),""),"-","POST"),_xlfn._xlws.FILTER(Sheet1!$A$2:$A$333,(Sheet1!M$2:M$333=$E209)+(Sheet1!M$2:M$333=$E210)+(Sheet1!M$2:M$333=$E211),"UNFILLED"))</f>
        <v>BOUCHARD, SHARLIE</v>
      </c>
      <c r="K209" s="169" t="str" cm="1">
        <f t="array" ref="K209">IF(RIGHT(_xlfn._xlws.FILTER(Sheet1!$O$2:$O$333,(Sheet1!$O$2:$O$333=$E209)+(Sheet1!$O$2:$O$333=$E210)+(Sheet1!$O$2:$O$333=$E211),""),4)="POST",CONCATENATE(_xlfn._xlws.FILTER(Sheet1!$A$2:$A$333,(Sheet1!$O$2:$O$333=$E209)+(Sheet1!$O$2:$O$333=$E210)+(Sheet1!$O$2:$O$333=$E211),""),"-","POST"),_xlfn._xlws.FILTER(Sheet1!$A$2:$A$333,(Sheet1!$O$2:$O$333=$E209)+(Sheet1!$O$2:$O$333=$E210)+(Sheet1!$O$2:$O$333=$E211),"UNFILLED"))</f>
        <v>BAILEY, STEVEN</v>
      </c>
      <c r="L209" s="169" t="str" cm="1">
        <f t="array" ref="L209">IF(RIGHT(_xlfn._xlws.FILTER(Sheet1!$Q$2:$Q$333,(Sheet1!$Q$2:$Q$333=$E209)+(Sheet1!$Q$2:$Q$333=$E210)+(Sheet1!$Q$2:$Q$333=$E211),""),4)="POST",CONCATENATE(_xlfn._xlws.FILTER(Sheet1!$A$2:$A$333,(Sheet1!$Q$2:$Q$333=$E209)+(Sheet1!$Q$2:$Q$333=$E210)+(Sheet1!$Q$2:$Q$333=$E211),""),"-","POST"),_xlfn._xlws.FILTER(Sheet1!$A$2:$A$333,(Sheet1!$Q$2:$Q$333=$E209)+(Sheet1!$Q$2:$Q$333=$E210)+(Sheet1!$Q$2:$Q$333=$E211),"UNFILLED"))</f>
        <v>WENGER, JOSH</v>
      </c>
      <c r="M209" s="169" t="str" cm="1">
        <f t="array" ref="M209">IF(RIGHT(_xlfn._xlws.FILTER(Sheet1!$S$2:$S$333,(Sheet1!$S$2:$S$333=$E209)+(Sheet1!$S$2:$S$333=$E210)+(Sheet1!$S$2:$S$333=$E211),""),4)="POST",CONCATENATE(_xlfn._xlws.FILTER(Sheet1!$A$2:$A$333,(Sheet1!$S$2:$S$333=$E209)+(Sheet1!$S$2:$S$333=$E210)+(Sheet1!$S$2:$S$333=$E211),""),"-","POST"),_xlfn._xlws.FILTER(Sheet1!$A$2:$A$333,(Sheet1!$S$2:$S$333=$E209)+(Sheet1!$S$2:$S$333=$E210)+(Sheet1!$S$2:$S$333=$E211),"UNFILLED"))</f>
        <v>WENGER, JOSH</v>
      </c>
      <c r="W209" s="417"/>
      <c r="X209" s="170"/>
      <c r="Y209" s="170"/>
      <c r="Z209" s="170"/>
      <c r="AA209" s="170"/>
      <c r="AB209" s="170"/>
      <c r="AC209" s="170"/>
      <c r="AD209" s="170"/>
    </row>
    <row r="210" spans="1:30" ht="17.25" customHeight="1" x14ac:dyDescent="0.4">
      <c r="A210" s="153"/>
      <c r="C210" s="412"/>
      <c r="D210" s="413"/>
      <c r="E210" s="168" t="str">
        <f>_xlfn.CONCAT(E209,"-","POST")</f>
        <v>CG-3-POST</v>
      </c>
      <c r="F210" s="415"/>
      <c r="G210" s="171"/>
      <c r="H210" s="171"/>
      <c r="I210" s="171"/>
      <c r="J210" s="171"/>
      <c r="K210" s="171"/>
      <c r="L210" s="171"/>
      <c r="M210" s="171"/>
      <c r="W210" s="417"/>
      <c r="X210" s="172"/>
      <c r="Y210" s="172"/>
      <c r="Z210" s="172"/>
      <c r="AA210" s="172"/>
      <c r="AB210" s="172"/>
      <c r="AC210" s="172"/>
      <c r="AD210" s="172"/>
    </row>
    <row r="211" spans="1:30" ht="17.25" customHeight="1" x14ac:dyDescent="0.4">
      <c r="A211" s="153"/>
      <c r="C211" s="412"/>
      <c r="D211" s="413"/>
      <c r="E211" s="168" t="str">
        <f>_xlfn.CONCAT(E209,"-","PILOT")</f>
        <v>CG-3-PILOT</v>
      </c>
      <c r="F211" s="416"/>
      <c r="G211" s="173"/>
      <c r="H211" s="173"/>
      <c r="I211" s="173"/>
      <c r="J211" s="173"/>
      <c r="K211" s="173"/>
      <c r="L211" s="173"/>
      <c r="M211" s="173"/>
      <c r="W211" s="417"/>
      <c r="X211" s="172"/>
      <c r="Y211" s="172"/>
      <c r="Z211" s="172"/>
      <c r="AA211" s="172"/>
      <c r="AB211" s="172"/>
      <c r="AC211" s="172"/>
      <c r="AD211" s="172"/>
    </row>
    <row r="212" spans="1:30" ht="17.25" customHeight="1" x14ac:dyDescent="0.45">
      <c r="A212" s="153"/>
      <c r="C212" s="412"/>
      <c r="D212" s="413"/>
      <c r="E212" s="175" t="s">
        <v>157</v>
      </c>
      <c r="F212" s="414" t="s">
        <v>98</v>
      </c>
      <c r="G212" s="169" t="str" cm="1">
        <f t="array" ref="G212">IF(RIGHT(_xlfn._xlws.FILTER(Sheet1!$G$2:$G$333,(Sheet1!$G$2:$G$333=$E212)+(Sheet1!$G$2:$G$333=$E213)+(Sheet1!$G$2:$G$333=$E214),""),4)="POST",CONCATENATE(_xlfn._xlws.FILTER(Sheet1!$A$2:$A$333,(Sheet1!$G$2:$G$333=$E212)+(Sheet1!$G$2:$G$333=$E213)+(Sheet1!$G$2:$G$333=$E214),""),"-","POST"),_xlfn._xlws.FILTER(Sheet1!$A$2:$A$333,(Sheet1!$G$2:$G$333=$E212)+(Sheet1!$G$2:$G$333=$E213)+(Sheet1!$G$2:$G$333=$E214),"UNFILLED"))</f>
        <v>MCGRADY, SHAWN</v>
      </c>
      <c r="H212" s="169" t="str" cm="1">
        <f t="array" ref="H212">IF(RIGHT(_xlfn._xlws.FILTER(Sheet1!$I$2:$I$333,(Sheet1!$I$2:$I$333=$E212)+(Sheet1!$I$2:$I$333=$E213)+(Sheet1!$I$2:$I$333=$E214),""),4)="POST",CONCATENATE(_xlfn._xlws.FILTER(Sheet1!$A$2:$A$333,(Sheet1!$I$2:$I$333=$E212)+(Sheet1!$I$2:$I$333=$E213)+(Sheet1!$I$2:$I$333=$E214),""),"-","POST"),_xlfn._xlws.FILTER(Sheet1!$A$2:$A$333,(Sheet1!$I$2:$I$333=$E212)+(Sheet1!$I$2:$I$333=$E213)+(Sheet1!$I$2:$I$333=$E214),"UNFILLED"))</f>
        <v>MCGRADY, SHAWN</v>
      </c>
      <c r="I212" s="169" t="str" cm="1">
        <f t="array" ref="I212">IF(RIGHT(_xlfn._xlws.FILTER(Sheet1!$K$2:$K$333,(Sheet1!$K$2:$K$333=$E212)+(Sheet1!$K$2:$K$333=$E213)+(Sheet1!$K$2:$K$333=$E214),""),4)="POST",CONCATENATE(_xlfn._xlws.FILTER(Sheet1!$A$2:$A$333,(Sheet1!$K$2:$K$333=$E212)+(Sheet1!$K$2:$K$333=$E213)+(Sheet1!$K$2:$K$333=$E214),""),"-","POST"),_xlfn._xlws.FILTER(Sheet1!$A$2:$A$333,(Sheet1!$K$2:$K$333=$E212)+(Sheet1!$K$2:$K$333=$E213)+(Sheet1!$K$2:$K$333=$E214),"UNFILLED"))</f>
        <v>MCGRADY, SHAWN</v>
      </c>
      <c r="J212" s="169" t="str" cm="1">
        <f t="array" ref="J212">IF(RIGHT(_xlfn._xlws.FILTER(Sheet1!M$2:M$333,(Sheet1!M$2:M$333=$E212)+(Sheet1!M$2:M$333=$E213)+(Sheet1!M$2:M$333=$E214),""),4)="POST",CONCATENATE(_xlfn._xlws.FILTER(Sheet1!$A$2:$A$333,(Sheet1!M$2:M$333=$E212)+(Sheet1!M$2:M$333=$E213)+(Sheet1!M$2:M$333=$E214),""),"-","POST"),_xlfn._xlws.FILTER(Sheet1!$A$2:$A$333,(Sheet1!M$2:M$333=$E212)+(Sheet1!M$2:M$333=$E213)+(Sheet1!M$2:M$333=$E214),"UNFILLED"))</f>
        <v>MCGRADY, SHAWN</v>
      </c>
      <c r="K212" s="169" t="str" cm="1">
        <f t="array" ref="K212">IF(RIGHT(_xlfn._xlws.FILTER(Sheet1!$O$2:$O$333,(Sheet1!$O$2:$O$333=$E212)+(Sheet1!$O$2:$O$333=$E213)+(Sheet1!$O$2:$O$333=$E214),""),4)="POST",CONCATENATE(_xlfn._xlws.FILTER(Sheet1!$A$2:$A$333,(Sheet1!$O$2:$O$333=$E212)+(Sheet1!$O$2:$O$333=$E213)+(Sheet1!$O$2:$O$333=$E214),""),"-","POST"),_xlfn._xlws.FILTER(Sheet1!$A$2:$A$333,(Sheet1!$O$2:$O$333=$E212)+(Sheet1!$O$2:$O$333=$E213)+(Sheet1!$O$2:$O$333=$E214),"UNFILLED"))</f>
        <v>JAMES, NICHOLAS</v>
      </c>
      <c r="L212" s="169" t="str" cm="1">
        <f t="array" ref="L212">IF(RIGHT(_xlfn._xlws.FILTER(Sheet1!$Q$2:$Q$333,(Sheet1!$Q$2:$Q$333=$E212)+(Sheet1!$Q$2:$Q$333=$E213)+(Sheet1!$Q$2:$Q$333=$E214),""),4)="POST",CONCATENATE(_xlfn._xlws.FILTER(Sheet1!$A$2:$A$333,(Sheet1!$Q$2:$Q$333=$E212)+(Sheet1!$Q$2:$Q$333=$E213)+(Sheet1!$Q$2:$Q$333=$E214),""),"-","POST"),_xlfn._xlws.FILTER(Sheet1!$A$2:$A$333,(Sheet1!$Q$2:$Q$333=$E212)+(Sheet1!$Q$2:$Q$333=$E213)+(Sheet1!$Q$2:$Q$333=$E214),"UNFILLED"))</f>
        <v>MCGRADY, SHAWN</v>
      </c>
      <c r="M212" s="169" t="str" cm="1">
        <f t="array" ref="M212">IF(RIGHT(_xlfn._xlws.FILTER(Sheet1!$S$2:$S$333,(Sheet1!$S$2:$S$333=$E212)+(Sheet1!$S$2:$S$333=$E213)+(Sheet1!$S$2:$S$333=$E214),""),4)="POST",CONCATENATE(_xlfn._xlws.FILTER(Sheet1!$A$2:$A$333,(Sheet1!$S$2:$S$333=$E212)+(Sheet1!$S$2:$S$333=$E213)+(Sheet1!$S$2:$S$333=$E214),""),"-","POST"),_xlfn._xlws.FILTER(Sheet1!$A$2:$A$333,(Sheet1!$S$2:$S$333=$E212)+(Sheet1!$S$2:$S$333=$E213)+(Sheet1!$S$2:$S$333=$E214),"UNFILLED"))</f>
        <v>MCGRADY, SHAWN</v>
      </c>
      <c r="W212" s="417"/>
      <c r="X212" s="170"/>
      <c r="Y212" s="170"/>
      <c r="Z212" s="170"/>
      <c r="AA212" s="170"/>
      <c r="AB212" s="170"/>
      <c r="AC212" s="170"/>
      <c r="AD212" s="170"/>
    </row>
    <row r="213" spans="1:30" ht="17.25" customHeight="1" x14ac:dyDescent="0.4">
      <c r="A213" s="153"/>
      <c r="C213" s="412"/>
      <c r="D213" s="413"/>
      <c r="E213" s="168" t="str">
        <f>_xlfn.CONCAT(E212,"-","POST")</f>
        <v>DE-3-POST</v>
      </c>
      <c r="F213" s="415"/>
      <c r="G213" s="171"/>
      <c r="H213" s="171"/>
      <c r="I213" s="171"/>
      <c r="J213" s="171"/>
      <c r="K213" s="171"/>
      <c r="L213" s="171"/>
      <c r="M213" s="171"/>
      <c r="W213" s="417"/>
      <c r="X213" s="172"/>
      <c r="Y213" s="172"/>
      <c r="Z213" s="172"/>
      <c r="AA213" s="172"/>
      <c r="AB213" s="172"/>
      <c r="AC213" s="172"/>
      <c r="AD213" s="172"/>
    </row>
    <row r="214" spans="1:30" ht="17.25" customHeight="1" x14ac:dyDescent="0.4">
      <c r="A214" s="153"/>
      <c r="C214" s="412"/>
      <c r="D214" s="413"/>
      <c r="E214" s="168" t="str">
        <f>_xlfn.CONCAT(E212,"-","PILOT")</f>
        <v>DE-3-PILOT</v>
      </c>
      <c r="F214" s="416"/>
      <c r="G214" s="173"/>
      <c r="H214" s="173"/>
      <c r="I214" s="173"/>
      <c r="J214" s="173"/>
      <c r="K214" s="173"/>
      <c r="L214" s="173"/>
      <c r="M214" s="173"/>
      <c r="W214" s="417"/>
      <c r="X214" s="172"/>
      <c r="Y214" s="172"/>
      <c r="Z214" s="172"/>
      <c r="AA214" s="172"/>
      <c r="AB214" s="172"/>
      <c r="AC214" s="172"/>
      <c r="AD214" s="172"/>
    </row>
    <row r="215" spans="1:30" ht="17.25" customHeight="1" x14ac:dyDescent="0.45">
      <c r="A215" s="153"/>
      <c r="C215" s="412"/>
      <c r="D215" s="413"/>
      <c r="E215" s="175" t="s">
        <v>158</v>
      </c>
      <c r="F215" s="414" t="s">
        <v>100</v>
      </c>
      <c r="G215" s="169" t="str" cm="1">
        <f t="array" ref="G215">IF(RIGHT(_xlfn._xlws.FILTER(Sheet1!$G$2:$G$333,(Sheet1!$G$2:$G$333=$E215)+(Sheet1!$G$2:$G$333=$E216)+(Sheet1!$G$2:$G$333=$E217),""),4)="POST",CONCATENATE(_xlfn._xlws.FILTER(Sheet1!$A$2:$A$333,(Sheet1!$G$2:$G$333=$E215)+(Sheet1!$G$2:$G$333=$E216)+(Sheet1!$G$2:$G$333=$E217),""),"-","POST"),_xlfn._xlws.FILTER(Sheet1!$A$2:$A$333,(Sheet1!$G$2:$G$333=$E215)+(Sheet1!$G$2:$G$333=$E216)+(Sheet1!$G$2:$G$333=$E217),"UNFILLED"))</f>
        <v>DONALDSON, CODY</v>
      </c>
      <c r="H215" s="169" t="str" cm="1">
        <f t="array" ref="H215">IF(RIGHT(_xlfn._xlws.FILTER(Sheet1!$I$2:$I$333,(Sheet1!$I$2:$I$333=$E215)+(Sheet1!$I$2:$I$333=$E216)+(Sheet1!$I$2:$I$333=$E217),""),4)="POST",CONCATENATE(_xlfn._xlws.FILTER(Sheet1!$A$2:$A$333,(Sheet1!$I$2:$I$333=$E215)+(Sheet1!$I$2:$I$333=$E216)+(Sheet1!$I$2:$I$333=$E217),""),"-","POST"),_xlfn._xlws.FILTER(Sheet1!$A$2:$A$333,(Sheet1!$I$2:$I$333=$E215)+(Sheet1!$I$2:$I$333=$E216)+(Sheet1!$I$2:$I$333=$E217),"UNFILLED"))</f>
        <v>DONALDSON, CODY</v>
      </c>
      <c r="I215" s="169" t="str" cm="1">
        <f t="array" ref="I215">IF(RIGHT(_xlfn._xlws.FILTER(Sheet1!$K$2:$K$333,(Sheet1!$K$2:$K$333=$E215)+(Sheet1!$K$2:$K$333=$E216)+(Sheet1!$K$2:$K$333=$E217),""),4)="POST",CONCATENATE(_xlfn._xlws.FILTER(Sheet1!$A$2:$A$333,(Sheet1!$K$2:$K$333=$E215)+(Sheet1!$K$2:$K$333=$E216)+(Sheet1!$K$2:$K$333=$E217),""),"-","POST"),_xlfn._xlws.FILTER(Sheet1!$A$2:$A$333,(Sheet1!$K$2:$K$333=$E215)+(Sheet1!$K$2:$K$333=$E216)+(Sheet1!$K$2:$K$333=$E217),"UNFILLED"))</f>
        <v>DONALDSON, CODY</v>
      </c>
      <c r="J215" s="169" t="str" cm="1">
        <f t="array" ref="J215">IF(RIGHT(_xlfn._xlws.FILTER(Sheet1!M$2:M$333,(Sheet1!M$2:M$333=$E215)+(Sheet1!M$2:M$333=$E216)+(Sheet1!M$2:M$333=$E217),""),4)="POST",CONCATENATE(_xlfn._xlws.FILTER(Sheet1!$A$2:$A$333,(Sheet1!M$2:M$333=$E215)+(Sheet1!M$2:M$333=$E216)+(Sheet1!M$2:M$333=$E217),""),"-","POST"),_xlfn._xlws.FILTER(Sheet1!$A$2:$A$333,(Sheet1!M$2:M$333=$E215)+(Sheet1!M$2:M$333=$E216)+(Sheet1!M$2:M$333=$E217),"UNFILLED"))</f>
        <v>DONALDSON, CODY</v>
      </c>
      <c r="K215" s="169" t="str" cm="1">
        <f t="array" ref="K215">IF(RIGHT(_xlfn._xlws.FILTER(Sheet1!$O$2:$O$333,(Sheet1!$O$2:$O$333=$E215)+(Sheet1!$O$2:$O$333=$E216)+(Sheet1!$O$2:$O$333=$E217),""),4)="POST",CONCATENATE(_xlfn._xlws.FILTER(Sheet1!$A$2:$A$333,(Sheet1!$O$2:$O$333=$E215)+(Sheet1!$O$2:$O$333=$E216)+(Sheet1!$O$2:$O$333=$E217),""),"-","POST"),_xlfn._xlws.FILTER(Sheet1!$A$2:$A$333,(Sheet1!$O$2:$O$333=$E215)+(Sheet1!$O$2:$O$333=$E216)+(Sheet1!$O$2:$O$333=$E217),"UNFILLED"))</f>
        <v>DONALDSON, CODY</v>
      </c>
      <c r="L215" s="169" t="str" cm="1">
        <f t="array" ref="L215">IF(RIGHT(_xlfn._xlws.FILTER(Sheet1!$Q$2:$Q$333,(Sheet1!$Q$2:$Q$333=$E215)+(Sheet1!$Q$2:$Q$333=$E216)+(Sheet1!$Q$2:$Q$333=$E217),""),4)="POST",CONCATENATE(_xlfn._xlws.FILTER(Sheet1!$A$2:$A$333,(Sheet1!$Q$2:$Q$333=$E215)+(Sheet1!$Q$2:$Q$333=$E216)+(Sheet1!$Q$2:$Q$333=$E217),""),"-","POST"),_xlfn._xlws.FILTER(Sheet1!$A$2:$A$333,(Sheet1!$Q$2:$Q$333=$E215)+(Sheet1!$Q$2:$Q$333=$E216)+(Sheet1!$Q$2:$Q$333=$E217),"UNFILLED"))</f>
        <v>BRIMAH, ABDUL</v>
      </c>
      <c r="M215" s="169" t="str" cm="1">
        <f t="array" ref="M215">IF(RIGHT(_xlfn._xlws.FILTER(Sheet1!$S$2:$S$333,(Sheet1!$S$2:$S$333=$E215)+(Sheet1!$S$2:$S$333=$E216)+(Sheet1!$S$2:$S$333=$E217),""),4)="POST",CONCATENATE(_xlfn._xlws.FILTER(Sheet1!$A$2:$A$333,(Sheet1!$S$2:$S$333=$E215)+(Sheet1!$S$2:$S$333=$E216)+(Sheet1!$S$2:$S$333=$E217),""),"-","POST"),_xlfn._xlws.FILTER(Sheet1!$A$2:$A$333,(Sheet1!$S$2:$S$333=$E215)+(Sheet1!$S$2:$S$333=$E216)+(Sheet1!$S$2:$S$333=$E217),"UNFILLED"))</f>
        <v>BONNER, DEVIAN</v>
      </c>
      <c r="W215" s="417"/>
      <c r="X215" s="170"/>
      <c r="Y215" s="170"/>
      <c r="Z215" s="170"/>
      <c r="AA215" s="170"/>
      <c r="AB215" s="170"/>
      <c r="AC215" s="170"/>
      <c r="AD215" s="170"/>
    </row>
    <row r="216" spans="1:30" ht="17.25" customHeight="1" x14ac:dyDescent="0.4">
      <c r="A216" s="153"/>
      <c r="C216" s="412"/>
      <c r="D216" s="413"/>
      <c r="E216" s="168" t="str">
        <f>_xlfn.CONCAT(E215,"-","POST")</f>
        <v>MT-3-POST</v>
      </c>
      <c r="F216" s="415"/>
      <c r="G216" s="171"/>
      <c r="H216" s="171"/>
      <c r="I216" s="171"/>
      <c r="J216" s="171"/>
      <c r="K216" s="171"/>
      <c r="L216" s="171"/>
      <c r="M216" s="171"/>
      <c r="W216" s="417"/>
      <c r="X216" s="172"/>
      <c r="Y216" s="172"/>
      <c r="Z216" s="172"/>
      <c r="AA216" s="172"/>
      <c r="AB216" s="172"/>
      <c r="AC216" s="172"/>
      <c r="AD216" s="172"/>
    </row>
    <row r="217" spans="1:30" ht="17.25" customHeight="1" x14ac:dyDescent="0.4">
      <c r="A217" s="153"/>
      <c r="C217" s="412"/>
      <c r="D217" s="413"/>
      <c r="E217" s="168" t="str">
        <f>_xlfn.CONCAT(E215,"-","PILOT")</f>
        <v>MT-3-PILOT</v>
      </c>
      <c r="F217" s="416"/>
      <c r="G217" s="173"/>
      <c r="H217" s="173"/>
      <c r="I217" s="173"/>
      <c r="J217" s="173"/>
      <c r="K217" s="173"/>
      <c r="L217" s="173"/>
      <c r="M217" s="173"/>
      <c r="W217" s="417"/>
      <c r="X217" s="172"/>
      <c r="Y217" s="172"/>
      <c r="Z217" s="172"/>
      <c r="AA217" s="172"/>
      <c r="AB217" s="172"/>
      <c r="AC217" s="172"/>
      <c r="AD217" s="172"/>
    </row>
    <row r="218" spans="1:30" ht="17.25" customHeight="1" x14ac:dyDescent="0.45">
      <c r="A218" s="153"/>
      <c r="C218" s="412"/>
      <c r="D218" s="413"/>
      <c r="E218" s="175" t="s">
        <v>159</v>
      </c>
      <c r="F218" s="414" t="s">
        <v>102</v>
      </c>
      <c r="G218" s="169" t="str" cm="1">
        <f t="array" ref="G218">IF(RIGHT(_xlfn._xlws.FILTER(Sheet1!$G$2:$G$333,(Sheet1!$G$2:$G$333=$E218)+(Sheet1!$G$2:$G$333=$E219)+(Sheet1!$G$2:$G$333=$E220),""),4)="POST",CONCATENATE(_xlfn._xlws.FILTER(Sheet1!$A$2:$A$333,(Sheet1!$G$2:$G$333=$E218)+(Sheet1!$G$2:$G$333=$E219)+(Sheet1!$G$2:$G$333=$E220),""),"-","POST"),_xlfn._xlws.FILTER(Sheet1!$A$2:$A$333,(Sheet1!$G$2:$G$333=$E218)+(Sheet1!$G$2:$G$333=$E219)+(Sheet1!$G$2:$G$333=$E220),"UNFILLED"))</f>
        <v>STAMETS, JAKE</v>
      </c>
      <c r="H218" s="169" t="str" cm="1">
        <f t="array" ref="H218">IF(RIGHT(_xlfn._xlws.FILTER(Sheet1!$I$2:$I$333,(Sheet1!$I$2:$I$333=$E218)+(Sheet1!$I$2:$I$333=$E219)+(Sheet1!$I$2:$I$333=$E220),""),4)="POST",CONCATENATE(_xlfn._xlws.FILTER(Sheet1!$A$2:$A$333,(Sheet1!$I$2:$I$333=$E218)+(Sheet1!$I$2:$I$333=$E219)+(Sheet1!$I$2:$I$333=$E220),""),"-","POST"),_xlfn._xlws.FILTER(Sheet1!$A$2:$A$333,(Sheet1!$I$2:$I$333=$E218)+(Sheet1!$I$2:$I$333=$E219)+(Sheet1!$I$2:$I$333=$E220),"UNFILLED"))</f>
        <v>STAMETS, JAKE</v>
      </c>
      <c r="I218" s="169" t="str" cm="1">
        <f t="array" ref="I218">IF(RIGHT(_xlfn._xlws.FILTER(Sheet1!$K$2:$K$333,(Sheet1!$K$2:$K$333=$E218)+(Sheet1!$K$2:$K$333=$E219)+(Sheet1!$K$2:$K$333=$E220),""),4)="POST",CONCATENATE(_xlfn._xlws.FILTER(Sheet1!$A$2:$A$333,(Sheet1!$K$2:$K$333=$E218)+(Sheet1!$K$2:$K$333=$E219)+(Sheet1!$K$2:$K$333=$E220),""),"-","POST"),_xlfn._xlws.FILTER(Sheet1!$A$2:$A$333,(Sheet1!$K$2:$K$333=$E218)+(Sheet1!$K$2:$K$333=$E219)+(Sheet1!$K$2:$K$333=$E220),"UNFILLED"))</f>
        <v>TAYLOR, JASMINE</v>
      </c>
      <c r="J218" s="169" t="str" cm="1">
        <f t="array" ref="J218">IF(RIGHT(_xlfn._xlws.FILTER(Sheet1!M$2:M$333,(Sheet1!M$2:M$333=$E218)+(Sheet1!M$2:M$333=$E219)+(Sheet1!M$2:M$333=$E220),""),4)="POST",CONCATENATE(_xlfn._xlws.FILTER(Sheet1!$A$2:$A$333,(Sheet1!M$2:M$333=$E218)+(Sheet1!M$2:M$333=$E219)+(Sheet1!M$2:M$333=$E220),""),"-","POST"),_xlfn._xlws.FILTER(Sheet1!$A$2:$A$333,(Sheet1!M$2:M$333=$E218)+(Sheet1!M$2:M$333=$E219)+(Sheet1!M$2:M$333=$E220),"UNFILLED"))</f>
        <v>BONNER, DEVIAN</v>
      </c>
      <c r="K218" s="169" t="str" cm="1">
        <f t="array" ref="K218">IF(RIGHT(_xlfn._xlws.FILTER(Sheet1!$O$2:$O$333,(Sheet1!$O$2:$O$333=$E218)+(Sheet1!$O$2:$O$333=$E219)+(Sheet1!$O$2:$O$333=$E220),""),4)="POST",CONCATENATE(_xlfn._xlws.FILTER(Sheet1!$A$2:$A$333,(Sheet1!$O$2:$O$333=$E218)+(Sheet1!$O$2:$O$333=$E219)+(Sheet1!$O$2:$O$333=$E220),""),"-","POST"),_xlfn._xlws.FILTER(Sheet1!$A$2:$A$333,(Sheet1!$O$2:$O$333=$E218)+(Sheet1!$O$2:$O$333=$E219)+(Sheet1!$O$2:$O$333=$E220),"UNFILLED"))</f>
        <v>TAYLOR, JASMINE</v>
      </c>
      <c r="L218" s="169" t="str" cm="1">
        <f t="array" ref="L218">IF(RIGHT(_xlfn._xlws.FILTER(Sheet1!$Q$2:$Q$333,(Sheet1!$Q$2:$Q$333=$E218)+(Sheet1!$Q$2:$Q$333=$E219)+(Sheet1!$Q$2:$Q$333=$E220),""),4)="POST",CONCATENATE(_xlfn._xlws.FILTER(Sheet1!$A$2:$A$333,(Sheet1!$Q$2:$Q$333=$E218)+(Sheet1!$Q$2:$Q$333=$E219)+(Sheet1!$Q$2:$Q$333=$E220),""),"-","POST"),_xlfn._xlws.FILTER(Sheet1!$A$2:$A$333,(Sheet1!$Q$2:$Q$333=$E218)+(Sheet1!$Q$2:$Q$333=$E219)+(Sheet1!$Q$2:$Q$333=$E220),"UNFILLED"))</f>
        <v>STAMETS, JAKE</v>
      </c>
      <c r="M218" s="169" t="str" cm="1">
        <f t="array" ref="M218:M219">IF(RIGHT(_xlfn._xlws.FILTER(Sheet1!$S$2:$S$333,(Sheet1!$S$2:$S$333=$E218)+(Sheet1!$S$2:$S$333=$E219)+(Sheet1!$S$2:$S$333=$E220),""),4)="POST",CONCATENATE(_xlfn._xlws.FILTER(Sheet1!$A$2:$A$333,(Sheet1!$S$2:$S$333=$E218)+(Sheet1!$S$2:$S$333=$E219)+(Sheet1!$S$2:$S$333=$E220),""),"-","POST"),_xlfn._xlws.FILTER(Sheet1!$A$2:$A$333,(Sheet1!$S$2:$S$333=$E218)+(Sheet1!$S$2:$S$333=$E219)+(Sheet1!$S$2:$S$333=$E220),"UNFILLED"))</f>
        <v>FORREST, AMANDA-POST</v>
      </c>
      <c r="W218" s="417"/>
      <c r="X218" s="170"/>
      <c r="Y218" s="170"/>
      <c r="Z218" s="170"/>
      <c r="AA218" s="170"/>
      <c r="AB218" s="170"/>
      <c r="AC218" s="170"/>
      <c r="AD218" s="170"/>
    </row>
    <row r="219" spans="1:30" ht="17.25" customHeight="1" x14ac:dyDescent="0.4">
      <c r="A219" s="153"/>
      <c r="C219" s="412"/>
      <c r="D219" s="413"/>
      <c r="E219" s="168" t="str">
        <f>_xlfn.CONCAT(E218,"-","POST")</f>
        <v>SA-3-POST</v>
      </c>
      <c r="F219" s="415"/>
      <c r="G219" s="171"/>
      <c r="H219" s="171"/>
      <c r="I219" s="171"/>
      <c r="J219" s="171"/>
      <c r="K219" s="171"/>
      <c r="L219" s="171"/>
      <c r="M219" s="171" t="str">
        <v>STAMETS, JAKE</v>
      </c>
      <c r="W219" s="417"/>
      <c r="X219" s="172"/>
      <c r="Y219" s="172"/>
      <c r="Z219" s="172"/>
      <c r="AA219" s="172"/>
      <c r="AB219" s="172"/>
      <c r="AC219" s="172"/>
      <c r="AD219" s="172"/>
    </row>
    <row r="220" spans="1:30" ht="17.25" customHeight="1" x14ac:dyDescent="0.4">
      <c r="A220" s="153"/>
      <c r="C220" s="412"/>
      <c r="D220" s="413"/>
      <c r="E220" s="168" t="str">
        <f>_xlfn.CONCAT(E218,"-","PILOT")</f>
        <v>SA-3-PILOT</v>
      </c>
      <c r="F220" s="416"/>
      <c r="G220" s="173"/>
      <c r="H220" s="173"/>
      <c r="I220" s="173"/>
      <c r="J220" s="173"/>
      <c r="K220" s="173"/>
      <c r="L220" s="173"/>
      <c r="M220" s="173"/>
      <c r="W220" s="417"/>
      <c r="X220" s="172"/>
      <c r="Y220" s="172"/>
      <c r="Z220" s="172"/>
      <c r="AA220" s="172"/>
      <c r="AB220" s="172"/>
      <c r="AC220" s="172"/>
      <c r="AD220" s="172"/>
    </row>
    <row r="221" spans="1:30" ht="25.5" customHeight="1" thickBot="1" x14ac:dyDescent="0.5">
      <c r="A221" s="153"/>
      <c r="C221" s="412"/>
      <c r="D221" s="413"/>
      <c r="E221" s="175"/>
      <c r="F221" s="418" t="s">
        <v>26</v>
      </c>
      <c r="G221" s="419"/>
      <c r="H221" s="419"/>
      <c r="I221" s="419"/>
      <c r="J221" s="419"/>
      <c r="K221" s="419"/>
      <c r="L221" s="419"/>
      <c r="M221" s="420"/>
      <c r="W221" s="167"/>
      <c r="X221" s="167"/>
      <c r="Y221" s="167"/>
      <c r="Z221" s="167"/>
      <c r="AA221" s="167"/>
      <c r="AB221" s="167"/>
      <c r="AC221" s="167"/>
      <c r="AD221" s="167"/>
    </row>
    <row r="222" spans="1:30" ht="17.25" customHeight="1" thickTop="1" x14ac:dyDescent="0.45">
      <c r="A222" s="153"/>
      <c r="C222" s="412"/>
      <c r="D222" s="413"/>
      <c r="E222" s="175" t="s">
        <v>160</v>
      </c>
      <c r="F222" s="414" t="s">
        <v>104</v>
      </c>
      <c r="G222" s="169" t="str" cm="1">
        <f t="array" ref="G222">IF(RIGHT(_xlfn._xlws.FILTER(Sheet1!$G$2:$G$333,(Sheet1!$G$2:$G$333=$E222)+(Sheet1!$G$2:$G$333=$E223)+(Sheet1!$G$2:$G$333=$E224),""),4)="POST",CONCATENATE(_xlfn._xlws.FILTER(Sheet1!$A$2:$A$333,(Sheet1!$G$2:$G$333=$E222)+(Sheet1!$G$2:$G$333=$E223)+(Sheet1!$G$2:$G$333=$E224),""),"-","POST"),_xlfn._xlws.FILTER(Sheet1!$A$2:$A$333,(Sheet1!$G$2:$G$333=$E222)+(Sheet1!$G$2:$G$333=$E223)+(Sheet1!$G$2:$G$333=$E224),"UNFILLED"))</f>
        <v>FUNK, TODD</v>
      </c>
      <c r="H222" s="169" t="str" cm="1">
        <f t="array" ref="H222">IF(RIGHT(_xlfn._xlws.FILTER(Sheet1!$I$2:$I$333,(Sheet1!$I$2:$I$333=$E222)+(Sheet1!$I$2:$I$333=$E223)+(Sheet1!$I$2:$I$333=$E224),""),4)="POST",CONCATENATE(_xlfn._xlws.FILTER(Sheet1!$A$2:$A$333,(Sheet1!$I$2:$I$333=$E222)+(Sheet1!$I$2:$I$333=$E223)+(Sheet1!$I$2:$I$333=$E224),""),"-","POST"),_xlfn._xlws.FILTER(Sheet1!$A$2:$A$333,(Sheet1!$I$2:$I$333=$E222)+(Sheet1!$I$2:$I$333=$E223)+(Sheet1!$I$2:$I$333=$E224),"UNFILLED"))</f>
        <v>FUNK, TODD</v>
      </c>
      <c r="I222" s="169" t="str" cm="1">
        <f t="array" ref="I222">IF(RIGHT(_xlfn._xlws.FILTER(Sheet1!$K$2:$K$333,(Sheet1!$K$2:$K$333=$E222)+(Sheet1!$K$2:$K$333=$E223)+(Sheet1!$K$2:$K$333=$E224),""),4)="POST",CONCATENATE(_xlfn._xlws.FILTER(Sheet1!$A$2:$A$333,(Sheet1!$K$2:$K$333=$E222)+(Sheet1!$K$2:$K$333=$E223)+(Sheet1!$K$2:$K$333=$E224),""),"-","POST"),_xlfn._xlws.FILTER(Sheet1!$A$2:$A$333,(Sheet1!$K$2:$K$333=$E222)+(Sheet1!$K$2:$K$333=$E223)+(Sheet1!$K$2:$K$333=$E224),"UNFILLED"))</f>
        <v>FUNK, TODD</v>
      </c>
      <c r="J222" s="169" t="str" cm="1">
        <f t="array" ref="J222">IF(RIGHT(_xlfn._xlws.FILTER(Sheet1!M$2:M$333,(Sheet1!M$2:M$333=$E222)+(Sheet1!M$2:M$333=$E223)+(Sheet1!M$2:M$333=$E224),""),4)="POST",CONCATENATE(_xlfn._xlws.FILTER(Sheet1!$A$2:$A$333,(Sheet1!M$2:M$333=$E222)+(Sheet1!M$2:M$333=$E223)+(Sheet1!M$2:M$333=$E224),""),"-","POST"),_xlfn._xlws.FILTER(Sheet1!$A$2:$A$333,(Sheet1!M$2:M$333=$E222)+(Sheet1!M$2:M$333=$E223)+(Sheet1!M$2:M$333=$E224),"UNFILLED"))</f>
        <v>FUNK, TODD</v>
      </c>
      <c r="K222" s="169" t="str" cm="1">
        <f t="array" ref="K222">IF(RIGHT(_xlfn._xlws.FILTER(Sheet1!$O$2:$O$333,(Sheet1!$O$2:$O$333=$E222)+(Sheet1!$O$2:$O$333=$E223)+(Sheet1!$O$2:$O$333=$E224),""),4)="POST",CONCATENATE(_xlfn._xlws.FILTER(Sheet1!$A$2:$A$333,(Sheet1!$O$2:$O$333=$E222)+(Sheet1!$O$2:$O$333=$E223)+(Sheet1!$O$2:$O$333=$E224),""),"-","POST"),_xlfn._xlws.FILTER(Sheet1!$A$2:$A$333,(Sheet1!$O$2:$O$333=$E222)+(Sheet1!$O$2:$O$333=$E223)+(Sheet1!$O$2:$O$333=$E224),"UNFILLED"))</f>
        <v>FUNK, TODD</v>
      </c>
      <c r="L222" s="169" t="str" cm="1">
        <f t="array" ref="L222">IF(RIGHT(_xlfn._xlws.FILTER(Sheet1!$Q$2:$Q$333,(Sheet1!$Q$2:$Q$333=$E222)+(Sheet1!$Q$2:$Q$333=$E223)+(Sheet1!$Q$2:$Q$333=$E224),""),4)="POST",CONCATENATE(_xlfn._xlws.FILTER(Sheet1!$A$2:$A$333,(Sheet1!$Q$2:$Q$333=$E222)+(Sheet1!$Q$2:$Q$333=$E223)+(Sheet1!$Q$2:$Q$333=$E224),""),"-","POST"),_xlfn._xlws.FILTER(Sheet1!$A$2:$A$333,(Sheet1!$Q$2:$Q$333=$E222)+(Sheet1!$Q$2:$Q$333=$E223)+(Sheet1!$Q$2:$Q$333=$E224),"UNFILLED"))</f>
        <v>COLEMAN, JOEL</v>
      </c>
      <c r="M222" s="169" t="str" cm="1">
        <f t="array" ref="M222">IF(RIGHT(_xlfn._xlws.FILTER(Sheet1!$S$2:$S$333,(Sheet1!$S$2:$S$333=$E222)+(Sheet1!$S$2:$S$333=$E223)+(Sheet1!$S$2:$S$333=$E224),""),4)="POST",CONCATENATE(_xlfn._xlws.FILTER(Sheet1!$A$2:$A$333,(Sheet1!$S$2:$S$333=$E222)+(Sheet1!$S$2:$S$333=$E223)+(Sheet1!$S$2:$S$333=$E224),""),"-","POST"),_xlfn._xlws.FILTER(Sheet1!$A$2:$A$333,(Sheet1!$S$2:$S$333=$E222)+(Sheet1!$S$2:$S$333=$E223)+(Sheet1!$S$2:$S$333=$E224),"UNFILLED"))</f>
        <v>BULLINGTON, BILLY</v>
      </c>
      <c r="W222" s="417"/>
      <c r="X222" s="170"/>
      <c r="Y222" s="170"/>
      <c r="Z222" s="170"/>
      <c r="AA222" s="170"/>
      <c r="AB222" s="170"/>
      <c r="AC222" s="170"/>
      <c r="AD222" s="170"/>
    </row>
    <row r="223" spans="1:30" ht="17.25" customHeight="1" x14ac:dyDescent="0.4">
      <c r="A223" s="153"/>
      <c r="C223" s="412"/>
      <c r="D223" s="413"/>
      <c r="E223" s="168" t="str">
        <f>_xlfn.CONCAT(E222,"-","POST")</f>
        <v>KC-3-POST</v>
      </c>
      <c r="F223" s="415"/>
      <c r="G223" s="171"/>
      <c r="H223" s="171"/>
      <c r="I223" s="171"/>
      <c r="J223" s="171"/>
      <c r="K223" s="171"/>
      <c r="L223" s="171"/>
      <c r="M223" s="171"/>
      <c r="W223" s="417"/>
      <c r="X223" s="172"/>
      <c r="Y223" s="172"/>
      <c r="Z223" s="172"/>
      <c r="AA223" s="172"/>
      <c r="AB223" s="172"/>
      <c r="AC223" s="172"/>
      <c r="AD223" s="172"/>
    </row>
    <row r="224" spans="1:30" ht="17.25" customHeight="1" x14ac:dyDescent="0.4">
      <c r="A224" s="153"/>
      <c r="C224" s="412"/>
      <c r="D224" s="413"/>
      <c r="E224" s="168" t="str">
        <f>_xlfn.CONCAT(E222,"-","PILOT")</f>
        <v>KC-3-PILOT</v>
      </c>
      <c r="F224" s="416"/>
      <c r="G224" s="173"/>
      <c r="H224" s="173"/>
      <c r="I224" s="173"/>
      <c r="J224" s="173"/>
      <c r="K224" s="173"/>
      <c r="L224" s="173"/>
      <c r="M224" s="173"/>
      <c r="W224" s="417"/>
      <c r="X224" s="172"/>
      <c r="Y224" s="172"/>
      <c r="Z224" s="172"/>
      <c r="AA224" s="172"/>
      <c r="AB224" s="172"/>
      <c r="AC224" s="172"/>
      <c r="AD224" s="172"/>
    </row>
    <row r="225" spans="1:30" ht="17.25" customHeight="1" x14ac:dyDescent="0.45">
      <c r="A225" s="153"/>
      <c r="C225" s="412"/>
      <c r="D225" s="413"/>
      <c r="E225" s="175" t="s">
        <v>161</v>
      </c>
      <c r="F225" s="414" t="s">
        <v>106</v>
      </c>
      <c r="G225" s="169" t="str" cm="1">
        <f t="array" ref="G225">IF(RIGHT(_xlfn._xlws.FILTER(Sheet1!$G$2:$G$333,(Sheet1!$G$2:$G$333=$E225)+(Sheet1!$G$2:$G$333=$E226)+(Sheet1!$G$2:$G$333=$E227),""),4)="POST",CONCATENATE(_xlfn._xlws.FILTER(Sheet1!$A$2:$A$333,(Sheet1!$G$2:$G$333=$E225)+(Sheet1!$G$2:$G$333=$E226)+(Sheet1!$G$2:$G$333=$E227),""),"-","POST"),_xlfn._xlws.FILTER(Sheet1!$A$2:$A$333,(Sheet1!$G$2:$G$333=$E225)+(Sheet1!$G$2:$G$333=$E226)+(Sheet1!$G$2:$G$333=$E227),"UNFILLED"))</f>
        <v>WASHINGTON, JOHN</v>
      </c>
      <c r="H225" s="169" t="str" cm="1">
        <f t="array" ref="H225">IF(RIGHT(_xlfn._xlws.FILTER(Sheet1!$I$2:$I$333,(Sheet1!$I$2:$I$333=$E225)+(Sheet1!$I$2:$I$333=$E226)+(Sheet1!$I$2:$I$333=$E227),""),4)="POST",CONCATENATE(_xlfn._xlws.FILTER(Sheet1!$A$2:$A$333,(Sheet1!$I$2:$I$333=$E225)+(Sheet1!$I$2:$I$333=$E226)+(Sheet1!$I$2:$I$333=$E227),""),"-","POST"),_xlfn._xlws.FILTER(Sheet1!$A$2:$A$333,(Sheet1!$I$2:$I$333=$E225)+(Sheet1!$I$2:$I$333=$E226)+(Sheet1!$I$2:$I$333=$E227),"UNFILLED"))</f>
        <v>PALMER, SANFORD</v>
      </c>
      <c r="I225" s="169" t="str" cm="1">
        <f t="array" ref="I225">IF(RIGHT(_xlfn._xlws.FILTER(Sheet1!$K$2:$K$333,(Sheet1!$K$2:$K$333=$E225)+(Sheet1!$K$2:$K$333=$E226)+(Sheet1!$K$2:$K$333=$E227),""),4)="POST",CONCATENATE(_xlfn._xlws.FILTER(Sheet1!$A$2:$A$333,(Sheet1!$K$2:$K$333=$E225)+(Sheet1!$K$2:$K$333=$E226)+(Sheet1!$K$2:$K$333=$E227),""),"-","POST"),_xlfn._xlws.FILTER(Sheet1!$A$2:$A$333,(Sheet1!$K$2:$K$333=$E225)+(Sheet1!$K$2:$K$333=$E226)+(Sheet1!$K$2:$K$333=$E227),"UNFILLED"))</f>
        <v>PALMER, SANFORD</v>
      </c>
      <c r="J225" s="169" t="str" cm="1">
        <f t="array" ref="J225">IF(RIGHT(_xlfn._xlws.FILTER(Sheet1!M$2:M$333,(Sheet1!M$2:M$333=$E225)+(Sheet1!M$2:M$333=$E226)+(Sheet1!M$2:M$333=$E227),""),4)="POST",CONCATENATE(_xlfn._xlws.FILTER(Sheet1!$A$2:$A$333,(Sheet1!M$2:M$333=$E225)+(Sheet1!M$2:M$333=$E226)+(Sheet1!M$2:M$333=$E227),""),"-","POST"),_xlfn._xlws.FILTER(Sheet1!$A$2:$A$333,(Sheet1!M$2:M$333=$E225)+(Sheet1!M$2:M$333=$E226)+(Sheet1!M$2:M$333=$E227),"UNFILLED"))</f>
        <v>ROBINSON, AARON</v>
      </c>
      <c r="K225" s="169" t="str" cm="1">
        <f t="array" ref="K225">IF(RIGHT(_xlfn._xlws.FILTER(Sheet1!$O$2:$O$333,(Sheet1!$O$2:$O$333=$E225)+(Sheet1!$O$2:$O$333=$E226)+(Sheet1!$O$2:$O$333=$E227),""),4)="POST",CONCATENATE(_xlfn._xlws.FILTER(Sheet1!$A$2:$A$333,(Sheet1!$O$2:$O$333=$E225)+(Sheet1!$O$2:$O$333=$E226)+(Sheet1!$O$2:$O$333=$E227),""),"-","POST"),_xlfn._xlws.FILTER(Sheet1!$A$2:$A$333,(Sheet1!$O$2:$O$333=$E225)+(Sheet1!$O$2:$O$333=$E226)+(Sheet1!$O$2:$O$333=$E227),"UNFILLED"))</f>
        <v>BULLINGTON, BILLY</v>
      </c>
      <c r="L225" s="169" t="str" cm="1">
        <f t="array" ref="L225">IF(RIGHT(_xlfn._xlws.FILTER(Sheet1!$Q$2:$Q$333,(Sheet1!$Q$2:$Q$333=$E225)+(Sheet1!$Q$2:$Q$333=$E226)+(Sheet1!$Q$2:$Q$333=$E227),""),4)="POST",CONCATENATE(_xlfn._xlws.FILTER(Sheet1!$A$2:$A$333,(Sheet1!$Q$2:$Q$333=$E225)+(Sheet1!$Q$2:$Q$333=$E226)+(Sheet1!$Q$2:$Q$333=$E227),""),"-","POST"),_xlfn._xlws.FILTER(Sheet1!$A$2:$A$333,(Sheet1!$Q$2:$Q$333=$E225)+(Sheet1!$Q$2:$Q$333=$E226)+(Sheet1!$Q$2:$Q$333=$E227),"UNFILLED"))</f>
        <v>PALMER, SANFORD</v>
      </c>
      <c r="M225" s="169" t="str" cm="1">
        <f t="array" ref="M225">IF(RIGHT(_xlfn._xlws.FILTER(Sheet1!$S$2:$S$333,(Sheet1!$S$2:$S$333=$E225)+(Sheet1!$S$2:$S$333=$E226)+(Sheet1!$S$2:$S$333=$E227),""),4)="POST",CONCATENATE(_xlfn._xlws.FILTER(Sheet1!$A$2:$A$333,(Sheet1!$S$2:$S$333=$E225)+(Sheet1!$S$2:$S$333=$E226)+(Sheet1!$S$2:$S$333=$E227),""),"-","POST"),_xlfn._xlws.FILTER(Sheet1!$A$2:$A$333,(Sheet1!$S$2:$S$333=$E225)+(Sheet1!$S$2:$S$333=$E226)+(Sheet1!$S$2:$S$333=$E227),"UNFILLED"))</f>
        <v>PALMER, SANFORD</v>
      </c>
      <c r="W225" s="417"/>
      <c r="X225" s="170"/>
      <c r="Y225" s="170"/>
      <c r="Z225" s="170"/>
      <c r="AA225" s="170"/>
      <c r="AB225" s="170"/>
      <c r="AC225" s="170"/>
      <c r="AD225" s="170"/>
    </row>
    <row r="226" spans="1:30" ht="17.25" customHeight="1" x14ac:dyDescent="0.4">
      <c r="A226" s="153"/>
      <c r="C226" s="412"/>
      <c r="D226" s="413"/>
      <c r="E226" s="168" t="str">
        <f>_xlfn.CONCAT(E225,"-","POST")</f>
        <v>SP-3-POST</v>
      </c>
      <c r="F226" s="415"/>
      <c r="G226" s="171"/>
      <c r="H226" s="171"/>
      <c r="I226" s="171"/>
      <c r="J226" s="171"/>
      <c r="K226" s="171"/>
      <c r="L226" s="171"/>
      <c r="M226" s="171"/>
      <c r="W226" s="417"/>
      <c r="X226" s="172"/>
      <c r="Y226" s="172"/>
      <c r="Z226" s="172"/>
      <c r="AA226" s="172"/>
      <c r="AB226" s="172"/>
      <c r="AC226" s="172"/>
      <c r="AD226" s="172"/>
    </row>
    <row r="227" spans="1:30" ht="17.25" customHeight="1" x14ac:dyDescent="0.4">
      <c r="A227" s="153"/>
      <c r="C227" s="412"/>
      <c r="D227" s="413"/>
      <c r="E227" s="168" t="str">
        <f>_xlfn.CONCAT(E225,"-","PILOT")</f>
        <v>SP-3-PILOT</v>
      </c>
      <c r="F227" s="416"/>
      <c r="G227" s="173"/>
      <c r="H227" s="173"/>
      <c r="I227" s="173"/>
      <c r="J227" s="173"/>
      <c r="K227" s="173"/>
      <c r="L227" s="173"/>
      <c r="M227" s="173"/>
      <c r="W227" s="417"/>
      <c r="X227" s="172"/>
      <c r="Y227" s="172"/>
      <c r="Z227" s="172"/>
      <c r="AA227" s="172"/>
      <c r="AB227" s="172"/>
      <c r="AC227" s="172"/>
      <c r="AD227" s="172"/>
    </row>
    <row r="228" spans="1:30" ht="17.25" customHeight="1" x14ac:dyDescent="0.45">
      <c r="A228" s="153"/>
      <c r="C228" s="412"/>
      <c r="D228" s="413"/>
      <c r="E228" s="175" t="s">
        <v>162</v>
      </c>
      <c r="F228" s="414" t="s">
        <v>108</v>
      </c>
      <c r="G228" s="169" t="str" cm="1">
        <f t="array" ref="G228">IF(RIGHT(_xlfn._xlws.FILTER(Sheet1!$G$2:$G$333,(Sheet1!$G$2:$G$333=$E228)+(Sheet1!$G$2:$G$333=$E229)+(Sheet1!$G$2:$G$333=$E230),""),4)="POST",CONCATENATE(_xlfn._xlws.FILTER(Sheet1!$A$2:$A$333,(Sheet1!$G$2:$G$333=$E228)+(Sheet1!$G$2:$G$333=$E229)+(Sheet1!$G$2:$G$333=$E230),""),"-","POST"),_xlfn._xlws.FILTER(Sheet1!$A$2:$A$333,(Sheet1!$G$2:$G$333=$E228)+(Sheet1!$G$2:$G$333=$E229)+(Sheet1!$G$2:$G$333=$E230),"UNFILLED"))</f>
        <v>BOVIALL, STEVE</v>
      </c>
      <c r="H228" s="169" t="str" cm="1">
        <f t="array" ref="H228">IF(RIGHT(_xlfn._xlws.FILTER(Sheet1!$I$2:$I$333,(Sheet1!$I$2:$I$333=$E228)+(Sheet1!$I$2:$I$333=$E229)+(Sheet1!$I$2:$I$333=$E230),""),4)="POST",CONCATENATE(_xlfn._xlws.FILTER(Sheet1!$A$2:$A$333,(Sheet1!$I$2:$I$333=$E228)+(Sheet1!$I$2:$I$333=$E229)+(Sheet1!$I$2:$I$333=$E230),""),"-","POST"),_xlfn._xlws.FILTER(Sheet1!$A$2:$A$333,(Sheet1!$I$2:$I$333=$E228)+(Sheet1!$I$2:$I$333=$E229)+(Sheet1!$I$2:$I$333=$E230),"UNFILLED"))</f>
        <v>BOX, MANDY</v>
      </c>
      <c r="I228" s="169" t="str" cm="1">
        <f t="array" ref="I228">IF(RIGHT(_xlfn._xlws.FILTER(Sheet1!$K$2:$K$333,(Sheet1!$K$2:$K$333=$E228)+(Sheet1!$K$2:$K$333=$E229)+(Sheet1!$K$2:$K$333=$E230),""),4)="POST",CONCATENATE(_xlfn._xlws.FILTER(Sheet1!$A$2:$A$333,(Sheet1!$K$2:$K$333=$E228)+(Sheet1!$K$2:$K$333=$E229)+(Sheet1!$K$2:$K$333=$E230),""),"-","POST"),_xlfn._xlws.FILTER(Sheet1!$A$2:$A$333,(Sheet1!$K$2:$K$333=$E228)+(Sheet1!$K$2:$K$333=$E229)+(Sheet1!$K$2:$K$333=$E230),"UNFILLED"))</f>
        <v>DIPRIMA, JASON</v>
      </c>
      <c r="J228" s="169" t="str" cm="1">
        <f t="array" ref="J228">IF(RIGHT(_xlfn._xlws.FILTER(Sheet1!M$2:M$333,(Sheet1!M$2:M$333=$E228)+(Sheet1!M$2:M$333=$E229)+(Sheet1!M$2:M$333=$E230),""),4)="POST",CONCATENATE(_xlfn._xlws.FILTER(Sheet1!$A$2:$A$333,(Sheet1!M$2:M$333=$E228)+(Sheet1!M$2:M$333=$E229)+(Sheet1!M$2:M$333=$E230),""),"-","POST"),_xlfn._xlws.FILTER(Sheet1!$A$2:$A$333,(Sheet1!M$2:M$333=$E228)+(Sheet1!M$2:M$333=$E229)+(Sheet1!M$2:M$333=$E230),"UNFILLED"))</f>
        <v>DIPRIMA, JASON</v>
      </c>
      <c r="K228" s="169" t="str" cm="1">
        <f t="array" ref="K228">IF(RIGHT(_xlfn._xlws.FILTER(Sheet1!$O$2:$O$333,(Sheet1!$O$2:$O$333=$E228)+(Sheet1!$O$2:$O$333=$E229)+(Sheet1!$O$2:$O$333=$E230),""),4)="POST",CONCATENATE(_xlfn._xlws.FILTER(Sheet1!$A$2:$A$333,(Sheet1!$O$2:$O$333=$E228)+(Sheet1!$O$2:$O$333=$E229)+(Sheet1!$O$2:$O$333=$E230),""),"-","POST"),_xlfn._xlws.FILTER(Sheet1!$A$2:$A$333,(Sheet1!$O$2:$O$333=$E228)+(Sheet1!$O$2:$O$333=$E229)+(Sheet1!$O$2:$O$333=$E230),"UNFILLED"))</f>
        <v>OWENS, XAVIER</v>
      </c>
      <c r="L228" s="169" t="str" cm="1">
        <f t="array" ref="L228">IF(RIGHT(_xlfn._xlws.FILTER(Sheet1!$Q$2:$Q$333,(Sheet1!$Q$2:$Q$333=$E228)+(Sheet1!$Q$2:$Q$333=$E229)+(Sheet1!$Q$2:$Q$333=$E230),""),4)="POST",CONCATENATE(_xlfn._xlws.FILTER(Sheet1!$A$2:$A$333,(Sheet1!$Q$2:$Q$333=$E228)+(Sheet1!$Q$2:$Q$333=$E229)+(Sheet1!$Q$2:$Q$333=$E230),""),"-","POST"),_xlfn._xlws.FILTER(Sheet1!$A$2:$A$333,(Sheet1!$Q$2:$Q$333=$E228)+(Sheet1!$Q$2:$Q$333=$E229)+(Sheet1!$Q$2:$Q$333=$E230),"UNFILLED"))</f>
        <v>BULLINGTON, BILLY</v>
      </c>
      <c r="M228" s="169" t="str" cm="1">
        <f t="array" ref="M228">IF(RIGHT(_xlfn._xlws.FILTER(Sheet1!$S$2:$S$333,(Sheet1!$S$2:$S$333=$E228)+(Sheet1!$S$2:$S$333=$E229)+(Sheet1!$S$2:$S$333=$E230),""),4)="POST",CONCATENATE(_xlfn._xlws.FILTER(Sheet1!$A$2:$A$333,(Sheet1!$S$2:$S$333=$E228)+(Sheet1!$S$2:$S$333=$E229)+(Sheet1!$S$2:$S$333=$E230),""),"-","POST"),_xlfn._xlws.FILTER(Sheet1!$A$2:$A$333,(Sheet1!$S$2:$S$333=$E228)+(Sheet1!$S$2:$S$333=$E229)+(Sheet1!$S$2:$S$333=$E230),"UNFILLED"))</f>
        <v>HESSELTINE, BRAEDEN</v>
      </c>
      <c r="W228" s="417"/>
      <c r="X228" s="170"/>
      <c r="Y228" s="170"/>
      <c r="Z228" s="170"/>
      <c r="AA228" s="170"/>
      <c r="AB228" s="170"/>
      <c r="AC228" s="170"/>
      <c r="AD228" s="170"/>
    </row>
    <row r="229" spans="1:30" ht="17.25" customHeight="1" x14ac:dyDescent="0.4">
      <c r="A229" s="153"/>
      <c r="C229" s="412"/>
      <c r="D229" s="413"/>
      <c r="E229" s="168" t="str">
        <f>_xlfn.CONCAT(E228,"-","POST")</f>
        <v>LF-3-POST</v>
      </c>
      <c r="F229" s="415"/>
      <c r="G229" s="171"/>
      <c r="H229" s="171"/>
      <c r="I229" s="171"/>
      <c r="J229" s="171"/>
      <c r="K229" s="171"/>
      <c r="L229" s="171"/>
      <c r="M229" s="171"/>
      <c r="W229" s="417"/>
      <c r="X229" s="172"/>
      <c r="Y229" s="172"/>
      <c r="Z229" s="172"/>
      <c r="AA229" s="172"/>
      <c r="AB229" s="172"/>
      <c r="AC229" s="172"/>
      <c r="AD229" s="172"/>
    </row>
    <row r="230" spans="1:30" ht="17.25" customHeight="1" x14ac:dyDescent="0.4">
      <c r="A230" s="153"/>
      <c r="C230" s="412"/>
      <c r="D230" s="413"/>
      <c r="E230" s="168" t="str">
        <f>_xlfn.CONCAT(E228,"-","PILOT")</f>
        <v>LF-3-PILOT</v>
      </c>
      <c r="F230" s="416"/>
      <c r="G230" s="173"/>
      <c r="H230" s="173"/>
      <c r="I230" s="173"/>
      <c r="J230" s="173"/>
      <c r="K230" s="173"/>
      <c r="L230" s="173"/>
      <c r="M230" s="173"/>
      <c r="W230" s="417"/>
      <c r="X230" s="172"/>
      <c r="Y230" s="172"/>
      <c r="Z230" s="172"/>
      <c r="AA230" s="172"/>
      <c r="AB230" s="172"/>
      <c r="AC230" s="172"/>
      <c r="AD230" s="172"/>
    </row>
    <row r="231" spans="1:30" ht="17.25" customHeight="1" x14ac:dyDescent="0.45">
      <c r="A231" s="153"/>
      <c r="C231" s="412"/>
      <c r="D231" s="413"/>
      <c r="E231" s="175" t="s">
        <v>163</v>
      </c>
      <c r="F231" s="414" t="s">
        <v>110</v>
      </c>
      <c r="G231" s="169" t="str" cm="1">
        <f t="array" ref="G231">IF(RIGHT(_xlfn._xlws.FILTER(Sheet1!$G$2:$G$333,(Sheet1!$G$2:$G$333=$E231)+(Sheet1!$G$2:$G$333=$E232)+(Sheet1!$G$2:$G$333=$E233),""),4)="POST",CONCATENATE(_xlfn._xlws.FILTER(Sheet1!$A$2:$A$333,(Sheet1!$G$2:$G$333=$E231)+(Sheet1!$G$2:$G$333=$E232)+(Sheet1!$G$2:$G$333=$E233),""),"-","POST"),_xlfn._xlws.FILTER(Sheet1!$A$2:$A$333,(Sheet1!$G$2:$G$333=$E231)+(Sheet1!$G$2:$G$333=$E232)+(Sheet1!$G$2:$G$333=$E233),"UNFILLED"))</f>
        <v>MILLER, FRED</v>
      </c>
      <c r="H231" s="169" t="str" cm="1">
        <f t="array" ref="H231">IF(RIGHT(_xlfn._xlws.FILTER(Sheet1!$I$2:$I$333,(Sheet1!$I$2:$I$333=$E231)+(Sheet1!$I$2:$I$333=$E232)+(Sheet1!$I$2:$I$333=$E233),""),4)="POST",CONCATENATE(_xlfn._xlws.FILTER(Sheet1!$A$2:$A$333,(Sheet1!$I$2:$I$333=$E231)+(Sheet1!$I$2:$I$333=$E232)+(Sheet1!$I$2:$I$333=$E233),""),"-","POST"),_xlfn._xlws.FILTER(Sheet1!$A$2:$A$333,(Sheet1!$I$2:$I$333=$E231)+(Sheet1!$I$2:$I$333=$E232)+(Sheet1!$I$2:$I$333=$E233),"UNFILLED"))</f>
        <v>MILLER, FRED</v>
      </c>
      <c r="I231" s="169" t="str" cm="1">
        <f t="array" ref="I231">IF(RIGHT(_xlfn._xlws.FILTER(Sheet1!$K$2:$K$333,(Sheet1!$K$2:$K$333=$E231)+(Sheet1!$K$2:$K$333=$E232)+(Sheet1!$K$2:$K$333=$E233),""),4)="POST",CONCATENATE(_xlfn._xlws.FILTER(Sheet1!$A$2:$A$333,(Sheet1!$K$2:$K$333=$E231)+(Sheet1!$K$2:$K$333=$E232)+(Sheet1!$K$2:$K$333=$E233),""),"-","POST"),_xlfn._xlws.FILTER(Sheet1!$A$2:$A$333,(Sheet1!$K$2:$K$333=$E231)+(Sheet1!$K$2:$K$333=$E232)+(Sheet1!$K$2:$K$333=$E233),"UNFILLED"))</f>
        <v>BULLINGTON, BILLY</v>
      </c>
      <c r="J231" s="169" t="str" cm="1">
        <f t="array" ref="J231">IF(RIGHT(_xlfn._xlws.FILTER(Sheet1!M$2:M$333,(Sheet1!M$2:M$333=$E231)+(Sheet1!M$2:M$333=$E232)+(Sheet1!M$2:M$333=$E233),""),4)="POST",CONCATENATE(_xlfn._xlws.FILTER(Sheet1!$A$2:$A$333,(Sheet1!M$2:M$333=$E231)+(Sheet1!M$2:M$333=$E232)+(Sheet1!M$2:M$333=$E233),""),"-","POST"),_xlfn._xlws.FILTER(Sheet1!$A$2:$A$333,(Sheet1!M$2:M$333=$E231)+(Sheet1!M$2:M$333=$E232)+(Sheet1!M$2:M$333=$E233),"UNFILLED"))</f>
        <v>CHERRY, ERICA</v>
      </c>
      <c r="K231" s="169" t="str" cm="1">
        <f t="array" ref="K231:K232">IF(RIGHT(_xlfn._xlws.FILTER(Sheet1!$O$2:$O$333,(Sheet1!$O$2:$O$333=$E231)+(Sheet1!$O$2:$O$333=$E232)+(Sheet1!$O$2:$O$333=$E233),""),4)="POST",CONCATENATE(_xlfn._xlws.FILTER(Sheet1!$A$2:$A$333,(Sheet1!$O$2:$O$333=$E231)+(Sheet1!$O$2:$O$333=$E232)+(Sheet1!$O$2:$O$333=$E233),""),"-","POST"),_xlfn._xlws.FILTER(Sheet1!$A$2:$A$333,(Sheet1!$O$2:$O$333=$E231)+(Sheet1!$O$2:$O$333=$E232)+(Sheet1!$O$2:$O$333=$E233),"UNFILLED"))</f>
        <v>DIPRIMA, JASON-POST</v>
      </c>
      <c r="L231" s="169" t="str" cm="1">
        <f t="array" ref="L231">IF(RIGHT(_xlfn._xlws.FILTER(Sheet1!$Q$2:$Q$333,(Sheet1!$Q$2:$Q$333=$E231)+(Sheet1!$Q$2:$Q$333=$E232)+(Sheet1!$Q$2:$Q$333=$E233),""),4)="POST",CONCATENATE(_xlfn._xlws.FILTER(Sheet1!$A$2:$A$333,(Sheet1!$Q$2:$Q$333=$E231)+(Sheet1!$Q$2:$Q$333=$E232)+(Sheet1!$Q$2:$Q$333=$E233),""),"-","POST"),_xlfn._xlws.FILTER(Sheet1!$A$2:$A$333,(Sheet1!$Q$2:$Q$333=$E231)+(Sheet1!$Q$2:$Q$333=$E232)+(Sheet1!$Q$2:$Q$333=$E233),"UNFILLED"))</f>
        <v>MILLER, FRED</v>
      </c>
      <c r="M231" s="169" t="str" cm="1">
        <f t="array" ref="M231:M232">IF(RIGHT(_xlfn._xlws.FILTER(Sheet1!$S$2:$S$333,(Sheet1!$S$2:$S$333=$E231)+(Sheet1!$S$2:$S$333=$E232)+(Sheet1!$S$2:$S$333=$E233),""),4)="POST",CONCATENATE(_xlfn._xlws.FILTER(Sheet1!$A$2:$A$333,(Sheet1!$S$2:$S$333=$E231)+(Sheet1!$S$2:$S$333=$E232)+(Sheet1!$S$2:$S$333=$E233),""),"-","POST"),_xlfn._xlws.FILTER(Sheet1!$A$2:$A$333,(Sheet1!$S$2:$S$333=$E231)+(Sheet1!$S$2:$S$333=$E232)+(Sheet1!$S$2:$S$333=$E233),"UNFILLED"))</f>
        <v>DIPRIMA, JASON-POST</v>
      </c>
      <c r="W231" s="417"/>
      <c r="X231" s="170"/>
      <c r="Y231" s="170"/>
      <c r="Z231" s="170"/>
      <c r="AA231" s="170"/>
      <c r="AB231" s="170"/>
      <c r="AC231" s="170"/>
      <c r="AD231" s="170"/>
    </row>
    <row r="232" spans="1:30" ht="17.25" customHeight="1" x14ac:dyDescent="0.4">
      <c r="A232" s="153"/>
      <c r="C232" s="412"/>
      <c r="D232" s="413"/>
      <c r="E232" s="168" t="str">
        <f>_xlfn.CONCAT(E231,"-","POST")</f>
        <v>SW-3-POST</v>
      </c>
      <c r="F232" s="415"/>
      <c r="G232" s="171"/>
      <c r="H232" s="171"/>
      <c r="I232" s="171"/>
      <c r="J232" s="171"/>
      <c r="K232" s="171" t="str">
        <v>MILLER, FRED</v>
      </c>
      <c r="L232" s="171"/>
      <c r="M232" s="171" t="str">
        <v>MILLER, FRED</v>
      </c>
      <c r="W232" s="417"/>
      <c r="X232" s="172"/>
      <c r="Y232" s="172"/>
      <c r="Z232" s="172"/>
      <c r="AA232" s="172"/>
      <c r="AB232" s="172"/>
      <c r="AC232" s="172"/>
      <c r="AD232" s="172"/>
    </row>
    <row r="233" spans="1:30" ht="17.25" customHeight="1" x14ac:dyDescent="0.4">
      <c r="A233" s="153"/>
      <c r="C233" s="412"/>
      <c r="D233" s="413"/>
      <c r="E233" s="168" t="str">
        <f>_xlfn.CONCAT(E231,"-","PILOT")</f>
        <v>SW-3-PILOT</v>
      </c>
      <c r="F233" s="416"/>
      <c r="G233" s="173"/>
      <c r="H233" s="173"/>
      <c r="J233" s="173"/>
      <c r="K233" s="173"/>
      <c r="L233" s="173"/>
      <c r="M233" s="173"/>
      <c r="W233" s="417"/>
      <c r="X233" s="172"/>
      <c r="Y233" s="172"/>
      <c r="Z233" s="172"/>
      <c r="AA233" s="172"/>
      <c r="AB233" s="172"/>
      <c r="AC233" s="172"/>
      <c r="AD233" s="172"/>
    </row>
    <row r="234" spans="1:30" ht="17.25" customHeight="1" x14ac:dyDescent="0.45">
      <c r="A234" s="153"/>
      <c r="C234" s="412"/>
      <c r="D234" s="413"/>
      <c r="E234" s="175" t="s">
        <v>164</v>
      </c>
      <c r="F234" s="414" t="s">
        <v>112</v>
      </c>
      <c r="G234" s="169" t="str" cm="1">
        <f t="array" ref="G234">IF(RIGHT(_xlfn._xlws.FILTER(Sheet1!$G$2:$G$333,(Sheet1!$G$2:$G$333=$E234)+(Sheet1!$G$2:$G$333=$E235)+(Sheet1!$G$2:$G$333=$E236),""),4)="POST",CONCATENATE(_xlfn._xlws.FILTER(Sheet1!$A$2:$A$333,(Sheet1!$G$2:$G$333=$E234)+(Sheet1!$G$2:$G$333=$E235)+(Sheet1!$G$2:$G$333=$E236),""),"-","POST"),_xlfn._xlws.FILTER(Sheet1!$A$2:$A$333,(Sheet1!$G$2:$G$333=$E234)+(Sheet1!$G$2:$G$333=$E235)+(Sheet1!$G$2:$G$333=$E236),"UNFILLED"))</f>
        <v>MARZETTE, MEEKA</v>
      </c>
      <c r="H234" s="169" t="str" cm="1">
        <f t="array" ref="H234">IF(RIGHT(_xlfn._xlws.FILTER(Sheet1!$I$2:$I$333,(Sheet1!$I$2:$I$333=$E234)+(Sheet1!$I$2:$I$333=$E235)+(Sheet1!$I$2:$I$333=$E236),""),4)="POST",CONCATENATE(_xlfn._xlws.FILTER(Sheet1!$A$2:$A$333,(Sheet1!$I$2:$I$333=$E234)+(Sheet1!$I$2:$I$333=$E235)+(Sheet1!$I$2:$I$333=$E236),""),"-","POST"),_xlfn._xlws.FILTER(Sheet1!$A$2:$A$333,(Sheet1!$I$2:$I$333=$E234)+(Sheet1!$I$2:$I$333=$E235)+(Sheet1!$I$2:$I$333=$E236),"UNFILLED"))</f>
        <v>MARZETTE, MEEKA</v>
      </c>
      <c r="I234" s="169" t="str" cm="1">
        <f t="array" ref="I234">IF(RIGHT(_xlfn._xlws.FILTER(Sheet1!$K$2:$K$333,(Sheet1!$K$2:$K$333=$E234)+(Sheet1!$K$2:$K$333=$E235)+(Sheet1!$K$2:$K$333=$E236),""),4)="POST",CONCATENATE(_xlfn._xlws.FILTER(Sheet1!$A$2:$A$333,(Sheet1!$K$2:$K$333=$E234)+(Sheet1!$K$2:$K$333=$E235)+(Sheet1!$K$2:$K$333=$E236),""),"-","POST"),_xlfn._xlws.FILTER(Sheet1!$A$2:$A$333,(Sheet1!$K$2:$K$333=$E234)+(Sheet1!$K$2:$K$333=$E235)+(Sheet1!$K$2:$K$333=$E236),"UNFILLED"))</f>
        <v>MARZETTE, MEEKA</v>
      </c>
      <c r="J234" s="169" t="str" cm="1">
        <f t="array" ref="J234">IF(RIGHT(_xlfn._xlws.FILTER(Sheet1!M$2:M$333,(Sheet1!M$2:M$333=$E234)+(Sheet1!M$2:M$333=$E235)+(Sheet1!M$2:M$333=$E236),""),4)="POST",CONCATENATE(_xlfn._xlws.FILTER(Sheet1!$A$2:$A$333,(Sheet1!M$2:M$333=$E234)+(Sheet1!M$2:M$333=$E235)+(Sheet1!M$2:M$333=$E236),""),"-","POST"),_xlfn._xlws.FILTER(Sheet1!$A$2:$A$333,(Sheet1!M$2:M$333=$E234)+(Sheet1!M$2:M$333=$E235)+(Sheet1!M$2:M$333=$E236),"UNFILLED"))</f>
        <v>BULLINGTON, BILLY</v>
      </c>
      <c r="K234" s="169" t="str" cm="1">
        <f t="array" ref="K234">IF(RIGHT(_xlfn._xlws.FILTER(Sheet1!$O$2:$O$333,(Sheet1!$O$2:$O$333=$E234)+(Sheet1!$O$2:$O$333=$E235)+(Sheet1!$O$2:$O$333=$E236),""),4)="POST",CONCATENATE(_xlfn._xlws.FILTER(Sheet1!$A$2:$A$333,(Sheet1!$O$2:$O$333=$E234)+(Sheet1!$O$2:$O$333=$E235)+(Sheet1!$O$2:$O$333=$E236),""),"-","POST"),_xlfn._xlws.FILTER(Sheet1!$A$2:$A$333,(Sheet1!$O$2:$O$333=$E234)+(Sheet1!$O$2:$O$333=$E235)+(Sheet1!$O$2:$O$333=$E236),"UNFILLED"))</f>
        <v>FRAZIER, RICKEY</v>
      </c>
      <c r="L234" s="169" t="str" cm="1">
        <f t="array" ref="L234">IF(RIGHT(_xlfn._xlws.FILTER(Sheet1!$Q$2:$Q$333,(Sheet1!$Q$2:$Q$333=$E234)+(Sheet1!$Q$2:$Q$333=$E235)+(Sheet1!$Q$2:$Q$333=$E236),""),4)="POST",CONCATENATE(_xlfn._xlws.FILTER(Sheet1!$A$2:$A$333,(Sheet1!$Q$2:$Q$333=$E234)+(Sheet1!$Q$2:$Q$333=$E235)+(Sheet1!$Q$2:$Q$333=$E236),""),"-","POST"),_xlfn._xlws.FILTER(Sheet1!$A$2:$A$333,(Sheet1!$Q$2:$Q$333=$E234)+(Sheet1!$Q$2:$Q$333=$E235)+(Sheet1!$Q$2:$Q$333=$E236),"UNFILLED"))</f>
        <v>MARZETTE, MEEKA</v>
      </c>
      <c r="M234" s="169" t="str" cm="1">
        <f t="array" ref="M234">IF(RIGHT(_xlfn._xlws.FILTER(Sheet1!$S$2:$S$333,(Sheet1!$S$2:$S$333=$E234)+(Sheet1!$S$2:$S$333=$E235)+(Sheet1!$S$2:$S$333=$E236),""),4)="POST",CONCATENATE(_xlfn._xlws.FILTER(Sheet1!$A$2:$A$333,(Sheet1!$S$2:$S$333=$E234)+(Sheet1!$S$2:$S$333=$E235)+(Sheet1!$S$2:$S$333=$E236),""),"-","POST"),_xlfn._xlws.FILTER(Sheet1!$A$2:$A$333,(Sheet1!$S$2:$S$333=$E234)+(Sheet1!$S$2:$S$333=$E235)+(Sheet1!$S$2:$S$333=$E236),"UNFILLED"))</f>
        <v>MARZETTE, MEEKA</v>
      </c>
      <c r="W234" s="417"/>
      <c r="X234" s="170"/>
      <c r="Y234" s="170"/>
      <c r="Z234" s="170"/>
      <c r="AA234" s="170"/>
      <c r="AB234" s="170"/>
      <c r="AC234" s="170"/>
      <c r="AD234" s="170"/>
    </row>
    <row r="235" spans="1:30" ht="17.25" customHeight="1" x14ac:dyDescent="0.4">
      <c r="A235" s="153"/>
      <c r="C235" s="412"/>
      <c r="D235" s="413"/>
      <c r="E235" s="168" t="str">
        <f>_xlfn.CONCAT(E234,"-","POST")</f>
        <v>SO-3-POST</v>
      </c>
      <c r="F235" s="415"/>
      <c r="G235" s="171"/>
      <c r="H235" s="171"/>
      <c r="I235" s="171"/>
      <c r="J235" s="171"/>
      <c r="K235" s="171"/>
      <c r="L235" s="171"/>
      <c r="M235" s="171"/>
      <c r="W235" s="417"/>
      <c r="X235" s="172"/>
      <c r="Y235" s="172"/>
      <c r="Z235" s="172"/>
      <c r="AA235" s="172"/>
      <c r="AB235" s="172"/>
      <c r="AC235" s="172"/>
      <c r="AD235" s="172"/>
    </row>
    <row r="236" spans="1:30" ht="17.25" customHeight="1" x14ac:dyDescent="0.4">
      <c r="A236" s="153"/>
      <c r="C236" s="412"/>
      <c r="D236" s="413"/>
      <c r="E236" s="168" t="str">
        <f>_xlfn.CONCAT(E234,"-","PILOT")</f>
        <v>SO-3-PILOT</v>
      </c>
      <c r="F236" s="416"/>
      <c r="G236" s="173"/>
      <c r="H236" s="173"/>
      <c r="I236" s="173"/>
      <c r="J236" s="173"/>
      <c r="K236" s="173"/>
      <c r="L236" s="173"/>
      <c r="M236" s="173"/>
      <c r="W236" s="417"/>
      <c r="X236" s="172"/>
      <c r="Y236" s="172"/>
      <c r="Z236" s="172"/>
      <c r="AA236" s="172"/>
      <c r="AB236" s="172"/>
      <c r="AC236" s="172"/>
      <c r="AD236" s="172"/>
    </row>
    <row r="237" spans="1:30" ht="17.25" customHeight="1" x14ac:dyDescent="0.45">
      <c r="A237" s="153"/>
      <c r="C237" s="412"/>
      <c r="D237" s="413"/>
      <c r="E237" s="175" t="s">
        <v>165</v>
      </c>
      <c r="F237" s="414" t="s">
        <v>114</v>
      </c>
      <c r="G237" s="169" t="str" cm="1">
        <f t="array" ref="G237">IF(RIGHT(_xlfn._xlws.FILTER(Sheet1!$G$2:$G$333,(Sheet1!$G$2:$G$333=$E237)+(Sheet1!$G$2:$G$333=$E238)+(Sheet1!$G$2:$G$333=$E239),""),4)="POST",CONCATENATE(_xlfn._xlws.FILTER(Sheet1!$A$2:$A$333,(Sheet1!$G$2:$G$333=$E237)+(Sheet1!$G$2:$G$333=$E238)+(Sheet1!$G$2:$G$333=$E239),""),"-","POST"),_xlfn._xlws.FILTER(Sheet1!$A$2:$A$333,(Sheet1!$G$2:$G$333=$E237)+(Sheet1!$G$2:$G$333=$E238)+(Sheet1!$G$2:$G$333=$E239),"UNFILLED"))</f>
        <v>HERRING, DARYL</v>
      </c>
      <c r="H237" s="169" t="str" cm="1">
        <f t="array" ref="H237:H238">IF(RIGHT(_xlfn._xlws.FILTER(Sheet1!$I$2:$I$333,(Sheet1!$I$2:$I$333=$E237)+(Sheet1!$I$2:$I$333=$E238)+(Sheet1!$I$2:$I$333=$E239),""),4)="POST",CONCATENATE(_xlfn._xlws.FILTER(Sheet1!$A$2:$A$333,(Sheet1!$I$2:$I$333=$E237)+(Sheet1!$I$2:$I$333=$E238)+(Sheet1!$I$2:$I$333=$E239),""),"-","POST"),_xlfn._xlws.FILTER(Sheet1!$A$2:$A$333,(Sheet1!$I$2:$I$333=$E237)+(Sheet1!$I$2:$I$333=$E238)+(Sheet1!$I$2:$I$333=$E239),"UNFILLED"))</f>
        <v>BOVIALL, STEVE</v>
      </c>
      <c r="I237" s="169" t="str" cm="1">
        <f t="array" ref="I237:I238">IF(RIGHT(_xlfn._xlws.FILTER(Sheet1!$K$2:$K$333,(Sheet1!$K$2:$K$333=$E237)+(Sheet1!$K$2:$K$333=$E238)+(Sheet1!$K$2:$K$333=$E239),""),4)="POST",CONCATENATE(_xlfn._xlws.FILTER(Sheet1!$A$2:$A$333,(Sheet1!$K$2:$K$333=$E237)+(Sheet1!$K$2:$K$333=$E238)+(Sheet1!$K$2:$K$333=$E239),""),"-","POST"),_xlfn._xlws.FILTER(Sheet1!$A$2:$A$333,(Sheet1!$K$2:$K$333=$E237)+(Sheet1!$K$2:$K$333=$E238)+(Sheet1!$K$2:$K$333=$E239),"UNFILLED"))</f>
        <v>BOVIALL, STEVE</v>
      </c>
      <c r="J237" s="169" t="str" cm="1">
        <f t="array" ref="J237:J238">IF(RIGHT(_xlfn._xlws.FILTER(Sheet1!M$2:M$333,(Sheet1!M$2:M$333=$E237)+(Sheet1!M$2:M$333=$E238)+(Sheet1!M$2:M$333=$E239),""),4)="POST",CONCATENATE(_xlfn._xlws.FILTER(Sheet1!$A$2:$A$333,(Sheet1!M$2:M$333=$E237)+(Sheet1!M$2:M$333=$E238)+(Sheet1!M$2:M$333=$E239),""),"-","POST"),_xlfn._xlws.FILTER(Sheet1!$A$2:$A$333,(Sheet1!M$2:M$333=$E237)+(Sheet1!M$2:M$333=$E238)+(Sheet1!M$2:M$333=$E239),"UNFILLED"))</f>
        <v>BOVIALL, STEVE</v>
      </c>
      <c r="K237" s="169" t="str" cm="1">
        <f t="array" ref="K237">IF(RIGHT(_xlfn._xlws.FILTER(Sheet1!$O$2:$O$333,(Sheet1!$O$2:$O$333=$E237)+(Sheet1!$O$2:$O$333=$E238)+(Sheet1!$O$2:$O$333=$E239),""),4)="POST",CONCATENATE(_xlfn._xlws.FILTER(Sheet1!$A$2:$A$333,(Sheet1!$O$2:$O$333=$E237)+(Sheet1!$O$2:$O$333=$E238)+(Sheet1!$O$2:$O$333=$E239),""),"-","POST"),_xlfn._xlws.FILTER(Sheet1!$A$2:$A$333,(Sheet1!$O$2:$O$333=$E237)+(Sheet1!$O$2:$O$333=$E238)+(Sheet1!$O$2:$O$333=$E239),"UNFILLED"))</f>
        <v>BOVIALL, STEVE</v>
      </c>
      <c r="L237" s="169" t="str" cm="1">
        <f t="array" ref="L237">IF(RIGHT(_xlfn._xlws.FILTER(Sheet1!$Q$2:$Q$333,(Sheet1!$Q$2:$Q$333=$E237)+(Sheet1!$Q$2:$Q$333=$E238)+(Sheet1!$Q$2:$Q$333=$E239),""),4)="POST",CONCATENATE(_xlfn._xlws.FILTER(Sheet1!$A$2:$A$333,(Sheet1!$Q$2:$Q$333=$E237)+(Sheet1!$Q$2:$Q$333=$E238)+(Sheet1!$Q$2:$Q$333=$E239),""),"-","POST"),_xlfn._xlws.FILTER(Sheet1!$A$2:$A$333,(Sheet1!$Q$2:$Q$333=$E237)+(Sheet1!$Q$2:$Q$333=$E238)+(Sheet1!$Q$2:$Q$333=$E239),"UNFILLED"))</f>
        <v>BOVIALL, STEVE</v>
      </c>
      <c r="M237" s="169" t="str" cm="1">
        <f t="array" ref="M237">IF(RIGHT(_xlfn._xlws.FILTER(Sheet1!$S$2:$S$333,(Sheet1!$S$2:$S$333=$E237)+(Sheet1!$S$2:$S$333=$E238)+(Sheet1!$S$2:$S$333=$E239),""),4)="POST",CONCATENATE(_xlfn._xlws.FILTER(Sheet1!$A$2:$A$333,(Sheet1!$S$2:$S$333=$E237)+(Sheet1!$S$2:$S$333=$E238)+(Sheet1!$S$2:$S$333=$E239),""),"-","POST"),_xlfn._xlws.FILTER(Sheet1!$A$2:$A$333,(Sheet1!$S$2:$S$333=$E237)+(Sheet1!$S$2:$S$333=$E238)+(Sheet1!$S$2:$S$333=$E239),"UNFILLED"))</f>
        <v>HAMILTON, MELVINA</v>
      </c>
      <c r="W237" s="417"/>
      <c r="X237" s="170"/>
      <c r="Y237" s="170"/>
      <c r="Z237" s="170"/>
      <c r="AA237" s="170"/>
      <c r="AB237" s="170"/>
      <c r="AC237" s="170"/>
      <c r="AD237" s="170"/>
    </row>
    <row r="238" spans="1:30" ht="17.25" customHeight="1" x14ac:dyDescent="0.4">
      <c r="A238" s="153"/>
      <c r="C238" s="412"/>
      <c r="D238" s="413"/>
      <c r="E238" s="168" t="str">
        <f>_xlfn.CONCAT(E237,"-","POST")</f>
        <v>KY-3-POST</v>
      </c>
      <c r="F238" s="415"/>
      <c r="G238" s="171"/>
      <c r="H238" s="171" t="str">
        <v>STEELE, DAKOTA-POST</v>
      </c>
      <c r="I238" s="171" t="str">
        <v>STEELE, DAKOTA-POST</v>
      </c>
      <c r="J238" s="171" t="str">
        <v>STEELE, DAKOTA-POST</v>
      </c>
      <c r="K238" s="171"/>
      <c r="L238" s="171"/>
      <c r="M238" s="171"/>
      <c r="W238" s="417"/>
      <c r="X238" s="172"/>
      <c r="Y238" s="172"/>
      <c r="Z238" s="172"/>
      <c r="AA238" s="172"/>
      <c r="AB238" s="172"/>
      <c r="AC238" s="172"/>
      <c r="AD238" s="172"/>
    </row>
    <row r="239" spans="1:30" ht="17.25" customHeight="1" x14ac:dyDescent="0.4">
      <c r="A239" s="153"/>
      <c r="C239" s="412"/>
      <c r="D239" s="413"/>
      <c r="E239" s="168" t="str">
        <f>_xlfn.CONCAT(E237,"-","PILOT")</f>
        <v>KY-3-PILOT</v>
      </c>
      <c r="F239" s="416"/>
      <c r="G239" s="173"/>
      <c r="H239" s="173"/>
      <c r="I239" s="173"/>
      <c r="J239" s="173"/>
      <c r="K239" s="173"/>
      <c r="L239" s="173"/>
      <c r="M239" s="173"/>
      <c r="W239" s="417"/>
      <c r="X239" s="172"/>
      <c r="Y239" s="172"/>
      <c r="Z239" s="172"/>
      <c r="AA239" s="172"/>
      <c r="AB239" s="172"/>
      <c r="AC239" s="172"/>
      <c r="AD239" s="172"/>
    </row>
    <row r="240" spans="1:30" ht="17.25" customHeight="1" x14ac:dyDescent="0.45">
      <c r="A240" s="153"/>
      <c r="C240" s="412"/>
      <c r="D240" s="413"/>
      <c r="E240" s="175" t="s">
        <v>166</v>
      </c>
      <c r="F240" s="414" t="s">
        <v>116</v>
      </c>
      <c r="G240" s="169" t="str" cm="1">
        <f t="array" ref="G240">IF(RIGHT(_xlfn._xlws.FILTER(Sheet1!$G$2:$G$333,(Sheet1!$G$2:$G$333=$E240)+(Sheet1!$G$2:$G$333=$E241)+(Sheet1!$G$2:$G$333=$E242),""),4)="POST",CONCATENATE(_xlfn._xlws.FILTER(Sheet1!$A$2:$A$333,(Sheet1!$G$2:$G$333=$E240)+(Sheet1!$G$2:$G$333=$E241)+(Sheet1!$G$2:$G$333=$E242),""),"-","POST"),_xlfn._xlws.FILTER(Sheet1!$A$2:$A$333,(Sheet1!$G$2:$G$333=$E240)+(Sheet1!$G$2:$G$333=$E241)+(Sheet1!$G$2:$G$333=$E242),"UNFILLED"))</f>
        <v>SANSBURY, TRAVIS</v>
      </c>
      <c r="H240" s="169" t="str" cm="1">
        <f t="array" ref="H240">IF(RIGHT(_xlfn._xlws.FILTER(Sheet1!$I$2:$I$333,(Sheet1!$I$2:$I$333=$E240)+(Sheet1!$I$2:$I$333=$E241)+(Sheet1!$I$2:$I$333=$E242),""),4)="POST",CONCATENATE(_xlfn._xlws.FILTER(Sheet1!$A$2:$A$333,(Sheet1!$I$2:$I$333=$E240)+(Sheet1!$I$2:$I$333=$E241)+(Sheet1!$I$2:$I$333=$E242),""),"-","POST"),_xlfn._xlws.FILTER(Sheet1!$A$2:$A$333,(Sheet1!$I$2:$I$333=$E240)+(Sheet1!$I$2:$I$333=$E241)+(Sheet1!$I$2:$I$333=$E242),"UNFILLED"))</f>
        <v>SANSBURY, TRAVIS</v>
      </c>
      <c r="I240" s="169" t="str" cm="1">
        <f t="array" ref="I240">IF(RIGHT(_xlfn._xlws.FILTER(Sheet1!$K$2:$K$333,(Sheet1!$K$2:$K$333=$E240)+(Sheet1!$K$2:$K$333=$E241)+(Sheet1!$K$2:$K$333=$E242),""),4)="POST",CONCATENATE(_xlfn._xlws.FILTER(Sheet1!$A$2:$A$333,(Sheet1!$K$2:$K$333=$E240)+(Sheet1!$K$2:$K$333=$E241)+(Sheet1!$K$2:$K$333=$E242),""),"-","POST"),_xlfn._xlws.FILTER(Sheet1!$A$2:$A$333,(Sheet1!$K$2:$K$333=$E240)+(Sheet1!$K$2:$K$333=$E241)+(Sheet1!$K$2:$K$333=$E242),"UNFILLED"))</f>
        <v>SANSBURY, TRAVIS</v>
      </c>
      <c r="J240" s="169" t="str" cm="1">
        <f t="array" ref="J240">IF(RIGHT(_xlfn._xlws.FILTER(Sheet1!M$2:M$333,(Sheet1!M$2:M$333=$E240)+(Sheet1!M$2:M$333=$E241)+(Sheet1!M$2:M$333=$E242),""),4)="POST",CONCATENATE(_xlfn._xlws.FILTER(Sheet1!$A$2:$A$333,(Sheet1!M$2:M$333=$E240)+(Sheet1!M$2:M$333=$E241)+(Sheet1!M$2:M$333=$E242),""),"-","POST"),_xlfn._xlws.FILTER(Sheet1!$A$2:$A$333,(Sheet1!M$2:M$333=$E240)+(Sheet1!M$2:M$333=$E241)+(Sheet1!M$2:M$333=$E242),"UNFILLED"))</f>
        <v>SANSBURY, TRAVIS</v>
      </c>
      <c r="K240" s="169" t="str" cm="1">
        <f t="array" ref="K240">IF(RIGHT(_xlfn._xlws.FILTER(Sheet1!$O$2:$O$333,(Sheet1!$O$2:$O$333=$E240)+(Sheet1!$O$2:$O$333=$E241)+(Sheet1!$O$2:$O$333=$E242),""),4)="POST",CONCATENATE(_xlfn._xlws.FILTER(Sheet1!$A$2:$A$333,(Sheet1!$O$2:$O$333=$E240)+(Sheet1!$O$2:$O$333=$E241)+(Sheet1!$O$2:$O$333=$E242),""),"-","POST"),_xlfn._xlws.FILTER(Sheet1!$A$2:$A$333,(Sheet1!$O$2:$O$333=$E240)+(Sheet1!$O$2:$O$333=$E241)+(Sheet1!$O$2:$O$333=$E242),"UNFILLED"))</f>
        <v>STAMETS, LUCAS</v>
      </c>
      <c r="L240" s="169" t="str" cm="1">
        <f t="array" ref="L240">IF(RIGHT(_xlfn._xlws.FILTER(Sheet1!$Q$2:$Q$333,(Sheet1!$Q$2:$Q$333=$E240)+(Sheet1!$Q$2:$Q$333=$E241)+(Sheet1!$Q$2:$Q$333=$E242),""),4)="POST",CONCATENATE(_xlfn._xlws.FILTER(Sheet1!$A$2:$A$333,(Sheet1!$Q$2:$Q$333=$E240)+(Sheet1!$Q$2:$Q$333=$E241)+(Sheet1!$Q$2:$Q$333=$E242),""),"-","POST"),_xlfn._xlws.FILTER(Sheet1!$A$2:$A$333,(Sheet1!$Q$2:$Q$333=$E240)+(Sheet1!$Q$2:$Q$333=$E241)+(Sheet1!$Q$2:$Q$333=$E242),"UNFILLED"))</f>
        <v>DIPRIMA, JASON</v>
      </c>
      <c r="M240" s="169" t="str" cm="1">
        <f t="array" ref="M240">IF(RIGHT(_xlfn._xlws.FILTER(Sheet1!$S$2:$S$333,(Sheet1!$S$2:$S$333=$E240)+(Sheet1!$S$2:$S$333=$E241)+(Sheet1!$S$2:$S$333=$E242),""),4)="POST",CONCATENATE(_xlfn._xlws.FILTER(Sheet1!$A$2:$A$333,(Sheet1!$S$2:$S$333=$E240)+(Sheet1!$S$2:$S$333=$E241)+(Sheet1!$S$2:$S$333=$E242),""),"-","POST"),_xlfn._xlws.FILTER(Sheet1!$A$2:$A$333,(Sheet1!$S$2:$S$333=$E240)+(Sheet1!$S$2:$S$333=$E241)+(Sheet1!$S$2:$S$333=$E242),"UNFILLED"))</f>
        <v>FALLINGS-AMIS, JAMISON</v>
      </c>
      <c r="W240" s="417"/>
      <c r="X240" s="196"/>
      <c r="Y240" s="196"/>
      <c r="Z240" s="196"/>
      <c r="AA240" s="196"/>
      <c r="AB240" s="196"/>
      <c r="AC240" s="196"/>
      <c r="AD240" s="196"/>
    </row>
    <row r="241" spans="1:30" ht="17.25" customHeight="1" x14ac:dyDescent="0.4">
      <c r="A241" s="153"/>
      <c r="C241" s="412"/>
      <c r="D241" s="413"/>
      <c r="E241" s="168" t="str">
        <f>_xlfn.CONCAT(E240,"-","POST")</f>
        <v>QC-3-POST</v>
      </c>
      <c r="F241" s="415"/>
      <c r="G241" s="171"/>
      <c r="H241" s="171"/>
      <c r="I241" s="171"/>
      <c r="J241" s="171"/>
      <c r="K241" s="171"/>
      <c r="L241" s="171"/>
      <c r="M241" s="171"/>
      <c r="W241" s="417"/>
      <c r="X241" s="172"/>
      <c r="Y241" s="172"/>
      <c r="Z241" s="172"/>
      <c r="AA241" s="172"/>
      <c r="AB241" s="172"/>
      <c r="AC241" s="172"/>
      <c r="AD241" s="172"/>
    </row>
    <row r="242" spans="1:30" ht="17.25" customHeight="1" x14ac:dyDescent="0.4">
      <c r="A242" s="153"/>
      <c r="C242" s="412"/>
      <c r="D242" s="413"/>
      <c r="E242" s="168" t="str">
        <f>_xlfn.CONCAT(E240,"-","PILOT")</f>
        <v>QC-3-PILOT</v>
      </c>
      <c r="F242" s="416"/>
      <c r="G242" s="173"/>
      <c r="H242" s="173"/>
      <c r="I242" s="173"/>
      <c r="J242" s="173"/>
      <c r="K242" s="173"/>
      <c r="L242" s="173"/>
      <c r="M242" s="173"/>
      <c r="W242" s="417"/>
      <c r="X242" s="172"/>
      <c r="Y242" s="172"/>
      <c r="Z242" s="172"/>
      <c r="AA242" s="172"/>
      <c r="AB242" s="172"/>
      <c r="AC242" s="172"/>
      <c r="AD242" s="172"/>
    </row>
    <row r="243" spans="1:30" ht="25.5" customHeight="1" thickBot="1" x14ac:dyDescent="0.55000000000000004">
      <c r="A243" s="153"/>
      <c r="C243" s="176"/>
      <c r="D243" s="177"/>
      <c r="F243" s="179"/>
      <c r="G243" s="180"/>
      <c r="H243" s="180"/>
      <c r="I243" s="180"/>
      <c r="J243" s="180"/>
      <c r="K243" s="180"/>
      <c r="L243" s="180"/>
      <c r="M243" s="181"/>
      <c r="W243" s="167"/>
      <c r="X243" s="167"/>
      <c r="Y243" s="167"/>
      <c r="Z243" s="167"/>
      <c r="AA243" s="167"/>
      <c r="AB243" s="167"/>
      <c r="AC243" s="167"/>
      <c r="AD243" s="167"/>
    </row>
    <row r="244" spans="1:30" ht="11.25" customHeight="1" x14ac:dyDescent="0.4">
      <c r="A244" s="153"/>
      <c r="C244" s="432" t="s">
        <v>167</v>
      </c>
      <c r="D244" s="433"/>
      <c r="F244" s="421" t="s">
        <v>168</v>
      </c>
      <c r="G244" s="421"/>
      <c r="H244" s="421"/>
      <c r="I244" s="421"/>
      <c r="J244" s="421"/>
      <c r="K244" s="421"/>
      <c r="L244" s="421"/>
      <c r="M244" s="425"/>
    </row>
    <row r="245" spans="1:30" ht="11.25" customHeight="1" x14ac:dyDescent="0.4">
      <c r="A245" s="153"/>
      <c r="C245" s="412"/>
      <c r="D245" s="413"/>
      <c r="F245" s="426"/>
      <c r="G245" s="426"/>
      <c r="H245" s="426"/>
      <c r="I245" s="426"/>
      <c r="J245" s="426"/>
      <c r="K245" s="426"/>
      <c r="L245" s="426"/>
      <c r="M245" s="427"/>
    </row>
    <row r="246" spans="1:30" ht="11.25" customHeight="1" thickBot="1" x14ac:dyDescent="0.45">
      <c r="A246" s="153"/>
      <c r="C246" s="412"/>
      <c r="D246" s="413"/>
      <c r="F246" s="428"/>
      <c r="G246" s="428"/>
      <c r="H246" s="428"/>
      <c r="I246" s="428"/>
      <c r="J246" s="428"/>
      <c r="K246" s="428"/>
      <c r="L246" s="428"/>
      <c r="M246" s="429"/>
    </row>
    <row r="247" spans="1:30" ht="18" customHeight="1" x14ac:dyDescent="0.4">
      <c r="A247" s="153"/>
      <c r="C247" s="412"/>
      <c r="D247" s="413"/>
      <c r="F247" s="197"/>
      <c r="G247" s="198" t="str">
        <f t="shared" ref="G247:M247" si="6">TEXT(G248,"dddd")</f>
        <v>Saturday</v>
      </c>
      <c r="H247" s="198" t="str">
        <f t="shared" si="6"/>
        <v>Sunday</v>
      </c>
      <c r="I247" s="198" t="str">
        <f t="shared" si="6"/>
        <v>Monday</v>
      </c>
      <c r="J247" s="198" t="str">
        <f t="shared" si="6"/>
        <v>Tuesday</v>
      </c>
      <c r="K247" s="198" t="str">
        <f t="shared" si="6"/>
        <v>Wednesday</v>
      </c>
      <c r="L247" s="198" t="str">
        <f t="shared" si="6"/>
        <v>Thursday</v>
      </c>
      <c r="M247" s="198" t="str">
        <f t="shared" si="6"/>
        <v>Friday</v>
      </c>
    </row>
    <row r="248" spans="1:30" ht="18" customHeight="1" x14ac:dyDescent="0.4">
      <c r="A248" s="153"/>
      <c r="C248" s="412"/>
      <c r="D248" s="413"/>
      <c r="F248" s="199"/>
      <c r="G248" s="200">
        <f>+G167</f>
        <v>45969</v>
      </c>
      <c r="H248" s="200">
        <f t="shared" ref="H248:M248" si="7">+G248+1</f>
        <v>45970</v>
      </c>
      <c r="I248" s="200">
        <f t="shared" si="7"/>
        <v>45971</v>
      </c>
      <c r="J248" s="200">
        <f t="shared" si="7"/>
        <v>45972</v>
      </c>
      <c r="K248" s="200">
        <f t="shared" si="7"/>
        <v>45973</v>
      </c>
      <c r="L248" s="200">
        <f t="shared" si="7"/>
        <v>45974</v>
      </c>
      <c r="M248" s="200">
        <f t="shared" si="7"/>
        <v>45975</v>
      </c>
    </row>
    <row r="249" spans="1:30" ht="20.25" customHeight="1" x14ac:dyDescent="0.4">
      <c r="A249" s="153"/>
      <c r="C249" s="412"/>
      <c r="D249" s="413"/>
      <c r="E249" s="161" t="s">
        <v>169</v>
      </c>
      <c r="F249" s="430" t="s">
        <v>170</v>
      </c>
      <c r="G249" s="201" t="str" cm="1">
        <f t="array" ref="G249">IF(RIGHT(_xlfn._xlws.FILTER(Sheet1!$G$2:$G$333,(Sheet1!$G$2:$G$333=$E249)+(Sheet1!$G$2:$G$333=$E250),""),4)="POST",CONCATENATE(_xlfn._xlws.FILTER(Sheet1!$A$2:$A$333,(Sheet1!$G$2:$G$333=$E249)+(Sheet1!$G$2:$G$333=$E250),""),"-","POST"),_xlfn._xlws.FILTER(Sheet1!$A$2:$A$333,(Sheet1!$G$2:$G$333=$E249)+(Sheet1!$G$2:$G$333=$E250),"UNFILLED"))</f>
        <v>GOODREAU, TERRY</v>
      </c>
      <c r="H249" s="201" t="str" cm="1">
        <f t="array" ref="H249">IF(RIGHT(_xlfn._xlws.FILTER(Sheet1!$I$2:$I$333,(Sheet1!$I$2:$I$333=$E249)+(Sheet1!$I$2:$I$333=$E250),""),4)="POST",CONCATENATE(_xlfn._xlws.FILTER(Sheet1!$A$2:$A$333,(Sheet1!$I$2:$I$333=$E249)+(Sheet1!$I$2:$I$333=$E250),""),"-","POST"),_xlfn._xlws.FILTER(Sheet1!$A$2:$A$333,(Sheet1!$I$2:$I$333=$E249)+(Sheet1!$I$2:$I$333=$E250),"UNFILLED"))</f>
        <v>GOODREAU, TERRY</v>
      </c>
      <c r="I249" s="201" t="str" cm="1">
        <f t="array" ref="I249">IF(RIGHT(_xlfn._xlws.FILTER(Sheet1!$K$2:$K$333,(Sheet1!$K$2:$K$333=$E249)+(Sheet1!$K$2:$K$333=$E250),""),4)="POST",CONCATENATE(_xlfn._xlws.FILTER(Sheet1!$A$2:$A$333,(Sheet1!$K$2:$K$333=$E249)+(Sheet1!$K$2:$K$333=$E250),""),"-","POST"),_xlfn._xlws.FILTER(Sheet1!$A$2:$A$333,(Sheet1!$K$2:$K$333=$E249)+(Sheet1!$K$2:$K$333=$E250),"UNFILLED"))</f>
        <v>GOODREAU, TERRY</v>
      </c>
      <c r="J249" s="201" t="str" cm="1">
        <f t="array" ref="J249">IF(RIGHT(_xlfn._xlws.FILTER(Sheet1!M$2:M$333,(Sheet1!M$2:M$333=$E249)+(Sheet1!M$2:M$333=$E250),""),4)="POST",CONCATENATE(_xlfn._xlws.FILTER(Sheet1!$A$2:$A$333,(Sheet1!M$2:M$333=$E249)+(Sheet1!M$2:M$333=$E250),""),"-","POST"),_xlfn._xlws.FILTER(Sheet1!$A$2:$A$333,(Sheet1!M$2:M$333=$E249)+(Sheet1!M$2:M$333=$E250),"UNFILLED"))</f>
        <v>DAVIS, MATT</v>
      </c>
      <c r="K249" s="201" t="str" cm="1">
        <f t="array" ref="K249">IF(RIGHT(_xlfn._xlws.FILTER(Sheet1!$O$2:$O$333,(Sheet1!$O$2:$O$333=$E249)+(Sheet1!$O$2:$O$333=$E250),""),4)="POST",CONCATENATE(_xlfn._xlws.FILTER(Sheet1!$A$2:$A$333,(Sheet1!$O$2:$O$333=$E249)+(Sheet1!$O$2:$O$333=$E250),""),"-","POST"),_xlfn._xlws.FILTER(Sheet1!$A$2:$A$333,(Sheet1!$O$2:$O$333=$E249)+(Sheet1!$O$2:$O$333=$E250),"UNFILLED"))</f>
        <v>MCLAMB, JOHNNELL</v>
      </c>
      <c r="L249" s="201" t="str" cm="1">
        <f t="array" ref="L249">IF(RIGHT(_xlfn._xlws.FILTER(Sheet1!$Q$2:$Q$333,(Sheet1!$Q$2:$Q$333=$E249)+(Sheet1!$Q$2:$Q$333=$E250),""),4)="POST",CONCATENATE(_xlfn._xlws.FILTER(Sheet1!$A$2:$A$333,(Sheet1!$Q$2:$Q$333=$E249)+(Sheet1!$Q$2:$Q$333=$E250),""),"-","POST"),_xlfn._xlws.FILTER(Sheet1!$A$2:$A$333,(Sheet1!$Q$2:$Q$333=$E249)+(Sheet1!$Q$2:$Q$333=$E250),"UNFILLED"))</f>
        <v>MCLAMB, JOHNNELL</v>
      </c>
      <c r="M249" s="201" t="str" cm="1">
        <f t="array" ref="M249">IF(RIGHT(_xlfn._xlws.FILTER(Sheet1!$S$2:$S$333,(Sheet1!$S$2:$S$333=$E249)+(Sheet1!$S$2:$S$333=$E250),""),4)="POST",CONCATENATE(_xlfn._xlws.FILTER(Sheet1!$A$2:$A$333,(Sheet1!$S$2:$S$333=$E249)+(Sheet1!$S$2:$S$333=$E250),""),"-","POST"),_xlfn._xlws.FILTER(Sheet1!$A$2:$A$333,(Sheet1!$S$2:$S$333=$E249)+(Sheet1!$S$2:$S$333=$E250),"UNFILLED"))</f>
        <v>MCLAMB, JOHNNELL</v>
      </c>
    </row>
    <row r="250" spans="1:30" ht="20.25" customHeight="1" x14ac:dyDescent="0.4">
      <c r="A250" s="153"/>
      <c r="C250" s="412"/>
      <c r="D250" s="413"/>
      <c r="E250" s="161" t="str">
        <f>_xlfn.CONCAT(E249,"-","POST")</f>
        <v>ACD1-HB-POST</v>
      </c>
      <c r="F250" s="431"/>
      <c r="G250" s="202"/>
      <c r="H250" s="202"/>
      <c r="I250" s="202"/>
      <c r="J250" s="202"/>
      <c r="K250" s="202"/>
      <c r="L250" s="202"/>
      <c r="M250" s="202"/>
    </row>
    <row r="251" spans="1:30" ht="20.25" customHeight="1" x14ac:dyDescent="0.4">
      <c r="A251" s="153"/>
      <c r="C251" s="412"/>
      <c r="D251" s="413"/>
      <c r="E251" s="161" t="s">
        <v>171</v>
      </c>
      <c r="F251" s="430" t="s">
        <v>172</v>
      </c>
      <c r="G251" s="201" t="str" cm="1">
        <f t="array" ref="G251">IF(RIGHT(_xlfn._xlws.FILTER(Sheet1!$G$2:$G$333,(Sheet1!$G$2:$G$333=$E251)+(Sheet1!$G$2:$G$333=$E252),""),4)="POST",CONCATENATE(_xlfn._xlws.FILTER(Sheet1!$A$2:$A$333,(Sheet1!$G$2:$G$333=$E251)+(Sheet1!$G$2:$G$333=$E252),""),"-","POST"),_xlfn._xlws.FILTER(Sheet1!$A$2:$A$333,(Sheet1!$G$2:$G$333=$E251)+(Sheet1!$G$2:$G$333=$E252),"UNFILLED"))</f>
        <v>PEACHY, JOHN</v>
      </c>
      <c r="H251" s="201" t="str" cm="1">
        <f t="array" ref="H251">IF(RIGHT(_xlfn._xlws.FILTER(Sheet1!$I$2:$I$333,(Sheet1!$I$2:$I$333=$E251)+(Sheet1!$I$2:$I$333=$E252),""),4)="POST",CONCATENATE(_xlfn._xlws.FILTER(Sheet1!$A$2:$A$333,(Sheet1!$I$2:$I$333=$E251)+(Sheet1!$I$2:$I$333=$E252),""),"-","POST"),_xlfn._xlws.FILTER(Sheet1!$A$2:$A$333,(Sheet1!$I$2:$I$333=$E251)+(Sheet1!$I$2:$I$333=$E252),"UNFILLED"))</f>
        <v>PEACHY, JOHN</v>
      </c>
      <c r="I251" s="201" t="str" cm="1">
        <f t="array" ref="I251">IF(RIGHT(_xlfn._xlws.FILTER(Sheet1!$K$2:$K$333,(Sheet1!$K$2:$K$333=$E251)+(Sheet1!$K$2:$K$333=$E252),""),4)="POST",CONCATENATE(_xlfn._xlws.FILTER(Sheet1!$A$2:$A$333,(Sheet1!$K$2:$K$333=$E251)+(Sheet1!$K$2:$K$333=$E252),""),"-","POST"),_xlfn._xlws.FILTER(Sheet1!$A$2:$A$333,(Sheet1!$K$2:$K$333=$E251)+(Sheet1!$K$2:$K$333=$E252),"UNFILLED"))</f>
        <v>PEACHY, JOHN</v>
      </c>
      <c r="J251" s="201" t="str" cm="1">
        <f t="array" ref="J251">IF(RIGHT(_xlfn._xlws.FILTER(Sheet1!M$2:M$333,(Sheet1!M$2:M$333=$E251)+(Sheet1!M$2:M$333=$E252),""),4)="POST",CONCATENATE(_xlfn._xlws.FILTER(Sheet1!$A$2:$A$333,(Sheet1!M$2:M$333=$E251)+(Sheet1!M$2:M$333=$E252),""),"-","POST"),_xlfn._xlws.FILTER(Sheet1!$A$2:$A$333,(Sheet1!M$2:M$333=$E251)+(Sheet1!M$2:M$333=$E252),"UNFILLED"))</f>
        <v>PEACHY, JOHN</v>
      </c>
      <c r="K251" s="201" t="str" cm="1">
        <f t="array" ref="K251">IF(RIGHT(_xlfn._xlws.FILTER(Sheet1!$O$2:$O$333,(Sheet1!$O$2:$O$333=$E251)+(Sheet1!$O$2:$O$333=$E252),""),4)="POST",CONCATENATE(_xlfn._xlws.FILTER(Sheet1!$A$2:$A$333,(Sheet1!$O$2:$O$333=$E251)+(Sheet1!$O$2:$O$333=$E252),""),"-","POST"),_xlfn._xlws.FILTER(Sheet1!$A$2:$A$333,(Sheet1!$O$2:$O$333=$E251)+(Sheet1!$O$2:$O$333=$E252),"UNFILLED"))</f>
        <v>PEACHY, JOHN</v>
      </c>
      <c r="L251" s="201" t="str" cm="1">
        <f t="array" ref="L251">IF(RIGHT(_xlfn._xlws.FILTER(Sheet1!$Q$2:$Q$333,(Sheet1!$Q$2:$Q$333=$E251)+(Sheet1!$Q$2:$Q$333=$E252),""),4)="POST",CONCATENATE(_xlfn._xlws.FILTER(Sheet1!$A$2:$A$333,(Sheet1!$Q$2:$Q$333=$E251)+(Sheet1!$Q$2:$Q$333=$E252),""),"-","POST"),_xlfn._xlws.FILTER(Sheet1!$A$2:$A$333,(Sheet1!$Q$2:$Q$333=$E251)+(Sheet1!$Q$2:$Q$333=$E252),"UNFILLED"))</f>
        <v>KOHAN, JON</v>
      </c>
      <c r="M251" s="201" t="str" cm="1">
        <f t="array" ref="M251">IF(RIGHT(_xlfn._xlws.FILTER(Sheet1!$S$2:$S$333,(Sheet1!$S$2:$S$333=$E251)+(Sheet1!$S$2:$S$333=$E252),""),4)="POST",CONCATENATE(_xlfn._xlws.FILTER(Sheet1!$A$2:$A$333,(Sheet1!$S$2:$S$333=$E251)+(Sheet1!$S$2:$S$333=$E252),""),"-","POST"),_xlfn._xlws.FILTER(Sheet1!$A$2:$A$333,(Sheet1!$S$2:$S$333=$E251)+(Sheet1!$S$2:$S$333=$E252),"UNFILLED"))</f>
        <v>KOHAN, JON</v>
      </c>
    </row>
    <row r="252" spans="1:30" ht="20.25" customHeight="1" x14ac:dyDescent="0.4">
      <c r="A252" s="153"/>
      <c r="C252" s="412"/>
      <c r="D252" s="413"/>
      <c r="E252" s="161" t="str">
        <f>_xlfn.CONCAT(E251,"-","POST")</f>
        <v>ACD2-HB-POST</v>
      </c>
      <c r="F252" s="431"/>
      <c r="G252" s="202"/>
      <c r="H252" s="202"/>
      <c r="I252" s="202"/>
      <c r="J252" s="202"/>
      <c r="K252" s="202"/>
      <c r="L252" s="202"/>
      <c r="M252" s="202"/>
    </row>
    <row r="253" spans="1:30" ht="20.25" customHeight="1" x14ac:dyDescent="0.4">
      <c r="A253" s="153"/>
      <c r="C253" s="412"/>
      <c r="D253" s="413"/>
      <c r="E253" s="161" t="s">
        <v>173</v>
      </c>
      <c r="F253" s="430" t="s">
        <v>174</v>
      </c>
      <c r="G253" s="201" t="str" cm="1">
        <f t="array" ref="G253">IF(RIGHT(_xlfn._xlws.FILTER(Sheet1!$G$2:$G$333,(Sheet1!$G$2:$G$333=$E253)+(Sheet1!$G$2:$G$333=$E254),""),4)="POST",CONCATENATE(_xlfn._xlws.FILTER(Sheet1!$A$2:$A$333,(Sheet1!$G$2:$G$333=$E253)+(Sheet1!$G$2:$G$333=$E254),""),"-","POST"),_xlfn._xlws.FILTER(Sheet1!$A$2:$A$333,(Sheet1!$G$2:$G$333=$E253)+(Sheet1!$G$2:$G$333=$E254),"UNFILLED"))</f>
        <v>MCQUILLEN, GARRETT</v>
      </c>
      <c r="H253" s="201" t="str" cm="1">
        <f t="array" ref="H253">IF(RIGHT(_xlfn._xlws.FILTER(Sheet1!$I$2:$I$333,(Sheet1!$I$2:$I$333=$E253)+(Sheet1!$I$2:$I$333=$E254),""),4)="POST",CONCATENATE(_xlfn._xlws.FILTER(Sheet1!$A$2:$A$333,(Sheet1!$I$2:$I$333=$E253)+(Sheet1!$I$2:$I$333=$E254),""),"-","POST"),_xlfn._xlws.FILTER(Sheet1!$A$2:$A$333,(Sheet1!$I$2:$I$333=$E253)+(Sheet1!$I$2:$I$333=$E254),"UNFILLED"))</f>
        <v>MCQUILLEN, GARRETT</v>
      </c>
      <c r="I253" s="201" t="str" cm="1">
        <f t="array" ref="I253">IF(RIGHT(_xlfn._xlws.FILTER(Sheet1!$K$2:$K$333,(Sheet1!$K$2:$K$333=$E253)+(Sheet1!$K$2:$K$333=$E254),""),4)="POST",CONCATENATE(_xlfn._xlws.FILTER(Sheet1!$A$2:$A$333,(Sheet1!$K$2:$K$333=$E253)+(Sheet1!$K$2:$K$333=$E254),""),"-","POST"),_xlfn._xlws.FILTER(Sheet1!$A$2:$A$333,(Sheet1!$K$2:$K$333=$E253)+(Sheet1!$K$2:$K$333=$E254),"UNFILLED"))</f>
        <v>MCQUILLEN, GARRETT</v>
      </c>
      <c r="J253" s="201" t="str" cm="1">
        <f t="array" ref="J253">IF(RIGHT(_xlfn._xlws.FILTER(Sheet1!M$2:M$333,(Sheet1!M$2:M$333=$E253)+(Sheet1!M$2:M$333=$E254),""),4)="POST",CONCATENATE(_xlfn._xlws.FILTER(Sheet1!$A$2:$A$333,(Sheet1!M$2:M$333=$E253)+(Sheet1!M$2:M$333=$E254),""),"-","POST"),_xlfn._xlws.FILTER(Sheet1!$A$2:$A$333,(Sheet1!M$2:M$333=$E253)+(Sheet1!M$2:M$333=$E254),"UNFILLED"))</f>
        <v>MCQUILLEN, GARRETT</v>
      </c>
      <c r="K253" s="201" t="str" cm="1">
        <f t="array" ref="K253">IF(RIGHT(_xlfn._xlws.FILTER(Sheet1!$O$2:$O$333,(Sheet1!$O$2:$O$333=$E253)+(Sheet1!$O$2:$O$333=$E254),""),4)="POST",CONCATENATE(_xlfn._xlws.FILTER(Sheet1!$A$2:$A$333,(Sheet1!$O$2:$O$333=$E253)+(Sheet1!$O$2:$O$333=$E254),""),"-","POST"),_xlfn._xlws.FILTER(Sheet1!$A$2:$A$333,(Sheet1!$O$2:$O$333=$E253)+(Sheet1!$O$2:$O$333=$E254),"UNFILLED"))</f>
        <v>MCQUILLEN, GARRETT</v>
      </c>
      <c r="L253" s="201" t="str" cm="1">
        <f t="array" ref="L253">IF(RIGHT(_xlfn._xlws.FILTER(Sheet1!$Q$2:$Q$333,(Sheet1!$Q$2:$Q$333=$E253)+(Sheet1!$Q$2:$Q$333=$E254),""),4)="POST",CONCATENATE(_xlfn._xlws.FILTER(Sheet1!$A$2:$A$333,(Sheet1!$Q$2:$Q$333=$E253)+(Sheet1!$Q$2:$Q$333=$E254),""),"-","POST"),_xlfn._xlws.FILTER(Sheet1!$A$2:$A$333,(Sheet1!$Q$2:$Q$333=$E253)+(Sheet1!$Q$2:$Q$333=$E254),"UNFILLED"))</f>
        <v>TOOMEY, TJ</v>
      </c>
      <c r="M253" s="201" t="str" cm="1">
        <f t="array" ref="M253">IF(RIGHT(_xlfn._xlws.FILTER(Sheet1!$S$2:$S$333,(Sheet1!$S$2:$S$333=$E253)+(Sheet1!$S$2:$S$333=$E254),""),4)="POST",CONCATENATE(_xlfn._xlws.FILTER(Sheet1!$A$2:$A$333,(Sheet1!$S$2:$S$333=$E253)+(Sheet1!$S$2:$S$333=$E254),""),"-","POST"),_xlfn._xlws.FILTER(Sheet1!$A$2:$A$333,(Sheet1!$S$2:$S$333=$E253)+(Sheet1!$S$2:$S$333=$E254),"UNFILLED"))</f>
        <v>TOOMEY, TJ</v>
      </c>
    </row>
    <row r="254" spans="1:30" ht="20.25" customHeight="1" x14ac:dyDescent="0.4">
      <c r="A254" s="153"/>
      <c r="C254" s="412"/>
      <c r="D254" s="413"/>
      <c r="E254" s="161" t="str">
        <f>_xlfn.CONCAT(E253,"-","POST")</f>
        <v>ACD1-PB-POST</v>
      </c>
      <c r="F254" s="431"/>
      <c r="G254" s="202"/>
      <c r="H254" s="202"/>
      <c r="I254" s="202"/>
      <c r="J254" s="202"/>
      <c r="K254" s="202"/>
      <c r="L254" s="202"/>
      <c r="M254" s="202"/>
    </row>
    <row r="255" spans="1:30" ht="20.25" customHeight="1" x14ac:dyDescent="0.4">
      <c r="A255" s="153"/>
      <c r="C255" s="412"/>
      <c r="D255" s="413"/>
      <c r="E255" s="161" t="s">
        <v>175</v>
      </c>
      <c r="F255" s="430" t="s">
        <v>176</v>
      </c>
      <c r="G255" s="201" t="str" cm="1">
        <f t="array" ref="G255">IF(RIGHT(_xlfn._xlws.FILTER(Sheet1!$G$2:$G$333,(Sheet1!$G$2:$G$333=$E255)+(Sheet1!$G$2:$G$333=$E256),""),4)="POST",CONCATENATE(_xlfn._xlws.FILTER(Sheet1!$A$2:$A$333,(Sheet1!$G$2:$G$333=$E255)+(Sheet1!$G$2:$G$333=$E256),""),"-","POST"),_xlfn._xlws.FILTER(Sheet1!$A$2:$A$333,(Sheet1!$G$2:$G$333=$E255)+(Sheet1!$G$2:$G$333=$E256),"UNFILLED"))</f>
        <v>THOMAS, FRANK</v>
      </c>
      <c r="H255" s="201" t="str" cm="1">
        <f t="array" ref="H255">IF(RIGHT(_xlfn._xlws.FILTER(Sheet1!$I$2:$I$333,(Sheet1!$I$2:$I$333=$E255)+(Sheet1!$I$2:$I$333=$E256),""),4)="POST",CONCATENATE(_xlfn._xlws.FILTER(Sheet1!$A$2:$A$333,(Sheet1!$I$2:$I$333=$E255)+(Sheet1!$I$2:$I$333=$E256),""),"-","POST"),_xlfn._xlws.FILTER(Sheet1!$A$2:$A$333,(Sheet1!$I$2:$I$333=$E255)+(Sheet1!$I$2:$I$333=$E256),"UNFILLED"))</f>
        <v>KRZYZANOWSKI, KIMMY</v>
      </c>
      <c r="I255" s="201" t="str" cm="1">
        <f t="array" ref="I255">IF(RIGHT(_xlfn._xlws.FILTER(Sheet1!$K$2:$K$333,(Sheet1!$K$2:$K$333=$E255)+(Sheet1!$K$2:$K$333=$E256),""),4)="POST",CONCATENATE(_xlfn._xlws.FILTER(Sheet1!$A$2:$A$333,(Sheet1!$K$2:$K$333=$E255)+(Sheet1!$K$2:$K$333=$E256),""),"-","POST"),_xlfn._xlws.FILTER(Sheet1!$A$2:$A$333,(Sheet1!$K$2:$K$333=$E255)+(Sheet1!$K$2:$K$333=$E256),"UNFILLED"))</f>
        <v>BAKER, BRAD</v>
      </c>
      <c r="J255" s="201" t="str" cm="1">
        <f t="array" ref="J255">IF(RIGHT(_xlfn._xlws.FILTER(Sheet1!M$2:M$333,(Sheet1!M$2:M$333=$E255)+(Sheet1!M$2:M$333=$E256),""),4)="POST",CONCATENATE(_xlfn._xlws.FILTER(Sheet1!$A$2:$A$333,(Sheet1!M$2:M$333=$E255)+(Sheet1!M$2:M$333=$E256),""),"-","POST"),_xlfn._xlws.FILTER(Sheet1!$A$2:$A$333,(Sheet1!M$2:M$333=$E255)+(Sheet1!M$2:M$333=$E256),"UNFILLED"))</f>
        <v>BAKER, BRAD</v>
      </c>
      <c r="K255" s="201" t="str" cm="1">
        <f t="array" ref="K255">IF(RIGHT(_xlfn._xlws.FILTER(Sheet1!$O$2:$O$333,(Sheet1!$O$2:$O$333=$E255)+(Sheet1!$O$2:$O$333=$E256),""),4)="POST",CONCATENATE(_xlfn._xlws.FILTER(Sheet1!$A$2:$A$333,(Sheet1!$O$2:$O$333=$E255)+(Sheet1!$O$2:$O$333=$E256),""),"-","POST"),_xlfn._xlws.FILTER(Sheet1!$A$2:$A$333,(Sheet1!$O$2:$O$333=$E255)+(Sheet1!$O$2:$O$333=$E256),"UNFILLED"))</f>
        <v>BAKER, BRAD</v>
      </c>
      <c r="L255" s="201" t="str" cm="1">
        <f t="array" ref="L255">IF(RIGHT(_xlfn._xlws.FILTER(Sheet1!$Q$2:$Q$333,(Sheet1!$Q$2:$Q$333=$E255)+(Sheet1!$Q$2:$Q$333=$E256),""),4)="POST",CONCATENATE(_xlfn._xlws.FILTER(Sheet1!$A$2:$A$333,(Sheet1!$Q$2:$Q$333=$E255)+(Sheet1!$Q$2:$Q$333=$E256),""),"-","POST"),_xlfn._xlws.FILTER(Sheet1!$A$2:$A$333,(Sheet1!$Q$2:$Q$333=$E255)+(Sheet1!$Q$2:$Q$333=$E256),"UNFILLED"))</f>
        <v>BAKER, BRAD</v>
      </c>
      <c r="M255" s="201" t="str" cm="1">
        <f t="array" ref="M255">IF(RIGHT(_xlfn._xlws.FILTER(Sheet1!$S$2:$S$333,(Sheet1!$S$2:$S$333=$E255)+(Sheet1!$S$2:$S$333=$E256),""),4)="POST",CONCATENATE(_xlfn._xlws.FILTER(Sheet1!$A$2:$A$333,(Sheet1!$S$2:$S$333=$E255)+(Sheet1!$S$2:$S$333=$E256),""),"-","POST"),_xlfn._xlws.FILTER(Sheet1!$A$2:$A$333,(Sheet1!$S$2:$S$333=$E255)+(Sheet1!$S$2:$S$333=$E256),"UNFILLED"))</f>
        <v>GREY, JON</v>
      </c>
    </row>
    <row r="256" spans="1:30" ht="20.25" customHeight="1" x14ac:dyDescent="0.4">
      <c r="A256" s="153"/>
      <c r="C256" s="412"/>
      <c r="D256" s="413"/>
      <c r="E256" s="161" t="str">
        <f>_xlfn.CONCAT(E255,"-","POST")</f>
        <v>ACD2-PB-POST</v>
      </c>
      <c r="F256" s="431"/>
      <c r="G256" s="202"/>
      <c r="H256" s="202"/>
      <c r="I256" s="202"/>
      <c r="J256" s="202"/>
      <c r="K256" s="202"/>
      <c r="L256" s="202"/>
      <c r="M256" s="202"/>
    </row>
    <row r="257" spans="1:13" ht="20.25" customHeight="1" x14ac:dyDescent="0.4">
      <c r="A257" s="153"/>
      <c r="C257" s="412"/>
      <c r="D257" s="413"/>
      <c r="E257" s="161" t="s">
        <v>177</v>
      </c>
      <c r="F257" s="430" t="s">
        <v>178</v>
      </c>
      <c r="G257" s="201" t="str" cm="1">
        <f t="array" ref="G257">IF(RIGHT(_xlfn._xlws.FILTER(Sheet1!$G$2:$G$333,(Sheet1!$G$2:$G$333=$E257)+(Sheet1!$G$2:$G$333=$E258),""),4)="POST",CONCATENATE(_xlfn._xlws.FILTER(Sheet1!$A$2:$A$333,(Sheet1!$G$2:$G$333=$E257)+(Sheet1!$G$2:$G$333=$E258),""),"-","POST"),_xlfn._xlws.FILTER(Sheet1!$A$2:$A$333,(Sheet1!$G$2:$G$333=$E257)+(Sheet1!$G$2:$G$333=$E258),"UNFILLED"))</f>
        <v>DUNCAN, CRAIG</v>
      </c>
      <c r="H257" s="201" t="str" cm="1">
        <f t="array" ref="H257">IF(RIGHT(_xlfn._xlws.FILTER(Sheet1!$I$2:$I$333,(Sheet1!$I$2:$I$333=$E257)+(Sheet1!$I$2:$I$333=$E258),""),4)="POST",CONCATENATE(_xlfn._xlws.FILTER(Sheet1!$A$2:$A$333,(Sheet1!$I$2:$I$333=$E257)+(Sheet1!$I$2:$I$333=$E258),""),"-","POST"),_xlfn._xlws.FILTER(Sheet1!$A$2:$A$333,(Sheet1!$I$2:$I$333=$E257)+(Sheet1!$I$2:$I$333=$E258),"UNFILLED"))</f>
        <v>DUNCAN, CRAIG</v>
      </c>
      <c r="I257" s="201" t="str" cm="1">
        <f t="array" ref="I257">IF(RIGHT(_xlfn._xlws.FILTER(Sheet1!$K$2:$K$333,(Sheet1!$K$2:$K$333=$E257)+(Sheet1!$K$2:$K$333=$E258),""),4)="POST",CONCATENATE(_xlfn._xlws.FILTER(Sheet1!$A$2:$A$333,(Sheet1!$K$2:$K$333=$E257)+(Sheet1!$K$2:$K$333=$E258),""),"-","POST"),_xlfn._xlws.FILTER(Sheet1!$A$2:$A$333,(Sheet1!$K$2:$K$333=$E257)+(Sheet1!$K$2:$K$333=$E258),"UNFILLED"))</f>
        <v>MASTERSON, VICKI</v>
      </c>
      <c r="J257" s="201" t="str" cm="1">
        <f t="array" ref="J257">IF(RIGHT(_xlfn._xlws.FILTER(Sheet1!M$2:M$333,(Sheet1!M$2:M$333=$E257)+(Sheet1!M$2:M$333=$E258),""),4)="POST",CONCATENATE(_xlfn._xlws.FILTER(Sheet1!$A$2:$A$333,(Sheet1!M$2:M$333=$E257)+(Sheet1!M$2:M$333=$E258),""),"-","POST"),_xlfn._xlws.FILTER(Sheet1!$A$2:$A$333,(Sheet1!M$2:M$333=$E257)+(Sheet1!M$2:M$333=$E258),"UNFILLED"))</f>
        <v>MASTERSON, VICKI</v>
      </c>
      <c r="K257" s="201" t="str" cm="1">
        <f t="array" ref="K257">IF(RIGHT(_xlfn._xlws.FILTER(Sheet1!$O$2:$O$333,(Sheet1!$O$2:$O$333=$E257)+(Sheet1!$O$2:$O$333=$E258),""),4)="POST",CONCATENATE(_xlfn._xlws.FILTER(Sheet1!$A$2:$A$333,(Sheet1!$O$2:$O$333=$E257)+(Sheet1!$O$2:$O$333=$E258),""),"-","POST"),_xlfn._xlws.FILTER(Sheet1!$A$2:$A$333,(Sheet1!$O$2:$O$333=$E257)+(Sheet1!$O$2:$O$333=$E258),"UNFILLED"))</f>
        <v>BALES, BRIAN</v>
      </c>
      <c r="L257" s="201" t="str" cm="1">
        <f t="array" ref="L257">IF(RIGHT(_xlfn._xlws.FILTER(Sheet1!$Q$2:$Q$333,(Sheet1!$Q$2:$Q$333=$E257)+(Sheet1!$Q$2:$Q$333=$E258),""),4)="POST",CONCATENATE(_xlfn._xlws.FILTER(Sheet1!$A$2:$A$333,(Sheet1!$Q$2:$Q$333=$E257)+(Sheet1!$Q$2:$Q$333=$E258),""),"-","POST"),_xlfn._xlws.FILTER(Sheet1!$A$2:$A$333,(Sheet1!$Q$2:$Q$333=$E257)+(Sheet1!$Q$2:$Q$333=$E258),"UNFILLED"))</f>
        <v>BALES, BRIAN</v>
      </c>
      <c r="M257" s="201" t="str" cm="1">
        <f t="array" ref="M257">IF(RIGHT(_xlfn._xlws.FILTER(Sheet1!$S$2:$S$333,(Sheet1!$S$2:$S$333=$E257)+(Sheet1!$S$2:$S$333=$E258),""),4)="POST",CONCATENATE(_xlfn._xlws.FILTER(Sheet1!$A$2:$A$333,(Sheet1!$S$2:$S$333=$E257)+(Sheet1!$S$2:$S$333=$E258),""),"-","POST"),_xlfn._xlws.FILTER(Sheet1!$A$2:$A$333,(Sheet1!$S$2:$S$333=$E257)+(Sheet1!$S$2:$S$333=$E258),"UNFILLED"))</f>
        <v>BALES, BRIAN</v>
      </c>
    </row>
    <row r="258" spans="1:13" ht="20.25" customHeight="1" x14ac:dyDescent="0.4">
      <c r="A258" s="153"/>
      <c r="C258" s="412"/>
      <c r="D258" s="413"/>
      <c r="E258" s="161" t="str">
        <f>_xlfn.CONCAT(E257,"-","POST")</f>
        <v>ACD1-DB-POST</v>
      </c>
      <c r="F258" s="431"/>
      <c r="G258" s="202"/>
      <c r="H258" s="202"/>
      <c r="I258" s="202"/>
      <c r="J258" s="202"/>
      <c r="K258" s="202"/>
      <c r="L258" s="202"/>
      <c r="M258" s="202"/>
    </row>
    <row r="259" spans="1:13" ht="20.25" customHeight="1" x14ac:dyDescent="0.4">
      <c r="A259" s="153"/>
      <c r="C259" s="412"/>
      <c r="D259" s="413"/>
      <c r="E259" s="161" t="s">
        <v>179</v>
      </c>
      <c r="F259" s="430" t="s">
        <v>180</v>
      </c>
      <c r="G259" s="201" t="str" cm="1">
        <f t="array" ref="G259">IF(RIGHT(_xlfn._xlws.FILTER(Sheet1!$G$2:$G$333,(Sheet1!$G$2:$G$333=$E259)+(Sheet1!$G$2:$G$333=$E260),""),4)="POST",CONCATENATE(_xlfn._xlws.FILTER(Sheet1!$A$2:$A$333,(Sheet1!$G$2:$G$333=$E259)+(Sheet1!$G$2:$G$333=$E260),""),"-","POST"),_xlfn._xlws.FILTER(Sheet1!$A$2:$A$333,(Sheet1!$G$2:$G$333=$E259)+(Sheet1!$G$2:$G$333=$E260),"UNFILLED"))</f>
        <v>RABARA, BILL</v>
      </c>
      <c r="H259" s="201" t="str" cm="1">
        <f t="array" ref="H259">IF(RIGHT(_xlfn._xlws.FILTER(Sheet1!$I$2:$I$333,(Sheet1!$I$2:$I$333=$E259)+(Sheet1!$I$2:$I$333=$E260),""),4)="POST",CONCATENATE(_xlfn._xlws.FILTER(Sheet1!$A$2:$A$333,(Sheet1!$I$2:$I$333=$E259)+(Sheet1!$I$2:$I$333=$E260),""),"-","POST"),_xlfn._xlws.FILTER(Sheet1!$A$2:$A$333,(Sheet1!$I$2:$I$333=$E259)+(Sheet1!$I$2:$I$333=$E260),"UNFILLED"))</f>
        <v>RABARA, BILL</v>
      </c>
      <c r="I259" s="201" t="str" cm="1">
        <f t="array" ref="I259">IF(RIGHT(_xlfn._xlws.FILTER(Sheet1!$K$2:$K$333,(Sheet1!$K$2:$K$333=$E259)+(Sheet1!$K$2:$K$333=$E260),""),4)="POST",CONCATENATE(_xlfn._xlws.FILTER(Sheet1!$A$2:$A$333,(Sheet1!$K$2:$K$333=$E259)+(Sheet1!$K$2:$K$333=$E260),""),"-","POST"),_xlfn._xlws.FILTER(Sheet1!$A$2:$A$333,(Sheet1!$K$2:$K$333=$E259)+(Sheet1!$K$2:$K$333=$E260),"UNFILLED"))</f>
        <v>PIETSCH, KYLE</v>
      </c>
      <c r="J259" s="201" t="str" cm="1">
        <f t="array" ref="J259">IF(RIGHT(_xlfn._xlws.FILTER(Sheet1!M$2:M$333,(Sheet1!M$2:M$333=$E259)+(Sheet1!M$2:M$333=$E260),""),4)="POST",CONCATENATE(_xlfn._xlws.FILTER(Sheet1!$A$2:$A$333,(Sheet1!M$2:M$333=$E259)+(Sheet1!M$2:M$333=$E260),""),"-","POST"),_xlfn._xlws.FILTER(Sheet1!$A$2:$A$333,(Sheet1!M$2:M$333=$E259)+(Sheet1!M$2:M$333=$E260),"UNFILLED"))</f>
        <v>RABARA, BILL</v>
      </c>
      <c r="K259" s="201" t="str" cm="1">
        <f t="array" ref="K259">IF(RIGHT(_xlfn._xlws.FILTER(Sheet1!$O$2:$O$333,(Sheet1!$O$2:$O$333=$E259)+(Sheet1!$O$2:$O$333=$E260),""),4)="POST",CONCATENATE(_xlfn._xlws.FILTER(Sheet1!$A$2:$A$333,(Sheet1!$O$2:$O$333=$E259)+(Sheet1!$O$2:$O$333=$E260),""),"-","POST"),_xlfn._xlws.FILTER(Sheet1!$A$2:$A$333,(Sheet1!$O$2:$O$333=$E259)+(Sheet1!$O$2:$O$333=$E260),"UNFILLED"))</f>
        <v>DUNCAN, CRAIG</v>
      </c>
      <c r="L259" s="201" t="str" cm="1">
        <f t="array" ref="L259">IF(RIGHT(_xlfn._xlws.FILTER(Sheet1!$Q$2:$Q$333,(Sheet1!$Q$2:$Q$333=$E259)+(Sheet1!$Q$2:$Q$333=$E260),""),4)="POST",CONCATENATE(_xlfn._xlws.FILTER(Sheet1!$A$2:$A$333,(Sheet1!$Q$2:$Q$333=$E259)+(Sheet1!$Q$2:$Q$333=$E260),""),"-","POST"),_xlfn._xlws.FILTER(Sheet1!$A$2:$A$333,(Sheet1!$Q$2:$Q$333=$E259)+(Sheet1!$Q$2:$Q$333=$E260),"UNFILLED"))</f>
        <v>DUNCAN, CRAIG</v>
      </c>
      <c r="M259" s="201" t="str" cm="1">
        <f t="array" ref="M259">IF(RIGHT(_xlfn._xlws.FILTER(Sheet1!$S$2:$S$333,(Sheet1!$S$2:$S$333=$E259)+(Sheet1!$S$2:$S$333=$E260),""),4)="POST",CONCATENATE(_xlfn._xlws.FILTER(Sheet1!$A$2:$A$333,(Sheet1!$S$2:$S$333=$E259)+(Sheet1!$S$2:$S$333=$E260),""),"-","POST"),_xlfn._xlws.FILTER(Sheet1!$A$2:$A$333,(Sheet1!$S$2:$S$333=$E259)+(Sheet1!$S$2:$S$333=$E260),"UNFILLED"))</f>
        <v>RUBERT, JIM</v>
      </c>
    </row>
    <row r="260" spans="1:13" ht="20.25" customHeight="1" x14ac:dyDescent="0.4">
      <c r="A260" s="153"/>
      <c r="C260" s="412"/>
      <c r="D260" s="413"/>
      <c r="E260" s="161" t="str">
        <f>_xlfn.CONCAT(E259,"-","POST")</f>
        <v>ACD2-DB-POST</v>
      </c>
      <c r="F260" s="431"/>
      <c r="G260" s="202"/>
      <c r="H260" s="202"/>
      <c r="I260" s="202"/>
      <c r="J260" s="202"/>
      <c r="K260" s="202"/>
      <c r="L260" s="202"/>
      <c r="M260" s="202"/>
    </row>
    <row r="261" spans="1:13" ht="20.25" customHeight="1" x14ac:dyDescent="0.4">
      <c r="A261" s="153"/>
      <c r="C261" s="412"/>
      <c r="D261" s="413"/>
      <c r="E261" s="161" t="s">
        <v>181</v>
      </c>
      <c r="F261" s="430" t="s">
        <v>182</v>
      </c>
      <c r="G261" s="201" t="str" cm="1">
        <f t="array" ref="G261">IF(RIGHT(_xlfn._xlws.FILTER(Sheet1!$G$2:$G$333,(Sheet1!$G$2:$G$333=$E261)+(Sheet1!$G$2:$G$333=$E262),""),4)="POST",CONCATENATE(_xlfn._xlws.FILTER(Sheet1!$A$2:$A$333,(Sheet1!$G$2:$G$333=$E261)+(Sheet1!$G$2:$G$333=$E262),""),"-","POST"),_xlfn._xlws.FILTER(Sheet1!$A$2:$A$333,(Sheet1!$G$2:$G$333=$E261)+(Sheet1!$G$2:$G$333=$E262),"UNFILLED"))</f>
        <v>STACY, KEVIN</v>
      </c>
      <c r="H261" s="201" t="str" cm="1">
        <f t="array" ref="H261">IF(RIGHT(_xlfn._xlws.FILTER(Sheet1!$I$2:$I$333,(Sheet1!$I$2:$I$333=$E261)+(Sheet1!$I$2:$I$333=$E262),""),4)="POST",CONCATENATE(_xlfn._xlws.FILTER(Sheet1!$A$2:$A$333,(Sheet1!$I$2:$I$333=$E261)+(Sheet1!$I$2:$I$333=$E262),""),"-","POST"),_xlfn._xlws.FILTER(Sheet1!$A$2:$A$333,(Sheet1!$I$2:$I$333=$E261)+(Sheet1!$I$2:$I$333=$E262),"UNFILLED"))</f>
        <v>STACY, KEVIN</v>
      </c>
      <c r="I261" s="201" t="str" cm="1">
        <f t="array" ref="I261">IF(RIGHT(_xlfn._xlws.FILTER(Sheet1!$K$2:$K$333,(Sheet1!$K$2:$K$333=$E261)+(Sheet1!$K$2:$K$333=$E262),""),4)="POST",CONCATENATE(_xlfn._xlws.FILTER(Sheet1!$A$2:$A$333,(Sheet1!$K$2:$K$333=$E261)+(Sheet1!$K$2:$K$333=$E262),""),"-","POST"),_xlfn._xlws.FILTER(Sheet1!$A$2:$A$333,(Sheet1!$K$2:$K$333=$E261)+(Sheet1!$K$2:$K$333=$E262),"UNFILLED"))</f>
        <v>DUNCAN, CRAIG</v>
      </c>
      <c r="J261" s="201" t="str" cm="1">
        <f t="array" ref="J261">IF(RIGHT(_xlfn._xlws.FILTER(Sheet1!M$2:M$333,(Sheet1!M$2:M$333=$E261)+(Sheet1!M$2:M$333=$E262),""),4)="POST",CONCATENATE(_xlfn._xlws.FILTER(Sheet1!$A$2:$A$333,(Sheet1!M$2:M$333=$E261)+(Sheet1!M$2:M$333=$E262),""),"-","POST"),_xlfn._xlws.FILTER(Sheet1!$A$2:$A$333,(Sheet1!M$2:M$333=$E261)+(Sheet1!M$2:M$333=$E262),"UNFILLED"))</f>
        <v>DUNCAN, CRAIG</v>
      </c>
      <c r="K261" s="201" t="str" cm="1">
        <f t="array" ref="K261">IF(RIGHT(_xlfn._xlws.FILTER(Sheet1!$O$2:$O$333,(Sheet1!$O$2:$O$333=$E261)+(Sheet1!$O$2:$O$333=$E262),""),4)="POST",CONCATENATE(_xlfn._xlws.FILTER(Sheet1!$A$2:$A$333,(Sheet1!$O$2:$O$333=$E261)+(Sheet1!$O$2:$O$333=$E262),""),"-","POST"),_xlfn._xlws.FILTER(Sheet1!$A$2:$A$333,(Sheet1!$O$2:$O$333=$E261)+(Sheet1!$O$2:$O$333=$E262),"UNFILLED"))</f>
        <v>INCARNATO, PATTI</v>
      </c>
      <c r="L261" s="201" t="str" cm="1">
        <f t="array" ref="L261">IF(RIGHT(_xlfn._xlws.FILTER(Sheet1!$Q$2:$Q$333,(Sheet1!$Q$2:$Q$333=$E261)+(Sheet1!$Q$2:$Q$333=$E262),""),4)="POST",CONCATENATE(_xlfn._xlws.FILTER(Sheet1!$A$2:$A$333,(Sheet1!$Q$2:$Q$333=$E261)+(Sheet1!$Q$2:$Q$333=$E262),""),"-","POST"),_xlfn._xlws.FILTER(Sheet1!$A$2:$A$333,(Sheet1!$Q$2:$Q$333=$E261)+(Sheet1!$Q$2:$Q$333=$E262),"UNFILLED"))</f>
        <v>INCARNATO, PATTI</v>
      </c>
      <c r="M261" s="201" t="str" cm="1">
        <f t="array" ref="M261">IF(RIGHT(_xlfn._xlws.FILTER(Sheet1!$S$2:$S$333,(Sheet1!$S$2:$S$333=$E261)+(Sheet1!$S$2:$S$333=$E262),""),4)="POST",CONCATENATE(_xlfn._xlws.FILTER(Sheet1!$A$2:$A$333,(Sheet1!$S$2:$S$333=$E261)+(Sheet1!$S$2:$S$333=$E262),""),"-","POST"),_xlfn._xlws.FILTER(Sheet1!$A$2:$A$333,(Sheet1!$S$2:$S$333=$E261)+(Sheet1!$S$2:$S$333=$E262),"UNFILLED"))</f>
        <v>INCARNATO, PATTI</v>
      </c>
    </row>
    <row r="262" spans="1:13" ht="20.25" customHeight="1" x14ac:dyDescent="0.4">
      <c r="A262" s="153"/>
      <c r="C262" s="412"/>
      <c r="D262" s="413"/>
      <c r="E262" s="161" t="str">
        <f>_xlfn.CONCAT(E261,"-","POST")</f>
        <v>ACD1-LK-POST</v>
      </c>
      <c r="F262" s="431"/>
      <c r="G262" s="202"/>
      <c r="H262" s="202"/>
      <c r="I262" s="202"/>
      <c r="J262" s="202"/>
      <c r="K262" s="202"/>
      <c r="L262" s="202"/>
      <c r="M262" s="202"/>
    </row>
    <row r="263" spans="1:13" ht="20.25" customHeight="1" x14ac:dyDescent="0.4">
      <c r="A263" s="153"/>
      <c r="C263" s="412"/>
      <c r="D263" s="413"/>
      <c r="E263" s="161" t="s">
        <v>183</v>
      </c>
      <c r="F263" s="430" t="s">
        <v>184</v>
      </c>
      <c r="G263" s="201" t="str" cm="1">
        <f t="array" ref="G263">IF(RIGHT(_xlfn._xlws.FILTER(Sheet1!$G$2:$G$333,(Sheet1!$G$2:$G$333=$E263)+(Sheet1!$G$2:$G$333=$E264),""),4)="POST",CONCATENATE(_xlfn._xlws.FILTER(Sheet1!$A$2:$A$333,(Sheet1!$G$2:$G$333=$E263)+(Sheet1!$G$2:$G$333=$E264),""),"-","POST"),_xlfn._xlws.FILTER(Sheet1!$A$2:$A$333,(Sheet1!$G$2:$G$333=$E263)+(Sheet1!$G$2:$G$333=$E264),"UNFILLED"))</f>
        <v>SCOTT, CLIFF</v>
      </c>
      <c r="H263" s="201" t="str" cm="1">
        <f t="array" ref="H263">IF(RIGHT(_xlfn._xlws.FILTER(Sheet1!$I$2:$I$333,(Sheet1!$I$2:$I$333=$E263)+(Sheet1!$I$2:$I$333=$E264),""),4)="POST",CONCATENATE(_xlfn._xlws.FILTER(Sheet1!$A$2:$A$333,(Sheet1!$I$2:$I$333=$E263)+(Sheet1!$I$2:$I$333=$E264),""),"-","POST"),_xlfn._xlws.FILTER(Sheet1!$A$2:$A$333,(Sheet1!$I$2:$I$333=$E263)+(Sheet1!$I$2:$I$333=$E264),"UNFILLED"))</f>
        <v>HOOD, JORDAN</v>
      </c>
      <c r="I263" s="201" t="str" cm="1">
        <f t="array" ref="I263">IF(RIGHT(_xlfn._xlws.FILTER(Sheet1!$K$2:$K$333,(Sheet1!$K$2:$K$333=$E263)+(Sheet1!$K$2:$K$333=$E264),""),4)="POST",CONCATENATE(_xlfn._xlws.FILTER(Sheet1!$A$2:$A$333,(Sheet1!$K$2:$K$333=$E263)+(Sheet1!$K$2:$K$333=$E264),""),"-","POST"),_xlfn._xlws.FILTER(Sheet1!$A$2:$A$333,(Sheet1!$K$2:$K$333=$E263)+(Sheet1!$K$2:$K$333=$E264),"UNFILLED"))</f>
        <v>HOOD, JORDAN</v>
      </c>
      <c r="J263" s="201" t="str" cm="1">
        <f t="array" ref="J263">IF(RIGHT(_xlfn._xlws.FILTER(Sheet1!M$2:M$333,(Sheet1!M$2:M$333=$E263)+(Sheet1!M$2:M$333=$E264),""),4)="POST",CONCATENATE(_xlfn._xlws.FILTER(Sheet1!$A$2:$A$333,(Sheet1!M$2:M$333=$E263)+(Sheet1!M$2:M$333=$E264),""),"-","POST"),_xlfn._xlws.FILTER(Sheet1!$A$2:$A$333,(Sheet1!M$2:M$333=$E263)+(Sheet1!M$2:M$333=$E264),"UNFILLED"))</f>
        <v>HOOD, JORDAN</v>
      </c>
      <c r="K263" s="201" t="str" cm="1">
        <f t="array" ref="K263">IF(RIGHT(_xlfn._xlws.FILTER(Sheet1!$O$2:$O$333,(Sheet1!$O$2:$O$333=$E263)+(Sheet1!$O$2:$O$333=$E264),""),4)="POST",CONCATENATE(_xlfn._xlws.FILTER(Sheet1!$A$2:$A$333,(Sheet1!$O$2:$O$333=$E263)+(Sheet1!$O$2:$O$333=$E264),""),"-","POST"),_xlfn._xlws.FILTER(Sheet1!$A$2:$A$333,(Sheet1!$O$2:$O$333=$E263)+(Sheet1!$O$2:$O$333=$E264),"UNFILLED"))</f>
        <v>HOUSE, ROYCE</v>
      </c>
      <c r="L263" s="201" t="str" cm="1">
        <f t="array" ref="L263">IF(RIGHT(_xlfn._xlws.FILTER(Sheet1!$Q$2:$Q$333,(Sheet1!$Q$2:$Q$333=$E263)+(Sheet1!$Q$2:$Q$333=$E264),""),4)="POST",CONCATENATE(_xlfn._xlws.FILTER(Sheet1!$A$2:$A$333,(Sheet1!$Q$2:$Q$333=$E263)+(Sheet1!$Q$2:$Q$333=$E264),""),"-","POST"),_xlfn._xlws.FILTER(Sheet1!$A$2:$A$333,(Sheet1!$Q$2:$Q$333=$E263)+(Sheet1!$Q$2:$Q$333=$E264),"UNFILLED"))</f>
        <v>HOUSE, ROYCE</v>
      </c>
      <c r="M263" s="201" t="str" cm="1">
        <f t="array" ref="M263">IF(RIGHT(_xlfn._xlws.FILTER(Sheet1!$S$2:$S$333,(Sheet1!$S$2:$S$333=$E263)+(Sheet1!$S$2:$S$333=$E264),""),4)="POST",CONCATENATE(_xlfn._xlws.FILTER(Sheet1!$A$2:$A$333,(Sheet1!$S$2:$S$333=$E263)+(Sheet1!$S$2:$S$333=$E264),""),"-","POST"),_xlfn._xlws.FILTER(Sheet1!$A$2:$A$333,(Sheet1!$S$2:$S$333=$E263)+(Sheet1!$S$2:$S$333=$E264),"UNFILLED"))</f>
        <v>HOUSE, ROYCE</v>
      </c>
    </row>
    <row r="264" spans="1:13" ht="20.25" customHeight="1" x14ac:dyDescent="0.4">
      <c r="A264" s="153"/>
      <c r="C264" s="412"/>
      <c r="D264" s="413"/>
      <c r="E264" s="161" t="str">
        <f>_xlfn.CONCAT(E263,"-","POST")</f>
        <v>ACD2-LK-POST</v>
      </c>
      <c r="F264" s="431"/>
      <c r="G264" s="202"/>
      <c r="H264" s="202"/>
      <c r="I264" s="202"/>
      <c r="J264" s="202"/>
      <c r="K264" s="202"/>
      <c r="L264" s="202"/>
      <c r="M264" s="202"/>
    </row>
    <row r="265" spans="1:13" ht="20.25" customHeight="1" x14ac:dyDescent="0.4">
      <c r="A265" s="153"/>
      <c r="C265" s="412"/>
      <c r="D265" s="413"/>
      <c r="E265" s="161" t="s">
        <v>185</v>
      </c>
      <c r="F265" s="430" t="s">
        <v>186</v>
      </c>
      <c r="G265" s="201" t="str" cm="1">
        <f t="array" ref="G265">IF(RIGHT(_xlfn._xlws.FILTER(Sheet1!$G$2:$G$333,(Sheet1!$G$2:$G$333=$E265)+(Sheet1!$G$2:$G$333=$E266),""),4)="POST",CONCATENATE(_xlfn._xlws.FILTER(Sheet1!$A$2:$A$333,(Sheet1!$G$2:$G$333=$E265)+(Sheet1!$G$2:$G$333=$E266),""),"-","POST"),_xlfn._xlws.FILTER(Sheet1!$A$2:$A$333,(Sheet1!$G$2:$G$333=$E265)+(Sheet1!$G$2:$G$333=$E266),"UNFILLED"))</f>
        <v>JOHNSTON, STEVE</v>
      </c>
      <c r="H265" s="201" t="str" cm="1">
        <f t="array" ref="H265">IF(RIGHT(_xlfn._xlws.FILTER(Sheet1!$I$2:$I$333,(Sheet1!$I$2:$I$333=$E265)+(Sheet1!$I$2:$I$333=$E266),""),4)="POST",CONCATENATE(_xlfn._xlws.FILTER(Sheet1!$A$2:$A$333,(Sheet1!$I$2:$I$333=$E265)+(Sheet1!$I$2:$I$333=$E266),""),"-","POST"),_xlfn._xlws.FILTER(Sheet1!$A$2:$A$333,(Sheet1!$I$2:$I$333=$E265)+(Sheet1!$I$2:$I$333=$E266),"UNFILLED"))</f>
        <v>EASTWOOD, JASON</v>
      </c>
      <c r="I265" s="201" t="str" cm="1">
        <f t="array" ref="I265">IF(RIGHT(_xlfn._xlws.FILTER(Sheet1!$K$2:$K$333,(Sheet1!$K$2:$K$333=$E265)+(Sheet1!$K$2:$K$333=$E266),""),4)="POST",CONCATENATE(_xlfn._xlws.FILTER(Sheet1!$A$2:$A$333,(Sheet1!$K$2:$K$333=$E265)+(Sheet1!$K$2:$K$333=$E266),""),"-","POST"),_xlfn._xlws.FILTER(Sheet1!$A$2:$A$333,(Sheet1!$K$2:$K$333=$E265)+(Sheet1!$K$2:$K$333=$E266),"UNFILLED"))</f>
        <v>EASTWOOD, JASON</v>
      </c>
      <c r="J265" s="201" t="str" cm="1">
        <f t="array" ref="J265">IF(RIGHT(_xlfn._xlws.FILTER(Sheet1!M$2:M$333,(Sheet1!M$2:M$333=$E265)+(Sheet1!M$2:M$333=$E266),""),4)="POST",CONCATENATE(_xlfn._xlws.FILTER(Sheet1!$A$2:$A$333,(Sheet1!M$2:M$333=$E265)+(Sheet1!M$2:M$333=$E266),""),"-","POST"),_xlfn._xlws.FILTER(Sheet1!$A$2:$A$333,(Sheet1!M$2:M$333=$E265)+(Sheet1!M$2:M$333=$E266),"UNFILLED"))</f>
        <v>EASTWOOD, JASON</v>
      </c>
      <c r="K265" s="201" t="str" cm="1">
        <f t="array" ref="K265">IF(RIGHT(_xlfn._xlws.FILTER(Sheet1!$O$2:$O$333,(Sheet1!$O$2:$O$333=$E265)+(Sheet1!$O$2:$O$333=$E266),""),4)="POST",CONCATENATE(_xlfn._xlws.FILTER(Sheet1!$A$2:$A$333,(Sheet1!$O$2:$O$333=$E265)+(Sheet1!$O$2:$O$333=$E266),""),"-","POST"),_xlfn._xlws.FILTER(Sheet1!$A$2:$A$333,(Sheet1!$O$2:$O$333=$E265)+(Sheet1!$O$2:$O$333=$E266),"UNFILLED"))</f>
        <v>JOHNSTON, STEVE</v>
      </c>
      <c r="L265" s="201" t="str" cm="1">
        <f t="array" ref="L265">IF(RIGHT(_xlfn._xlws.FILTER(Sheet1!$Q$2:$Q$333,(Sheet1!$Q$2:$Q$333=$E265)+(Sheet1!$Q$2:$Q$333=$E266),""),4)="POST",CONCATENATE(_xlfn._xlws.FILTER(Sheet1!$A$2:$A$333,(Sheet1!$Q$2:$Q$333=$E265)+(Sheet1!$Q$2:$Q$333=$E266),""),"-","POST"),_xlfn._xlws.FILTER(Sheet1!$A$2:$A$333,(Sheet1!$Q$2:$Q$333=$E265)+(Sheet1!$Q$2:$Q$333=$E266),"UNFILLED"))</f>
        <v>JOHNSTON, STEVE</v>
      </c>
      <c r="M265" s="201" t="str" cm="1">
        <f t="array" ref="M265">IF(RIGHT(_xlfn._xlws.FILTER(Sheet1!$S$2:$S$333,(Sheet1!$S$2:$S$333=$E265)+(Sheet1!$S$2:$S$333=$E266),""),4)="POST",CONCATENATE(_xlfn._xlws.FILTER(Sheet1!$A$2:$A$333,(Sheet1!$S$2:$S$333=$E265)+(Sheet1!$S$2:$S$333=$E266),""),"-","POST"),_xlfn._xlws.FILTER(Sheet1!$A$2:$A$333,(Sheet1!$S$2:$S$333=$E265)+(Sheet1!$S$2:$S$333=$E266),"UNFILLED"))</f>
        <v>JOHNSTON, STEVE</v>
      </c>
    </row>
    <row r="266" spans="1:13" ht="20.25" customHeight="1" x14ac:dyDescent="0.4">
      <c r="A266" s="153"/>
      <c r="C266" s="412"/>
      <c r="D266" s="413"/>
      <c r="E266" s="161" t="str">
        <f>_xlfn.CONCAT(E265,"-","POST")</f>
        <v>ACD1-MW-POST</v>
      </c>
      <c r="F266" s="431"/>
      <c r="G266" s="202"/>
      <c r="H266" s="202"/>
      <c r="I266" s="202"/>
      <c r="J266" s="202"/>
      <c r="K266" s="202"/>
      <c r="L266" s="202"/>
      <c r="M266" s="202"/>
    </row>
    <row r="267" spans="1:13" ht="20.25" customHeight="1" x14ac:dyDescent="0.4">
      <c r="A267" s="153"/>
      <c r="C267" s="434"/>
      <c r="D267" s="435"/>
      <c r="E267" s="161" t="s">
        <v>187</v>
      </c>
      <c r="F267" s="430" t="s">
        <v>188</v>
      </c>
      <c r="G267" s="201" t="str" cm="1">
        <f t="array" ref="G267">IF(RIGHT(_xlfn._xlws.FILTER(Sheet1!$G$2:$G$333,(Sheet1!$G$2:$G$333=$E267)+(Sheet1!$G$2:$G$333=$E268),""),4)="POST",CONCATENATE(_xlfn._xlws.FILTER(Sheet1!$A$2:$A$333,(Sheet1!$G$2:$G$333=$E267)+(Sheet1!$G$2:$G$333=$E268),""),"-","POST"),_xlfn._xlws.FILTER(Sheet1!$A$2:$A$333,(Sheet1!$G$2:$G$333=$E267)+(Sheet1!$G$2:$G$333=$E268),"UNFILLED"))</f>
        <v>MOGGIO, WILLIAM</v>
      </c>
      <c r="H267" s="201" t="str" cm="1">
        <f t="array" ref="H267">IF(RIGHT(_xlfn._xlws.FILTER(Sheet1!$I$2:$I$333,(Sheet1!$I$2:$I$333=$E267)+(Sheet1!$I$2:$I$333=$E268),""),4)="POST",CONCATENATE(_xlfn._xlws.FILTER(Sheet1!$A$2:$A$333,(Sheet1!$I$2:$I$333=$E267)+(Sheet1!$I$2:$I$333=$E268),""),"-","POST"),_xlfn._xlws.FILTER(Sheet1!$A$2:$A$333,(Sheet1!$I$2:$I$333=$E267)+(Sheet1!$I$2:$I$333=$E268),"UNFILLED"))</f>
        <v>SPEAKS, JASON</v>
      </c>
      <c r="I267" s="201" t="str" cm="1">
        <f t="array" ref="I267">IF(RIGHT(_xlfn._xlws.FILTER(Sheet1!$K$2:$K$333,(Sheet1!$K$2:$K$333=$E267)+(Sheet1!$K$2:$K$333=$E268),""),4)="POST",CONCATENATE(_xlfn._xlws.FILTER(Sheet1!$A$2:$A$333,(Sheet1!$K$2:$K$333=$E267)+(Sheet1!$K$2:$K$333=$E268),""),"-","POST"),_xlfn._xlws.FILTER(Sheet1!$A$2:$A$333,(Sheet1!$K$2:$K$333=$E267)+(Sheet1!$K$2:$K$333=$E268),"UNFILLED"))</f>
        <v>SPEAKS, JASON</v>
      </c>
      <c r="J267" s="201" t="str" cm="1">
        <f t="array" ref="J267">IF(RIGHT(_xlfn._xlws.FILTER(Sheet1!M$2:M$333,(Sheet1!M$2:M$333=$E267)+(Sheet1!M$2:M$333=$E268),""),4)="POST",CONCATENATE(_xlfn._xlws.FILTER(Sheet1!$A$2:$A$333,(Sheet1!M$2:M$333=$E267)+(Sheet1!M$2:M$333=$E268),""),"-","POST"),_xlfn._xlws.FILTER(Sheet1!$A$2:$A$333,(Sheet1!M$2:M$333=$E267)+(Sheet1!M$2:M$333=$E268),"UNFILLED"))</f>
        <v>SPEAKS, JASON</v>
      </c>
      <c r="K267" s="201" t="str" cm="1">
        <f t="array" ref="K267">IF(RIGHT(_xlfn._xlws.FILTER(Sheet1!$O$2:$O$333,(Sheet1!$O$2:$O$333=$E267)+(Sheet1!$O$2:$O$333=$E268),""),4)="POST",CONCATENATE(_xlfn._xlws.FILTER(Sheet1!$A$2:$A$333,(Sheet1!$O$2:$O$333=$E267)+(Sheet1!$O$2:$O$333=$E268),""),"-","POST"),_xlfn._xlws.FILTER(Sheet1!$A$2:$A$333,(Sheet1!$O$2:$O$333=$E267)+(Sheet1!$O$2:$O$333=$E268),"UNFILLED"))</f>
        <v>GERARD, MAGGIE</v>
      </c>
      <c r="L267" s="201" t="str" cm="1">
        <f t="array" ref="L267">IF(RIGHT(_xlfn._xlws.FILTER(Sheet1!$Q$2:$Q$333,(Sheet1!$Q$2:$Q$333=$E267)+(Sheet1!$Q$2:$Q$333=$E268),""),4)="POST",CONCATENATE(_xlfn._xlws.FILTER(Sheet1!$A$2:$A$333,(Sheet1!$Q$2:$Q$333=$E267)+(Sheet1!$Q$2:$Q$333=$E268),""),"-","POST"),_xlfn._xlws.FILTER(Sheet1!$A$2:$A$333,(Sheet1!$Q$2:$Q$333=$E267)+(Sheet1!$Q$2:$Q$333=$E268),"UNFILLED"))</f>
        <v>GERARD, MAGGIE</v>
      </c>
      <c r="M267" s="201" t="str" cm="1">
        <f t="array" ref="M267">IF(RIGHT(_xlfn._xlws.FILTER(Sheet1!$S$2:$S$333,(Sheet1!$S$2:$S$333=$E267)+(Sheet1!$S$2:$S$333=$E268),""),4)="POST",CONCATENATE(_xlfn._xlws.FILTER(Sheet1!$A$2:$A$333,(Sheet1!$S$2:$S$333=$E267)+(Sheet1!$S$2:$S$333=$E268),""),"-","POST"),_xlfn._xlws.FILTER(Sheet1!$A$2:$A$333,(Sheet1!$S$2:$S$333=$E267)+(Sheet1!$S$2:$S$333=$E268),"UNFILLED"))</f>
        <v>GERARD, MAGGIE</v>
      </c>
    </row>
    <row r="268" spans="1:13" ht="20.25" customHeight="1" x14ac:dyDescent="0.4">
      <c r="A268" s="153"/>
      <c r="C268" s="434"/>
      <c r="D268" s="435"/>
      <c r="E268" s="161" t="str">
        <f>_xlfn.CONCAT(E267,"-","POST")</f>
        <v>ACD2-MW-POST</v>
      </c>
      <c r="F268" s="431"/>
      <c r="G268" s="202"/>
      <c r="H268" s="202"/>
      <c r="I268" s="202"/>
      <c r="J268" s="202"/>
      <c r="K268" s="202"/>
      <c r="L268" s="202"/>
      <c r="M268" s="202"/>
    </row>
    <row r="269" spans="1:13" ht="25.5" hidden="1" customHeight="1" x14ac:dyDescent="0.4">
      <c r="A269" s="153"/>
      <c r="C269" s="176"/>
      <c r="D269" s="177"/>
      <c r="E269" s="178"/>
      <c r="F269" s="191"/>
      <c r="G269" s="192"/>
      <c r="H269" s="192"/>
      <c r="I269" s="192"/>
      <c r="J269" s="203"/>
      <c r="K269" s="192"/>
      <c r="L269" s="192"/>
      <c r="M269" s="177"/>
    </row>
    <row r="270" spans="1:13" ht="24" customHeight="1" thickBot="1" x14ac:dyDescent="0.45">
      <c r="A270" s="153"/>
      <c r="C270" s="176"/>
      <c r="D270" s="177"/>
      <c r="E270" s="178"/>
      <c r="F270" s="191"/>
      <c r="G270" s="192"/>
      <c r="H270" s="192"/>
      <c r="I270" s="192"/>
      <c r="J270" s="203"/>
      <c r="K270" s="192"/>
      <c r="L270" s="192"/>
      <c r="M270" s="177"/>
    </row>
    <row r="271" spans="1:13" ht="11.25" customHeight="1" thickBot="1" x14ac:dyDescent="0.45">
      <c r="A271" s="153"/>
      <c r="C271" s="345"/>
      <c r="D271" s="346"/>
      <c r="F271" s="411" t="s">
        <v>189</v>
      </c>
      <c r="G271" s="401"/>
      <c r="H271" s="401"/>
      <c r="I271" s="401"/>
      <c r="J271" s="401"/>
      <c r="K271" s="401"/>
      <c r="L271" s="401"/>
      <c r="M271" s="402"/>
    </row>
    <row r="272" spans="1:13" ht="11.25" customHeight="1" thickBot="1" x14ac:dyDescent="0.45">
      <c r="A272" s="153"/>
      <c r="C272" s="347"/>
      <c r="D272" s="348"/>
      <c r="E272" s="349"/>
      <c r="F272" s="404"/>
      <c r="G272" s="404"/>
      <c r="H272" s="404"/>
      <c r="I272" s="404"/>
      <c r="J272" s="404"/>
      <c r="K272" s="404"/>
      <c r="L272" s="404"/>
      <c r="M272" s="405"/>
    </row>
    <row r="273" spans="1:13" ht="26.25" customHeight="1" x14ac:dyDescent="0.4">
      <c r="A273" s="153"/>
      <c r="C273" s="350"/>
      <c r="D273" s="350"/>
      <c r="E273" s="351"/>
      <c r="F273" s="350" t="s">
        <v>190</v>
      </c>
      <c r="G273" s="350"/>
      <c r="M273" s="352"/>
    </row>
    <row r="274" spans="1:13" ht="19" thickBot="1" x14ac:dyDescent="0.45">
      <c r="A274" s="153"/>
      <c r="C274" s="353"/>
      <c r="D274" s="354"/>
      <c r="E274" s="355"/>
      <c r="F274" s="356" t="s">
        <v>3</v>
      </c>
      <c r="G274" s="356" t="s">
        <v>191</v>
      </c>
      <c r="H274" s="356" t="s">
        <v>192</v>
      </c>
      <c r="I274" s="356" t="s">
        <v>193</v>
      </c>
      <c r="J274" s="356" t="s">
        <v>194</v>
      </c>
      <c r="K274" s="356" t="s">
        <v>195</v>
      </c>
      <c r="L274" s="356" t="s">
        <v>196</v>
      </c>
      <c r="M274" s="357" t="s">
        <v>197</v>
      </c>
    </row>
    <row r="275" spans="1:13" ht="16.5" thickBot="1" x14ac:dyDescent="0.45">
      <c r="A275" s="153"/>
      <c r="C275" s="358"/>
      <c r="D275" s="358"/>
      <c r="E275" s="359"/>
      <c r="F275" s="360" t="str" cm="1">
        <f t="array" ref="F275:M292">_xlfn._xlws.FILTER(Sheet2!B2:I52,Sheet2!A2:A52="NORTHERN","None Found")</f>
        <v>MIDWEST</v>
      </c>
      <c r="G275" s="360" t="str">
        <v>QC-R</v>
      </c>
      <c r="H275" s="360" t="str">
        <v>INCUMBENT OFF</v>
      </c>
      <c r="I275" s="361">
        <v>45850</v>
      </c>
      <c r="J275" s="361">
        <v>0</v>
      </c>
      <c r="K275" s="361">
        <v>45843</v>
      </c>
      <c r="L275" s="361" t="str">
        <v>STAMETS, LUCAS</v>
      </c>
      <c r="M275" s="362" t="str">
        <v>WILLIAMS, LEISA</v>
      </c>
    </row>
    <row r="276" spans="1:13" ht="16.5" thickBot="1" x14ac:dyDescent="0.45">
      <c r="A276" s="153"/>
      <c r="C276" s="366"/>
      <c r="D276" s="366"/>
      <c r="E276" s="367"/>
      <c r="F276" s="363" t="str">
        <v>KEYSTONE</v>
      </c>
      <c r="G276" s="363" t="str">
        <v>PE-3</v>
      </c>
      <c r="H276" s="363" t="str">
        <v>INCUMBENT NOT QUALIFIED</v>
      </c>
      <c r="I276" s="364">
        <v>0</v>
      </c>
      <c r="J276" s="364">
        <v>0</v>
      </c>
      <c r="K276" s="364">
        <v>0</v>
      </c>
      <c r="L276" s="364" t="str">
        <v>BOX, MANDY</v>
      </c>
      <c r="M276" s="365" t="str">
        <v>MCCARREN, CARRIE</v>
      </c>
    </row>
    <row r="277" spans="1:13" ht="16.5" thickBot="1" x14ac:dyDescent="0.45">
      <c r="A277" s="153"/>
      <c r="C277" s="366"/>
      <c r="D277" s="366"/>
      <c r="E277" s="367"/>
      <c r="F277" s="363" t="str">
        <v>KEYSTONE</v>
      </c>
      <c r="G277" s="363" t="str">
        <v>RL-3</v>
      </c>
      <c r="H277" s="363" t="str">
        <v>INCUMBENT BID OFF</v>
      </c>
      <c r="I277" s="364">
        <v>0</v>
      </c>
      <c r="J277" s="364">
        <v>0</v>
      </c>
      <c r="K277" s="364">
        <v>0</v>
      </c>
      <c r="L277" s="364" t="str">
        <v>KRZYZANOWSKI, KIMMY</v>
      </c>
      <c r="M277" s="365" t="str">
        <v>HARBIN, BRYANT</v>
      </c>
    </row>
    <row r="278" spans="1:13" ht="16.5" thickBot="1" x14ac:dyDescent="0.45">
      <c r="A278" s="153"/>
      <c r="C278" s="366"/>
      <c r="D278" s="366"/>
      <c r="E278" s="367"/>
      <c r="F278" s="363" t="str">
        <v>GREATLAKES</v>
      </c>
      <c r="G278" s="363" t="str">
        <v>MT-3</v>
      </c>
      <c r="H278" s="363" t="str">
        <v>INCUMBENT NOT QUALIFIED</v>
      </c>
      <c r="I278" s="364">
        <v>0</v>
      </c>
      <c r="J278" s="364">
        <v>0</v>
      </c>
      <c r="K278" s="364">
        <v>0</v>
      </c>
      <c r="L278" s="364" t="str">
        <v>KENNEDY, JOSEPH</v>
      </c>
      <c r="M278" s="365" t="str">
        <v>DONALDSON, CODY</v>
      </c>
    </row>
    <row r="279" spans="1:13" ht="16.5" thickBot="1" x14ac:dyDescent="0.45">
      <c r="A279" s="153"/>
      <c r="C279" s="366"/>
      <c r="D279" s="366"/>
      <c r="E279" s="367"/>
      <c r="F279" s="363" t="str">
        <v>MIDWEST</v>
      </c>
      <c r="G279" s="363" t="str">
        <v>SO-1</v>
      </c>
      <c r="H279" s="363" t="str">
        <v>VACATION</v>
      </c>
      <c r="I279" s="364">
        <v>45943</v>
      </c>
      <c r="J279" s="364">
        <v>45946</v>
      </c>
      <c r="K279" s="364">
        <v>45942</v>
      </c>
      <c r="L279" s="364" t="str">
        <v xml:space="preserve">BULLINGTON, BILLY </v>
      </c>
      <c r="M279" s="365" t="str">
        <v>COX, ANDY</v>
      </c>
    </row>
    <row r="280" spans="1:13" ht="16.5" thickBot="1" x14ac:dyDescent="0.45">
      <c r="A280" s="153"/>
      <c r="C280" s="366"/>
      <c r="D280" s="366"/>
      <c r="E280" s="367"/>
      <c r="F280" s="363" t="str">
        <v>KEYSTONE</v>
      </c>
      <c r="G280" s="363" t="str">
        <v>HE-1</v>
      </c>
      <c r="H280" s="363" t="str">
        <v>VACATION</v>
      </c>
      <c r="I280" s="364">
        <v>45943</v>
      </c>
      <c r="J280" s="364">
        <v>45947</v>
      </c>
      <c r="K280" s="364">
        <v>45943</v>
      </c>
      <c r="L280" s="364" t="str">
        <v xml:space="preserve">SLANEY, MATTHEW </v>
      </c>
      <c r="M280" s="365" t="str">
        <v>CARR, JEREMY</v>
      </c>
    </row>
    <row r="281" spans="1:13" ht="16.5" thickBot="1" x14ac:dyDescent="0.45">
      <c r="A281" s="153"/>
      <c r="C281" s="366"/>
      <c r="D281" s="366"/>
      <c r="E281" s="367"/>
      <c r="F281" s="363" t="str">
        <v>GREATLAKES</v>
      </c>
      <c r="G281" s="363" t="str">
        <v>CD-2</v>
      </c>
      <c r="H281" s="363" t="str">
        <v>VACATION</v>
      </c>
      <c r="I281" s="364">
        <v>45944</v>
      </c>
      <c r="J281" s="364">
        <v>45948</v>
      </c>
      <c r="K281" s="364">
        <v>45944</v>
      </c>
      <c r="L281" s="364" t="str">
        <v xml:space="preserve">MCROY, DANIEL </v>
      </c>
      <c r="M281" s="365" t="str">
        <v>ROBINSON, MATTHEW</v>
      </c>
    </row>
    <row r="282" spans="1:13" ht="16.5" thickBot="1" x14ac:dyDescent="0.45">
      <c r="A282" s="153"/>
      <c r="C282" s="366"/>
      <c r="D282" s="366"/>
      <c r="E282" s="367"/>
      <c r="F282" s="363" t="str">
        <v>MIDWEST</v>
      </c>
      <c r="G282" s="363" t="str">
        <v>SP-3</v>
      </c>
      <c r="H282" s="363" t="str">
        <v>VACATION</v>
      </c>
      <c r="I282" s="364">
        <v>45946</v>
      </c>
      <c r="J282" s="364">
        <v>45950</v>
      </c>
      <c r="K282" s="364">
        <v>45946</v>
      </c>
      <c r="L282" s="364">
        <v>0</v>
      </c>
      <c r="M282" s="365" t="str">
        <v>PALMER, SANFORD</v>
      </c>
    </row>
    <row r="283" spans="1:13" ht="16.5" thickBot="1" x14ac:dyDescent="0.45">
      <c r="A283" s="153"/>
      <c r="C283" s="366"/>
      <c r="D283" s="366"/>
      <c r="E283" s="367"/>
      <c r="F283" s="363" t="str">
        <v>GREATLAKES</v>
      </c>
      <c r="G283" s="363" t="str">
        <v>DT-2</v>
      </c>
      <c r="H283" s="363" t="str">
        <v>VACATION</v>
      </c>
      <c r="I283" s="364">
        <v>45951</v>
      </c>
      <c r="J283" s="364">
        <v>45955</v>
      </c>
      <c r="K283" s="364">
        <v>45951</v>
      </c>
      <c r="L283" s="364">
        <v>0</v>
      </c>
      <c r="M283" s="365" t="str">
        <v>KAY-JACKWAK, LORI</v>
      </c>
    </row>
    <row r="284" spans="1:13" ht="16.5" thickBot="1" x14ac:dyDescent="0.45">
      <c r="A284" s="153"/>
      <c r="C284" s="366"/>
      <c r="D284" s="366"/>
      <c r="E284" s="367"/>
      <c r="F284" s="363" t="str">
        <v>MIDWEST</v>
      </c>
      <c r="G284" s="363" t="str">
        <v>KY-1</v>
      </c>
      <c r="H284" s="363" t="str">
        <v>VACATION</v>
      </c>
      <c r="I284" s="364">
        <v>45953</v>
      </c>
      <c r="J284" s="364">
        <v>45959</v>
      </c>
      <c r="K284" s="364">
        <v>45953</v>
      </c>
      <c r="L284" s="364" t="str">
        <v>Thomas, Ronnie</v>
      </c>
      <c r="M284" s="365" t="e">
        <v>#REF!</v>
      </c>
    </row>
    <row r="285" spans="1:13" ht="16.5" thickBot="1" x14ac:dyDescent="0.45">
      <c r="A285" s="153"/>
      <c r="C285" s="366"/>
      <c r="D285" s="366"/>
      <c r="E285" s="367"/>
      <c r="F285" s="363" t="str">
        <v>KEYSTONE</v>
      </c>
      <c r="G285" s="363" t="str">
        <v>RL-2</v>
      </c>
      <c r="H285" s="363" t="str">
        <v>VACATION</v>
      </c>
      <c r="I285" s="364">
        <v>45951</v>
      </c>
      <c r="J285" s="364">
        <v>45957</v>
      </c>
      <c r="K285" s="364">
        <v>45951</v>
      </c>
      <c r="L285" s="364" t="str">
        <v>DAVIS, MATT</v>
      </c>
      <c r="M285" s="365" t="str">
        <v>CROUTHARMEL, JASON</v>
      </c>
    </row>
    <row r="286" spans="1:13" ht="16.5" thickBot="1" x14ac:dyDescent="0.45">
      <c r="A286" s="153"/>
      <c r="C286" s="366"/>
      <c r="D286" s="366"/>
      <c r="E286" s="367"/>
      <c r="F286" s="363" t="str">
        <v>MIDWEST</v>
      </c>
      <c r="G286" s="363" t="str">
        <v>SW-R</v>
      </c>
      <c r="H286" s="363" t="str">
        <v>VACATION</v>
      </c>
      <c r="I286" s="364">
        <v>45954</v>
      </c>
      <c r="J286" s="364">
        <v>45960</v>
      </c>
      <c r="K286" s="364">
        <v>45954</v>
      </c>
      <c r="L286" s="364" t="str">
        <v>WASHINGTON, JOHN</v>
      </c>
      <c r="M286" s="365" t="str">
        <v>CHERRY, ERICA</v>
      </c>
    </row>
    <row r="287" spans="1:13" ht="16.5" thickBot="1" x14ac:dyDescent="0.45">
      <c r="A287" s="153"/>
      <c r="C287" s="366"/>
      <c r="D287" s="366"/>
      <c r="E287" s="367"/>
      <c r="F287" s="363" t="str">
        <v>MIDWEST</v>
      </c>
      <c r="G287" s="363" t="str">
        <v>SP-2</v>
      </c>
      <c r="H287" s="363" t="str">
        <v>VACATION</v>
      </c>
      <c r="I287" s="364">
        <v>45955</v>
      </c>
      <c r="J287" s="364">
        <v>45961</v>
      </c>
      <c r="K287" s="364">
        <v>45955</v>
      </c>
      <c r="L287" s="364" t="str">
        <v>WATROUS, ERIC</v>
      </c>
      <c r="M287" s="365" t="str">
        <v>KNORRE, ANDREA</v>
      </c>
    </row>
    <row r="288" spans="1:13" ht="16.5" thickBot="1" x14ac:dyDescent="0.45">
      <c r="A288" s="153"/>
      <c r="C288" s="366"/>
      <c r="D288" s="366"/>
      <c r="E288" s="367"/>
      <c r="F288" s="363" t="str">
        <v>KEYSTONE</v>
      </c>
      <c r="G288" s="363" t="str">
        <v>MV-2</v>
      </c>
      <c r="H288" s="363" t="str">
        <v>VACATION</v>
      </c>
      <c r="I288" s="364">
        <v>45961</v>
      </c>
      <c r="J288" s="364">
        <v>45967</v>
      </c>
      <c r="K288" s="364">
        <v>45961</v>
      </c>
      <c r="L288" s="364" t="str">
        <v xml:space="preserve">SLANEY, MATTHEW </v>
      </c>
      <c r="M288" s="365" t="str">
        <v>DICK, KAYLA</v>
      </c>
    </row>
    <row r="289" spans="1:13" ht="16.5" thickBot="1" x14ac:dyDescent="0.45">
      <c r="A289" s="153"/>
      <c r="C289" s="366"/>
      <c r="D289" s="366"/>
      <c r="E289" s="367"/>
      <c r="F289" s="363" t="str">
        <v>MIDWEST</v>
      </c>
      <c r="G289" s="363" t="str">
        <v>SP-R</v>
      </c>
      <c r="H289" s="363" t="str">
        <v>VACATION</v>
      </c>
      <c r="I289" s="364">
        <v>45961</v>
      </c>
      <c r="J289" s="364">
        <v>45967</v>
      </c>
      <c r="K289" s="364">
        <v>45961</v>
      </c>
      <c r="L289" s="364" t="str">
        <v>HARP, KEENAN</v>
      </c>
      <c r="M289" s="365" t="str">
        <v>ROBINSON, AARON</v>
      </c>
    </row>
    <row r="290" spans="1:13" ht="16.5" thickBot="1" x14ac:dyDescent="0.45">
      <c r="A290" s="153"/>
      <c r="C290" s="366"/>
      <c r="D290" s="366"/>
      <c r="E290" s="367"/>
      <c r="F290" s="363" t="str">
        <v>GREATLAKES</v>
      </c>
      <c r="G290" s="363" t="str">
        <v>MT-1</v>
      </c>
      <c r="H290" s="363" t="str">
        <v>INCUMBENT OFF</v>
      </c>
      <c r="I290" s="364">
        <v>45961</v>
      </c>
      <c r="J290" s="364">
        <v>0</v>
      </c>
      <c r="K290" s="364">
        <v>45961</v>
      </c>
      <c r="L290" s="364" t="str">
        <v>ZIMA, ART</v>
      </c>
      <c r="M290" s="365" t="str">
        <v>YEAGER, DOROTHY</v>
      </c>
    </row>
    <row r="291" spans="1:13" ht="16.5" thickBot="1" x14ac:dyDescent="0.45">
      <c r="A291" s="153"/>
      <c r="C291" s="366"/>
      <c r="D291" s="366"/>
      <c r="E291" s="367"/>
      <c r="F291" s="363" t="str">
        <v>KEYSTONE</v>
      </c>
      <c r="G291" s="363" t="str">
        <v>CE-R</v>
      </c>
      <c r="H291" s="363" t="str">
        <v>INCUMBENT OFF</v>
      </c>
      <c r="I291" s="364">
        <v>45959</v>
      </c>
      <c r="J291" s="364">
        <v>0</v>
      </c>
      <c r="K291" s="364">
        <v>45959</v>
      </c>
      <c r="L291" s="364" t="str">
        <v>FLEITES, FRANK</v>
      </c>
      <c r="M291" s="365" t="str">
        <v>VACANT</v>
      </c>
    </row>
    <row r="292" spans="1:13" ht="16.5" thickBot="1" x14ac:dyDescent="0.45">
      <c r="A292" s="153"/>
      <c r="C292" s="366"/>
      <c r="D292" s="366"/>
      <c r="E292" s="367"/>
      <c r="F292" s="363" t="str">
        <v>GREATLAKES</v>
      </c>
      <c r="G292" s="363" t="str">
        <v>TT-2</v>
      </c>
      <c r="H292" s="363" t="str">
        <v>INCUMBENT VACATION</v>
      </c>
      <c r="I292" s="364">
        <v>45974</v>
      </c>
      <c r="J292" s="364">
        <v>45987</v>
      </c>
      <c r="K292" s="364">
        <v>45974</v>
      </c>
      <c r="L292" s="364" t="str">
        <v>JOHNSON, EMILY</v>
      </c>
      <c r="M292" s="365" t="str">
        <v>SCOTT, DONALD</v>
      </c>
    </row>
    <row r="293" spans="1:13" ht="16.5" thickBot="1" x14ac:dyDescent="0.45">
      <c r="A293" s="153"/>
      <c r="C293" s="366"/>
      <c r="D293" s="366"/>
      <c r="E293" s="367"/>
      <c r="F293" s="363"/>
      <c r="G293" s="363"/>
      <c r="H293" s="363"/>
      <c r="I293" s="364"/>
      <c r="J293" s="364"/>
      <c r="K293" s="364"/>
      <c r="L293" s="364"/>
      <c r="M293" s="365"/>
    </row>
    <row r="294" spans="1:13" ht="16.5" thickBot="1" x14ac:dyDescent="0.45">
      <c r="A294" s="153"/>
      <c r="C294" s="366"/>
      <c r="D294" s="366"/>
      <c r="E294" s="367"/>
      <c r="F294" s="363"/>
      <c r="G294" s="363"/>
      <c r="H294" s="363"/>
      <c r="I294" s="364"/>
      <c r="J294" s="364"/>
      <c r="K294" s="364"/>
      <c r="L294" s="364"/>
      <c r="M294" s="365"/>
    </row>
    <row r="295" spans="1:13" ht="16.5" thickBot="1" x14ac:dyDescent="0.45">
      <c r="A295" s="153"/>
      <c r="C295" s="366"/>
      <c r="D295" s="366"/>
      <c r="E295" s="367"/>
      <c r="F295" s="363"/>
      <c r="G295" s="363"/>
      <c r="H295" s="363"/>
      <c r="I295" s="364"/>
      <c r="J295" s="364"/>
      <c r="K295" s="364"/>
      <c r="L295" s="364"/>
      <c r="M295" s="365"/>
    </row>
    <row r="296" spans="1:13" ht="16.5" thickBot="1" x14ac:dyDescent="0.45">
      <c r="A296" s="153"/>
      <c r="C296" s="366"/>
      <c r="D296" s="366"/>
      <c r="E296" s="367"/>
      <c r="F296" s="363"/>
      <c r="G296" s="363"/>
      <c r="H296" s="363"/>
      <c r="I296" s="364"/>
      <c r="J296" s="364"/>
      <c r="K296" s="364"/>
      <c r="L296" s="364"/>
      <c r="M296" s="365"/>
    </row>
    <row r="297" spans="1:13" ht="16.5" thickBot="1" x14ac:dyDescent="0.45">
      <c r="A297" s="153"/>
      <c r="C297" s="366"/>
      <c r="D297" s="366"/>
      <c r="E297" s="367"/>
      <c r="F297" s="363"/>
      <c r="G297" s="363"/>
      <c r="H297" s="363"/>
      <c r="I297" s="364"/>
      <c r="J297" s="364"/>
      <c r="K297" s="364"/>
      <c r="L297" s="364"/>
      <c r="M297" s="365"/>
    </row>
    <row r="298" spans="1:13" ht="16.5" thickBot="1" x14ac:dyDescent="0.45">
      <c r="A298" s="153"/>
      <c r="C298" s="366"/>
      <c r="D298" s="366"/>
      <c r="E298" s="367"/>
      <c r="F298" s="363"/>
      <c r="G298" s="363"/>
      <c r="H298" s="363"/>
      <c r="I298" s="364"/>
      <c r="J298" s="364"/>
      <c r="K298" s="364"/>
      <c r="L298" s="364"/>
      <c r="M298" s="365"/>
    </row>
    <row r="299" spans="1:13" ht="16.5" thickBot="1" x14ac:dyDescent="0.45">
      <c r="A299" s="153"/>
      <c r="C299" s="366"/>
      <c r="D299" s="366"/>
      <c r="E299" s="367"/>
      <c r="F299" s="363"/>
      <c r="G299" s="363"/>
      <c r="H299" s="363"/>
      <c r="I299" s="364"/>
      <c r="J299" s="364"/>
      <c r="K299" s="364"/>
      <c r="L299" s="364"/>
      <c r="M299" s="365"/>
    </row>
    <row r="300" spans="1:13" ht="16.5" thickBot="1" x14ac:dyDescent="0.45">
      <c r="A300" s="153"/>
      <c r="C300" s="366"/>
      <c r="D300" s="366"/>
      <c r="E300" s="367"/>
      <c r="F300" s="363"/>
      <c r="G300" s="363"/>
      <c r="H300" s="363"/>
      <c r="I300" s="364"/>
      <c r="J300" s="364"/>
      <c r="K300" s="364"/>
      <c r="L300" s="364"/>
      <c r="M300" s="365"/>
    </row>
    <row r="301" spans="1:13" ht="16.5" thickBot="1" x14ac:dyDescent="0.45">
      <c r="A301" s="153"/>
      <c r="C301" s="366"/>
      <c r="D301" s="366"/>
      <c r="E301" s="367"/>
      <c r="F301" s="363"/>
      <c r="G301" s="363"/>
      <c r="H301" s="363"/>
      <c r="I301" s="364"/>
      <c r="J301" s="364"/>
      <c r="K301" s="364"/>
      <c r="L301" s="364"/>
      <c r="M301" s="365"/>
    </row>
    <row r="302" spans="1:13" ht="16.5" thickBot="1" x14ac:dyDescent="0.45">
      <c r="A302" s="153"/>
      <c r="C302" s="366"/>
      <c r="D302" s="366"/>
      <c r="E302" s="367"/>
      <c r="F302" s="363"/>
      <c r="G302" s="363"/>
      <c r="H302" s="363"/>
      <c r="I302" s="364"/>
      <c r="J302" s="364"/>
      <c r="K302" s="364"/>
      <c r="L302" s="364"/>
      <c r="M302" s="365"/>
    </row>
    <row r="303" spans="1:13" ht="16.5" thickBot="1" x14ac:dyDescent="0.45">
      <c r="A303" s="153"/>
      <c r="C303" s="366"/>
      <c r="D303" s="366"/>
      <c r="E303" s="367"/>
      <c r="F303" s="363"/>
      <c r="G303" s="363"/>
      <c r="H303" s="363"/>
      <c r="I303" s="364"/>
      <c r="J303" s="364"/>
      <c r="K303" s="364"/>
      <c r="L303" s="364"/>
      <c r="M303" s="365"/>
    </row>
    <row r="304" spans="1:13" ht="16.5" thickBot="1" x14ac:dyDescent="0.45">
      <c r="A304" s="153"/>
      <c r="C304" s="368"/>
      <c r="D304" s="368"/>
      <c r="E304" s="369"/>
      <c r="F304" s="370"/>
      <c r="G304" s="370"/>
      <c r="H304" s="370"/>
      <c r="I304" s="371"/>
      <c r="J304" s="371"/>
      <c r="K304" s="371"/>
      <c r="L304" s="371"/>
      <c r="M304" s="372"/>
    </row>
    <row r="305" spans="1:13" ht="26.25" customHeight="1" x14ac:dyDescent="0.4">
      <c r="A305" s="153"/>
      <c r="C305" s="350"/>
      <c r="D305" s="350"/>
      <c r="E305" s="351"/>
      <c r="F305" s="350" t="s">
        <v>198</v>
      </c>
      <c r="G305" s="350"/>
      <c r="M305" s="373"/>
    </row>
    <row r="306" spans="1:13" ht="19" thickBot="1" x14ac:dyDescent="0.45">
      <c r="A306" s="153"/>
      <c r="C306" s="353"/>
      <c r="D306" s="354"/>
      <c r="E306" s="355"/>
      <c r="F306" s="356" t="s">
        <v>3</v>
      </c>
      <c r="G306" s="356" t="s">
        <v>191</v>
      </c>
      <c r="H306" s="356"/>
      <c r="I306" s="356"/>
      <c r="J306" s="356"/>
      <c r="K306" s="356"/>
      <c r="L306" s="374"/>
      <c r="M306" s="375"/>
    </row>
    <row r="307" spans="1:13" ht="16.5" thickBot="1" x14ac:dyDescent="0.45">
      <c r="A307" s="153"/>
      <c r="C307" s="358"/>
      <c r="D307" s="358"/>
      <c r="E307" s="359"/>
      <c r="F307" s="360" t="str" cm="1">
        <f t="array" ref="F307:G307">_xlfn._xlws.FILTER(Sheet2!M2:N53,Sheet2!L2:L53="NORTHERN","None Found")</f>
        <v>KEYSTONE</v>
      </c>
      <c r="G307" s="360" t="str">
        <v>CE-R</v>
      </c>
      <c r="H307" s="376"/>
      <c r="I307" s="377"/>
      <c r="J307" s="378"/>
      <c r="K307" s="378"/>
      <c r="L307" s="379"/>
      <c r="M307" s="380"/>
    </row>
    <row r="308" spans="1:13" ht="16.5" thickBot="1" x14ac:dyDescent="0.45">
      <c r="A308" s="153"/>
      <c r="C308" s="366"/>
      <c r="D308" s="366"/>
      <c r="E308" s="367"/>
      <c r="F308" s="363"/>
      <c r="G308" s="363"/>
      <c r="H308" s="381"/>
      <c r="I308" s="382"/>
      <c r="J308" s="383"/>
      <c r="K308" s="383"/>
      <c r="L308" s="384"/>
      <c r="M308" s="385"/>
    </row>
    <row r="309" spans="1:13" ht="16.5" thickBot="1" x14ac:dyDescent="0.45">
      <c r="A309" s="153"/>
      <c r="C309" s="366"/>
      <c r="D309" s="366"/>
      <c r="E309" s="367"/>
      <c r="F309" s="363"/>
      <c r="G309" s="363"/>
      <c r="H309" s="381"/>
      <c r="I309" s="382"/>
      <c r="J309" s="383"/>
      <c r="K309" s="383"/>
      <c r="L309" s="384"/>
      <c r="M309" s="385"/>
    </row>
    <row r="310" spans="1:13" ht="16.5" thickBot="1" x14ac:dyDescent="0.45">
      <c r="A310" s="153"/>
      <c r="C310" s="366"/>
      <c r="D310" s="366"/>
      <c r="E310" s="367"/>
      <c r="F310" s="363"/>
      <c r="G310" s="363"/>
      <c r="H310" s="381"/>
      <c r="I310" s="382"/>
      <c r="J310" s="383"/>
      <c r="K310" s="383"/>
      <c r="L310" s="384"/>
      <c r="M310" s="385"/>
    </row>
    <row r="311" spans="1:13" ht="16.5" thickBot="1" x14ac:dyDescent="0.45">
      <c r="A311" s="153"/>
      <c r="C311" s="366"/>
      <c r="D311" s="366"/>
      <c r="E311" s="367"/>
      <c r="F311" s="363"/>
      <c r="G311" s="363"/>
      <c r="H311" s="381"/>
      <c r="I311" s="382"/>
      <c r="J311" s="383"/>
      <c r="K311" s="383"/>
      <c r="L311" s="384"/>
      <c r="M311" s="385"/>
    </row>
    <row r="312" spans="1:13" ht="16.5" thickBot="1" x14ac:dyDescent="0.45">
      <c r="A312" s="153"/>
      <c r="C312" s="366"/>
      <c r="D312" s="366"/>
      <c r="E312" s="367"/>
      <c r="F312" s="363"/>
      <c r="G312" s="363"/>
      <c r="H312" s="381"/>
      <c r="I312" s="382"/>
      <c r="J312" s="383"/>
      <c r="K312" s="383"/>
      <c r="L312" s="384"/>
      <c r="M312" s="385"/>
    </row>
    <row r="313" spans="1:13" ht="16.5" thickBot="1" x14ac:dyDescent="0.45">
      <c r="A313" s="153"/>
      <c r="C313" s="366"/>
      <c r="D313" s="366"/>
      <c r="E313" s="367"/>
      <c r="F313" s="363"/>
      <c r="G313" s="363"/>
      <c r="H313" s="381"/>
      <c r="I313" s="382"/>
      <c r="J313" s="383"/>
      <c r="K313" s="383"/>
      <c r="L313" s="384"/>
      <c r="M313" s="385"/>
    </row>
    <row r="314" spans="1:13" ht="16.5" thickBot="1" x14ac:dyDescent="0.45">
      <c r="A314" s="153"/>
      <c r="C314" s="366"/>
      <c r="D314" s="366"/>
      <c r="E314" s="367"/>
      <c r="F314" s="363"/>
      <c r="G314" s="363"/>
      <c r="H314" s="381"/>
      <c r="I314" s="382"/>
      <c r="J314" s="383"/>
      <c r="K314" s="383"/>
      <c r="L314" s="384"/>
      <c r="M314" s="385"/>
    </row>
    <row r="315" spans="1:13" ht="16.5" thickBot="1" x14ac:dyDescent="0.45">
      <c r="A315" s="153"/>
      <c r="C315" s="366"/>
      <c r="D315" s="366"/>
      <c r="E315" s="367"/>
      <c r="F315" s="363"/>
      <c r="G315" s="363"/>
      <c r="H315" s="381"/>
      <c r="I315" s="382"/>
      <c r="J315" s="383"/>
      <c r="K315" s="383"/>
      <c r="L315" s="384"/>
      <c r="M315" s="385"/>
    </row>
    <row r="316" spans="1:13" ht="16.5" thickBot="1" x14ac:dyDescent="0.45">
      <c r="A316" s="153"/>
      <c r="C316" s="366"/>
      <c r="D316" s="366"/>
      <c r="E316" s="367"/>
      <c r="F316" s="363"/>
      <c r="G316" s="363"/>
      <c r="H316" s="381"/>
      <c r="I316" s="382"/>
      <c r="J316" s="383"/>
      <c r="K316" s="383"/>
      <c r="L316" s="384"/>
      <c r="M316" s="385"/>
    </row>
    <row r="317" spans="1:13" ht="16.5" thickBot="1" x14ac:dyDescent="0.45">
      <c r="A317" s="153"/>
      <c r="C317" s="366"/>
      <c r="D317" s="366"/>
      <c r="E317" s="367"/>
      <c r="F317" s="363"/>
      <c r="G317" s="363"/>
      <c r="H317" s="381"/>
      <c r="I317" s="382"/>
      <c r="J317" s="383"/>
      <c r="K317" s="383"/>
      <c r="L317" s="384"/>
      <c r="M317" s="385"/>
    </row>
    <row r="318" spans="1:13" ht="16.5" thickBot="1" x14ac:dyDescent="0.45">
      <c r="A318" s="153"/>
      <c r="C318" s="366"/>
      <c r="D318" s="366"/>
      <c r="E318" s="367"/>
      <c r="F318" s="363"/>
      <c r="G318" s="363"/>
      <c r="H318" s="381"/>
      <c r="I318" s="382"/>
      <c r="J318" s="383"/>
      <c r="K318" s="383"/>
      <c r="L318" s="384"/>
      <c r="M318" s="385"/>
    </row>
    <row r="319" spans="1:13" ht="16.5" thickBot="1" x14ac:dyDescent="0.45">
      <c r="A319" s="153"/>
      <c r="C319" s="366"/>
      <c r="D319" s="366"/>
      <c r="E319" s="367"/>
      <c r="F319" s="363"/>
      <c r="G319" s="363"/>
      <c r="H319" s="381"/>
      <c r="I319" s="382"/>
      <c r="J319" s="383"/>
      <c r="K319" s="383"/>
      <c r="L319" s="384"/>
      <c r="M319" s="385"/>
    </row>
    <row r="320" spans="1:13" ht="16.5" thickBot="1" x14ac:dyDescent="0.45">
      <c r="A320" s="153"/>
      <c r="C320" s="366"/>
      <c r="D320" s="366"/>
      <c r="E320" s="367"/>
      <c r="F320" s="363"/>
      <c r="G320" s="363"/>
      <c r="H320" s="381"/>
      <c r="I320" s="382"/>
      <c r="J320" s="383"/>
      <c r="K320" s="383"/>
      <c r="L320" s="384"/>
      <c r="M320" s="385"/>
    </row>
    <row r="321" spans="1:13" ht="16.5" thickBot="1" x14ac:dyDescent="0.45">
      <c r="A321" s="153"/>
      <c r="C321" s="366"/>
      <c r="D321" s="366"/>
      <c r="E321" s="367"/>
      <c r="F321" s="363"/>
      <c r="G321" s="363"/>
      <c r="H321" s="381"/>
      <c r="I321" s="382"/>
      <c r="J321" s="383"/>
      <c r="K321" s="383"/>
      <c r="L321" s="384"/>
      <c r="M321" s="385"/>
    </row>
    <row r="322" spans="1:13" ht="16.5" thickBot="1" x14ac:dyDescent="0.45">
      <c r="A322" s="153"/>
      <c r="C322" s="366"/>
      <c r="D322" s="366"/>
      <c r="E322" s="367"/>
      <c r="F322" s="363"/>
      <c r="G322" s="363"/>
      <c r="H322" s="381"/>
      <c r="I322" s="382"/>
      <c r="J322" s="383"/>
      <c r="K322" s="383"/>
      <c r="L322" s="384"/>
      <c r="M322" s="385"/>
    </row>
    <row r="323" spans="1:13" ht="16.5" thickBot="1" x14ac:dyDescent="0.45">
      <c r="A323" s="153"/>
      <c r="C323" s="366"/>
      <c r="D323" s="366"/>
      <c r="E323" s="367"/>
      <c r="F323" s="363"/>
      <c r="G323" s="363"/>
      <c r="H323" s="381"/>
      <c r="I323" s="382"/>
      <c r="J323" s="383"/>
      <c r="K323" s="383"/>
      <c r="L323" s="384"/>
      <c r="M323" s="385"/>
    </row>
    <row r="324" spans="1:13" ht="16.5" thickBot="1" x14ac:dyDescent="0.45">
      <c r="A324" s="153"/>
      <c r="C324" s="366"/>
      <c r="D324" s="366"/>
      <c r="E324" s="367"/>
      <c r="F324" s="363"/>
      <c r="G324" s="363"/>
      <c r="H324" s="381"/>
      <c r="I324" s="382"/>
      <c r="J324" s="383"/>
      <c r="K324" s="383"/>
      <c r="L324" s="384"/>
      <c r="M324" s="385"/>
    </row>
    <row r="325" spans="1:13" ht="16.5" thickBot="1" x14ac:dyDescent="0.45">
      <c r="A325" s="153"/>
      <c r="C325" s="366"/>
      <c r="D325" s="366"/>
      <c r="E325" s="367"/>
      <c r="F325" s="363"/>
      <c r="G325" s="363"/>
      <c r="H325" s="381"/>
      <c r="I325" s="382"/>
      <c r="J325" s="383"/>
      <c r="K325" s="383"/>
      <c r="L325" s="384"/>
      <c r="M325" s="385"/>
    </row>
    <row r="326" spans="1:13" ht="16.5" thickBot="1" x14ac:dyDescent="0.45">
      <c r="A326" s="153"/>
      <c r="C326" s="366"/>
      <c r="D326" s="366"/>
      <c r="E326" s="367"/>
      <c r="F326" s="363"/>
      <c r="G326" s="363"/>
      <c r="H326" s="381"/>
      <c r="I326" s="382"/>
      <c r="J326" s="383"/>
      <c r="K326" s="383"/>
      <c r="L326" s="384"/>
      <c r="M326" s="385"/>
    </row>
    <row r="327" spans="1:13" ht="16.5" thickBot="1" x14ac:dyDescent="0.45">
      <c r="A327" s="153"/>
      <c r="C327" s="366"/>
      <c r="D327" s="366"/>
      <c r="E327" s="367"/>
      <c r="F327" s="363"/>
      <c r="G327" s="363"/>
      <c r="H327" s="381"/>
      <c r="I327" s="382"/>
      <c r="J327" s="383"/>
      <c r="K327" s="383"/>
      <c r="L327" s="384"/>
      <c r="M327" s="385"/>
    </row>
    <row r="328" spans="1:13" ht="16.5" thickBot="1" x14ac:dyDescent="0.45">
      <c r="A328" s="153"/>
      <c r="C328" s="366"/>
      <c r="D328" s="366"/>
      <c r="E328" s="367"/>
      <c r="F328" s="363"/>
      <c r="G328" s="363"/>
      <c r="H328" s="381"/>
      <c r="I328" s="382"/>
      <c r="J328" s="383"/>
      <c r="K328" s="383"/>
      <c r="L328" s="384"/>
      <c r="M328" s="385"/>
    </row>
    <row r="329" spans="1:13" ht="16.5" thickBot="1" x14ac:dyDescent="0.45">
      <c r="A329" s="153"/>
      <c r="C329" s="366"/>
      <c r="D329" s="366"/>
      <c r="E329" s="367"/>
      <c r="F329" s="363"/>
      <c r="G329" s="363"/>
      <c r="H329" s="381"/>
      <c r="I329" s="382"/>
      <c r="J329" s="383"/>
      <c r="K329" s="383"/>
      <c r="L329" s="384"/>
      <c r="M329" s="385"/>
    </row>
    <row r="330" spans="1:13" ht="16.5" thickBot="1" x14ac:dyDescent="0.45">
      <c r="A330" s="153"/>
      <c r="C330" s="366"/>
      <c r="D330" s="366"/>
      <c r="E330" s="367"/>
      <c r="F330" s="363"/>
      <c r="G330" s="363"/>
      <c r="H330" s="381"/>
      <c r="I330" s="382"/>
      <c r="J330" s="383"/>
      <c r="K330" s="383"/>
      <c r="L330" s="384"/>
      <c r="M330" s="385"/>
    </row>
    <row r="331" spans="1:13" ht="16.5" thickBot="1" x14ac:dyDescent="0.45">
      <c r="A331" s="386"/>
      <c r="B331" s="387"/>
      <c r="C331" s="368"/>
      <c r="D331" s="368"/>
      <c r="E331" s="369"/>
      <c r="F331" s="370"/>
      <c r="G331" s="370"/>
      <c r="H331" s="388"/>
      <c r="I331" s="389"/>
      <c r="J331" s="390"/>
      <c r="K331" s="390"/>
      <c r="L331" s="391"/>
      <c r="M331" s="392"/>
    </row>
  </sheetData>
  <sheetProtection sheet="1" objects="1" scenarios="1"/>
  <mergeCells count="172">
    <mergeCell ref="F265:F266"/>
    <mergeCell ref="F267:F268"/>
    <mergeCell ref="C244:D268"/>
    <mergeCell ref="F244:M246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34:F236"/>
    <mergeCell ref="W234:W236"/>
    <mergeCell ref="F237:F239"/>
    <mergeCell ref="W237:W239"/>
    <mergeCell ref="F240:F242"/>
    <mergeCell ref="W240:W242"/>
    <mergeCell ref="F225:F227"/>
    <mergeCell ref="W225:W227"/>
    <mergeCell ref="F228:F230"/>
    <mergeCell ref="W228:W230"/>
    <mergeCell ref="F231:F233"/>
    <mergeCell ref="W231:W233"/>
    <mergeCell ref="F215:F217"/>
    <mergeCell ref="W215:W217"/>
    <mergeCell ref="F218:F220"/>
    <mergeCell ref="W218:W220"/>
    <mergeCell ref="F221:M221"/>
    <mergeCell ref="F222:F224"/>
    <mergeCell ref="W222:W224"/>
    <mergeCell ref="F206:F208"/>
    <mergeCell ref="W206:W208"/>
    <mergeCell ref="F209:F211"/>
    <mergeCell ref="W209:W211"/>
    <mergeCell ref="F212:F214"/>
    <mergeCell ref="W212:W214"/>
    <mergeCell ref="F197:F199"/>
    <mergeCell ref="W197:W199"/>
    <mergeCell ref="F200:F202"/>
    <mergeCell ref="W200:W202"/>
    <mergeCell ref="F203:F205"/>
    <mergeCell ref="W203:W205"/>
    <mergeCell ref="F187:F189"/>
    <mergeCell ref="W187:W189"/>
    <mergeCell ref="F190:F192"/>
    <mergeCell ref="W190:W192"/>
    <mergeCell ref="F193:F195"/>
    <mergeCell ref="W193:W195"/>
    <mergeCell ref="C169:D242"/>
    <mergeCell ref="F169:F171"/>
    <mergeCell ref="W169:W171"/>
    <mergeCell ref="F172:F174"/>
    <mergeCell ref="W172:W174"/>
    <mergeCell ref="F175:F177"/>
    <mergeCell ref="F150:F152"/>
    <mergeCell ref="W150:W152"/>
    <mergeCell ref="F153:F155"/>
    <mergeCell ref="W153:W155"/>
    <mergeCell ref="F156:F158"/>
    <mergeCell ref="W156:W158"/>
    <mergeCell ref="W175:W177"/>
    <mergeCell ref="F178:F180"/>
    <mergeCell ref="W178:W180"/>
    <mergeCell ref="F181:F183"/>
    <mergeCell ref="W181:W183"/>
    <mergeCell ref="F184:F186"/>
    <mergeCell ref="W184:W186"/>
    <mergeCell ref="F159:F161"/>
    <mergeCell ref="W159:W161"/>
    <mergeCell ref="F163:M165"/>
    <mergeCell ref="F168:M168"/>
    <mergeCell ref="F196:M196"/>
    <mergeCell ref="W116:W118"/>
    <mergeCell ref="F119:F121"/>
    <mergeCell ref="W119:W121"/>
    <mergeCell ref="F140:M140"/>
    <mergeCell ref="F141:F143"/>
    <mergeCell ref="W141:W143"/>
    <mergeCell ref="F144:F146"/>
    <mergeCell ref="W144:W146"/>
    <mergeCell ref="F147:F149"/>
    <mergeCell ref="W147:W149"/>
    <mergeCell ref="F131:F133"/>
    <mergeCell ref="W131:W133"/>
    <mergeCell ref="F134:F136"/>
    <mergeCell ref="W134:W136"/>
    <mergeCell ref="F137:F139"/>
    <mergeCell ref="W137:W139"/>
    <mergeCell ref="F106:F108"/>
    <mergeCell ref="W106:W108"/>
    <mergeCell ref="F109:F111"/>
    <mergeCell ref="W109:W111"/>
    <mergeCell ref="C88:D161"/>
    <mergeCell ref="F88:F90"/>
    <mergeCell ref="W88:W90"/>
    <mergeCell ref="F91:F93"/>
    <mergeCell ref="W91:W93"/>
    <mergeCell ref="F94:F96"/>
    <mergeCell ref="W94:W96"/>
    <mergeCell ref="F97:F99"/>
    <mergeCell ref="W97:W99"/>
    <mergeCell ref="F100:F102"/>
    <mergeCell ref="F122:F124"/>
    <mergeCell ref="W122:W124"/>
    <mergeCell ref="F125:F127"/>
    <mergeCell ref="W125:W127"/>
    <mergeCell ref="F128:F130"/>
    <mergeCell ref="W128:W130"/>
    <mergeCell ref="F112:F114"/>
    <mergeCell ref="W112:W114"/>
    <mergeCell ref="F115:M115"/>
    <mergeCell ref="F116:F118"/>
    <mergeCell ref="F87:M87"/>
    <mergeCell ref="F66:F68"/>
    <mergeCell ref="W66:W68"/>
    <mergeCell ref="F69:F71"/>
    <mergeCell ref="W69:W71"/>
    <mergeCell ref="F72:F74"/>
    <mergeCell ref="W72:W74"/>
    <mergeCell ref="W100:W102"/>
    <mergeCell ref="F103:F105"/>
    <mergeCell ref="W103:W105"/>
    <mergeCell ref="F50:F52"/>
    <mergeCell ref="W50:W52"/>
    <mergeCell ref="F53:F55"/>
    <mergeCell ref="W53:W55"/>
    <mergeCell ref="F75:F77"/>
    <mergeCell ref="W75:W77"/>
    <mergeCell ref="F78:F80"/>
    <mergeCell ref="W78:W80"/>
    <mergeCell ref="F82:M84"/>
    <mergeCell ref="W47:W49"/>
    <mergeCell ref="F1:M3"/>
    <mergeCell ref="F6:M6"/>
    <mergeCell ref="F38:F40"/>
    <mergeCell ref="W38:W40"/>
    <mergeCell ref="F41:F43"/>
    <mergeCell ref="W41:W43"/>
    <mergeCell ref="F44:F46"/>
    <mergeCell ref="W44:W46"/>
    <mergeCell ref="F28:F30"/>
    <mergeCell ref="W28:W30"/>
    <mergeCell ref="F31:F33"/>
    <mergeCell ref="W31:W33"/>
    <mergeCell ref="F34:M34"/>
    <mergeCell ref="F35:F37"/>
    <mergeCell ref="W35:W37"/>
    <mergeCell ref="F271:M272"/>
    <mergeCell ref="C7:D80"/>
    <mergeCell ref="F7:F9"/>
    <mergeCell ref="W7:W9"/>
    <mergeCell ref="F10:F12"/>
    <mergeCell ref="W10:W12"/>
    <mergeCell ref="F13:F15"/>
    <mergeCell ref="W13:W15"/>
    <mergeCell ref="F16:F18"/>
    <mergeCell ref="W16:W18"/>
    <mergeCell ref="F19:F21"/>
    <mergeCell ref="W19:W21"/>
    <mergeCell ref="F22:F24"/>
    <mergeCell ref="W22:W24"/>
    <mergeCell ref="F25:F27"/>
    <mergeCell ref="W25:W27"/>
    <mergeCell ref="F56:F58"/>
    <mergeCell ref="W56:W58"/>
    <mergeCell ref="F59:M59"/>
    <mergeCell ref="F60:F62"/>
    <mergeCell ref="W60:W62"/>
    <mergeCell ref="F63:F65"/>
    <mergeCell ref="W63:W65"/>
    <mergeCell ref="F47:F49"/>
  </mergeCells>
  <conditionalFormatting sqref="F7:M232 F233:H234 J233:M234 F235:M268">
    <cfRule type="containsText" dxfId="90" priority="12" operator="containsText" text="Pilot">
      <formula>NOT(ISERROR(SEARCH("Pilot",F7)))</formula>
    </cfRule>
    <cfRule type="containsText" dxfId="89" priority="13" operator="containsText" text="unfilled">
      <formula>NOT(ISERROR(SEARCH("unfilled",F7)))</formula>
    </cfRule>
    <cfRule type="containsText" dxfId="88" priority="14" operator="containsText" text="post">
      <formula>NOT(ISERROR(SEARCH("post",F7)))</formula>
    </cfRule>
  </conditionalFormatting>
  <conditionalFormatting sqref="I275:I304">
    <cfRule type="cellIs" dxfId="87" priority="1" operator="equal">
      <formula>0</formula>
    </cfRule>
  </conditionalFormatting>
  <conditionalFormatting sqref="J275:L304">
    <cfRule type="expression" dxfId="86" priority="3">
      <formula>J275=0</formula>
    </cfRule>
  </conditionalFormatting>
  <conditionalFormatting sqref="M275:M304 K307:K331">
    <cfRule type="containsText" dxfId="85" priority="2" operator="containsText" text="NOT CLAIMED">
      <formula>NOT(ISERROR(SEARCH("NOT CLAIMED",K275)))</formula>
    </cfRule>
  </conditionalFormatting>
  <conditionalFormatting sqref="X240:AD240">
    <cfRule type="containsText" dxfId="84" priority="6" operator="containsText" text="Pilot">
      <formula>NOT(ISERROR(SEARCH("Pilot",X240)))</formula>
    </cfRule>
    <cfRule type="containsText" dxfId="83" priority="7" operator="containsText" text="unfilled">
      <formula>NOT(ISERROR(SEARCH("unfilled",X240)))</formula>
    </cfRule>
    <cfRule type="containsText" dxfId="82" priority="8" operator="containsText" text="post">
      <formula>NOT(ISERROR(SEARCH("post",X240)))</formula>
    </cfRule>
  </conditionalFormatting>
  <pageMargins left="0.25" right="0.25" top="0.75" bottom="0.75" header="0.3" footer="0.3"/>
  <pageSetup scale="41" fitToHeight="0" orientation="landscape" r:id="rId1"/>
  <rowBreaks count="3" manualBreakCount="3">
    <brk id="81" min="2" max="12" man="1"/>
    <brk id="161" min="2" max="12" man="1"/>
    <brk id="243" min="2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8FF6-9E6F-4D2A-A318-8423AC4187AA}">
  <sheetPr codeName="Sheet8">
    <tabColor theme="9" tint="0.59999389629810485"/>
    <pageSetUpPr fitToPage="1"/>
  </sheetPr>
  <dimension ref="D1:AK322"/>
  <sheetViews>
    <sheetView showGridLines="0" showRowColHeaders="0" tabSelected="1" topLeftCell="D1" zoomScale="60" zoomScaleNormal="60" workbookViewId="0">
      <pane xSplit="2" ySplit="4" topLeftCell="K79" activePane="bottomRight" state="frozen"/>
      <selection pane="topRight" activeCell="J55" activeCellId="1" sqref="J26 J55"/>
      <selection pane="bottomLeft" activeCell="J55" activeCellId="1" sqref="J26 J55"/>
      <selection pane="bottomRight" activeCell="M18" sqref="M18"/>
    </sheetView>
  </sheetViews>
  <sheetFormatPr defaultColWidth="11" defaultRowHeight="15.5" x14ac:dyDescent="0.35"/>
  <cols>
    <col min="1" max="3" width="0" hidden="1" customWidth="1"/>
    <col min="4" max="4" width="29.08203125" customWidth="1"/>
    <col min="5" max="5" width="29.58203125" hidden="1" customWidth="1"/>
    <col min="6" max="6" width="24.08203125" style="291" customWidth="1"/>
    <col min="7" max="7" width="23.58203125" style="291" customWidth="1"/>
    <col min="8" max="8" width="17.58203125" style="8" customWidth="1"/>
    <col min="9" max="9" width="18" style="8" customWidth="1"/>
    <col min="10" max="10" width="14.58203125" style="8" customWidth="1"/>
    <col min="11" max="11" width="18.08203125" style="8" customWidth="1"/>
    <col min="12" max="12" width="14.58203125" style="8" customWidth="1"/>
    <col min="13" max="13" width="18.08203125" style="8" customWidth="1"/>
    <col min="14" max="14" width="14.58203125" style="8" customWidth="1"/>
    <col min="15" max="15" width="18.08203125" style="8" customWidth="1"/>
    <col min="16" max="16" width="14.58203125" style="8" customWidth="1"/>
    <col min="17" max="17" width="18.08203125" style="8" customWidth="1"/>
    <col min="18" max="18" width="14.58203125" style="8" customWidth="1"/>
    <col min="19" max="19" width="18.08203125" style="8" customWidth="1"/>
    <col min="20" max="20" width="14.58203125" style="8" customWidth="1"/>
    <col min="21" max="21" width="18.08203125" style="8" customWidth="1"/>
    <col min="22" max="22" width="14.58203125" style="8" customWidth="1"/>
    <col min="23" max="25" width="11" customWidth="1"/>
    <col min="26" max="26" width="11" style="4" customWidth="1"/>
    <col min="27" max="28" width="11" style="4" hidden="1" customWidth="1"/>
    <col min="29" max="29" width="14" style="4" hidden="1" customWidth="1"/>
    <col min="30" max="35" width="11" style="4" hidden="1" customWidth="1"/>
    <col min="36" max="37" width="11" hidden="1" customWidth="1"/>
    <col min="38" max="41" width="11" customWidth="1"/>
  </cols>
  <sheetData>
    <row r="1" spans="4:34" ht="22.5" customHeight="1" thickTop="1" x14ac:dyDescent="0.35">
      <c r="D1" s="438" t="s">
        <v>199</v>
      </c>
      <c r="E1" s="205"/>
      <c r="F1" s="440" t="s">
        <v>200</v>
      </c>
      <c r="G1" s="440" t="s">
        <v>201</v>
      </c>
      <c r="H1" s="440" t="s">
        <v>202</v>
      </c>
      <c r="I1" s="436">
        <f>Sheet1!F1</f>
        <v>45969</v>
      </c>
      <c r="J1" s="442"/>
      <c r="K1" s="436">
        <f>+I1+1</f>
        <v>45970</v>
      </c>
      <c r="L1" s="442"/>
      <c r="M1" s="436">
        <f>+K1+1</f>
        <v>45971</v>
      </c>
      <c r="N1" s="442"/>
      <c r="O1" s="436">
        <f>+M1+1</f>
        <v>45972</v>
      </c>
      <c r="P1" s="442"/>
      <c r="Q1" s="436">
        <f>+O1+1</f>
        <v>45973</v>
      </c>
      <c r="R1" s="442"/>
      <c r="S1" s="436">
        <f>+Q1+1</f>
        <v>45974</v>
      </c>
      <c r="T1" s="442"/>
      <c r="U1" s="436">
        <f>+S1+1</f>
        <v>45975</v>
      </c>
      <c r="V1" s="437"/>
      <c r="W1" s="207"/>
      <c r="X1" s="207"/>
      <c r="Y1" s="207"/>
      <c r="Z1" s="208"/>
      <c r="AC1" s="4" t="s">
        <v>203</v>
      </c>
      <c r="AD1" s="4" t="s">
        <v>204</v>
      </c>
    </row>
    <row r="2" spans="4:34" ht="28.5" customHeight="1" thickBot="1" x14ac:dyDescent="0.4">
      <c r="D2" s="439"/>
      <c r="E2" s="209"/>
      <c r="F2" s="441"/>
      <c r="G2" s="441"/>
      <c r="H2" s="441"/>
      <c r="I2" s="443" t="str">
        <f>TEXT(I1,"dddd")</f>
        <v>Saturday</v>
      </c>
      <c r="J2" s="444"/>
      <c r="K2" s="443" t="str">
        <f>TEXT(K1,"dddd")</f>
        <v>Sunday</v>
      </c>
      <c r="L2" s="444"/>
      <c r="M2" s="443" t="str">
        <f>TEXT(M1,"dddd")</f>
        <v>Monday</v>
      </c>
      <c r="N2" s="444"/>
      <c r="O2" s="443" t="str">
        <f>TEXT(O1,"dddd")</f>
        <v>Tuesday</v>
      </c>
      <c r="P2" s="444"/>
      <c r="Q2" s="443" t="str">
        <f>TEXT(Q1,"dddd")</f>
        <v>Wednesday</v>
      </c>
      <c r="R2" s="444"/>
      <c r="S2" s="443" t="str">
        <f>TEXT(S1,"dddd")</f>
        <v>Thursday</v>
      </c>
      <c r="T2" s="444"/>
      <c r="U2" s="443" t="str">
        <f>TEXT(U1,"dddd")</f>
        <v>Friday</v>
      </c>
      <c r="V2" s="451"/>
      <c r="W2" s="207"/>
      <c r="X2" s="207"/>
      <c r="Y2" s="207"/>
      <c r="Z2" s="208"/>
      <c r="AC2" s="4" t="s">
        <v>205</v>
      </c>
      <c r="AD2" s="4" t="s">
        <v>206</v>
      </c>
    </row>
    <row r="3" spans="4:34" ht="17.25" customHeight="1" x14ac:dyDescent="0.35">
      <c r="D3" s="452" t="s">
        <v>207</v>
      </c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/>
      <c r="V3" s="454"/>
      <c r="W3" s="211"/>
      <c r="X3" s="211"/>
      <c r="Y3" s="211"/>
      <c r="Z3" s="212"/>
    </row>
    <row r="4" spans="4:34" ht="17.25" customHeight="1" thickBot="1" x14ac:dyDescent="0.4">
      <c r="D4" s="455"/>
      <c r="E4" s="456"/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7"/>
      <c r="W4" s="211"/>
      <c r="X4" s="211"/>
      <c r="Y4" s="211"/>
      <c r="Z4" s="212"/>
      <c r="AC4" s="213" t="s">
        <v>208</v>
      </c>
    </row>
    <row r="5" spans="4:34" ht="21" customHeight="1" x14ac:dyDescent="0.5">
      <c r="D5" s="214" t="str" cm="1">
        <f t="array" ref="D5:V103">_xlfn._xlws.FILTER(Sheet1!A2:S333,Sheet1!T2:T333=AC1)</f>
        <v>BAILEY, STEVEN</v>
      </c>
      <c r="E5" s="215" t="str">
        <v>1019125</v>
      </c>
      <c r="F5" s="216" t="str">
        <v>GREATLAKES</v>
      </c>
      <c r="G5" s="217" t="str">
        <v>CD-3</v>
      </c>
      <c r="H5" s="222">
        <v>0</v>
      </c>
      <c r="I5" s="223">
        <v>0</v>
      </c>
      <c r="J5" s="224" t="str">
        <v>CD-3</v>
      </c>
      <c r="K5" s="223">
        <v>0</v>
      </c>
      <c r="L5" s="224" t="str">
        <v>CD-3</v>
      </c>
      <c r="M5" s="223">
        <v>0</v>
      </c>
      <c r="N5" s="224" t="str">
        <v>OFF</v>
      </c>
      <c r="O5" s="223">
        <v>0</v>
      </c>
      <c r="P5" s="224" t="str">
        <v>OFF</v>
      </c>
      <c r="Q5" s="223" t="str">
        <v>DIVERTED -ST</v>
      </c>
      <c r="R5" s="224" t="str">
        <v>CG-3</v>
      </c>
      <c r="S5" s="223">
        <v>0</v>
      </c>
      <c r="T5" s="224" t="str">
        <v>CD-3</v>
      </c>
      <c r="U5" s="223">
        <v>0</v>
      </c>
      <c r="V5" s="224" t="str">
        <v>CD-3</v>
      </c>
      <c r="W5" s="225"/>
      <c r="X5" s="225"/>
      <c r="Y5" s="225"/>
      <c r="Z5" s="226"/>
    </row>
    <row r="6" spans="4:34" ht="21" customHeight="1" x14ac:dyDescent="0.5">
      <c r="D6" s="218" t="str">
        <v>BAUMAN, BRENT</v>
      </c>
      <c r="E6" s="219" t="str">
        <v>1003540</v>
      </c>
      <c r="F6" s="220" t="str">
        <v>KEYSTONE</v>
      </c>
      <c r="G6" s="221" t="str">
        <v>MV-1</v>
      </c>
      <c r="H6" s="31">
        <v>0</v>
      </c>
      <c r="I6" s="227">
        <v>0</v>
      </c>
      <c r="J6" s="30" t="str">
        <v>MV-1</v>
      </c>
      <c r="K6" s="227">
        <v>0</v>
      </c>
      <c r="L6" s="30" t="str">
        <v>MV-1</v>
      </c>
      <c r="M6" s="227">
        <v>0</v>
      </c>
      <c r="N6" s="30" t="str">
        <v>OFF</v>
      </c>
      <c r="O6" s="227">
        <v>0</v>
      </c>
      <c r="P6" s="30" t="str">
        <v>OFF</v>
      </c>
      <c r="Q6" s="227">
        <v>0</v>
      </c>
      <c r="R6" s="30" t="str">
        <v>MV-1</v>
      </c>
      <c r="S6" s="227">
        <v>0</v>
      </c>
      <c r="T6" s="30" t="str">
        <v>MV-1</v>
      </c>
      <c r="U6" s="227">
        <v>0</v>
      </c>
      <c r="V6" s="30" t="str">
        <v>MV-1</v>
      </c>
      <c r="W6" s="225"/>
      <c r="X6" s="225"/>
      <c r="Y6" s="225"/>
      <c r="Z6" s="226"/>
      <c r="AE6" s="228" t="s">
        <v>209</v>
      </c>
      <c r="AF6" s="229" t="s">
        <v>210</v>
      </c>
      <c r="AG6" s="230" t="s">
        <v>211</v>
      </c>
      <c r="AH6" s="231" t="s">
        <v>212</v>
      </c>
    </row>
    <row r="7" spans="4:34" ht="21" customHeight="1" x14ac:dyDescent="0.5">
      <c r="D7" s="218" t="str">
        <v>BLAIR, ROBERT</v>
      </c>
      <c r="E7" s="219" t="str">
        <v>0876596</v>
      </c>
      <c r="F7" s="220" t="str">
        <v>MIDWEST</v>
      </c>
      <c r="G7" s="221" t="str">
        <v>LF-2</v>
      </c>
      <c r="H7" s="31">
        <v>0</v>
      </c>
      <c r="I7" s="227" t="str">
        <v>V-WK</v>
      </c>
      <c r="J7" s="30" t="str">
        <v>V-WK</v>
      </c>
      <c r="K7" s="227" t="str">
        <v>V-WK</v>
      </c>
      <c r="L7" s="30" t="str">
        <v>V-WK</v>
      </c>
      <c r="M7" s="227">
        <v>0</v>
      </c>
      <c r="N7" s="30" t="str">
        <v>OFF</v>
      </c>
      <c r="O7" s="227">
        <v>0</v>
      </c>
      <c r="P7" s="30" t="str">
        <v>OFF</v>
      </c>
      <c r="Q7" s="227">
        <v>0</v>
      </c>
      <c r="R7" s="30" t="str">
        <v>LF-2</v>
      </c>
      <c r="S7" s="227" t="str">
        <v>S-SD</v>
      </c>
      <c r="T7" s="30" t="str">
        <v>S-SD</v>
      </c>
      <c r="U7" s="227">
        <v>0</v>
      </c>
      <c r="V7" s="30" t="str">
        <v>LF-2</v>
      </c>
      <c r="W7" s="225"/>
      <c r="X7" s="225"/>
      <c r="Y7" s="225"/>
      <c r="Z7" s="226"/>
      <c r="AE7" s="228" t="s">
        <v>213</v>
      </c>
      <c r="AF7" s="229" t="s">
        <v>214</v>
      </c>
      <c r="AH7" s="231" t="s">
        <v>215</v>
      </c>
    </row>
    <row r="8" spans="4:34" ht="21" customHeight="1" x14ac:dyDescent="0.5">
      <c r="D8" s="218" t="str">
        <v>BOLEN, MEGAN</v>
      </c>
      <c r="E8" s="219" t="str">
        <v>1019898</v>
      </c>
      <c r="F8" s="220" t="str">
        <v>MIDWEST</v>
      </c>
      <c r="G8" s="221" t="str">
        <v>KC-2</v>
      </c>
      <c r="H8" s="31">
        <v>0</v>
      </c>
      <c r="I8" s="227">
        <v>0</v>
      </c>
      <c r="J8" s="30" t="str">
        <v>KC-2</v>
      </c>
      <c r="K8" s="227">
        <v>0</v>
      </c>
      <c r="L8" s="30" t="str">
        <v>KC-2</v>
      </c>
      <c r="M8" s="227">
        <v>0</v>
      </c>
      <c r="N8" s="30" t="str">
        <v>KC-2</v>
      </c>
      <c r="O8" s="227">
        <v>0</v>
      </c>
      <c r="P8" s="30" t="str">
        <v>OFF</v>
      </c>
      <c r="Q8" s="227">
        <v>0</v>
      </c>
      <c r="R8" s="30" t="str">
        <v>OFF</v>
      </c>
      <c r="S8" s="227">
        <v>0</v>
      </c>
      <c r="T8" s="30" t="str">
        <v>KC-2</v>
      </c>
      <c r="U8" s="227">
        <v>0</v>
      </c>
      <c r="V8" s="30" t="str">
        <v>KC-2</v>
      </c>
      <c r="W8" s="225"/>
      <c r="X8" s="225"/>
      <c r="Y8" s="225"/>
      <c r="Z8" s="226"/>
      <c r="AE8" s="228" t="s">
        <v>216</v>
      </c>
      <c r="AF8" s="229"/>
      <c r="AH8" s="231"/>
    </row>
    <row r="9" spans="4:34" ht="21" customHeight="1" x14ac:dyDescent="0.5">
      <c r="D9" s="218" t="str">
        <v>BOVIALL, STEVE</v>
      </c>
      <c r="E9" s="219" t="str">
        <v>0768447</v>
      </c>
      <c r="F9" s="220" t="str">
        <v>MIDWEST</v>
      </c>
      <c r="G9" s="221" t="str">
        <v>KY-3</v>
      </c>
      <c r="H9" s="31">
        <v>0</v>
      </c>
      <c r="I9" s="227" t="str">
        <v>OVERTIME</v>
      </c>
      <c r="J9" s="30" t="str">
        <v>LF-3</v>
      </c>
      <c r="K9" s="227">
        <v>0</v>
      </c>
      <c r="L9" s="30" t="str">
        <v>KY-3</v>
      </c>
      <c r="M9" s="227">
        <v>0</v>
      </c>
      <c r="N9" s="30" t="str">
        <v>KY-3</v>
      </c>
      <c r="O9" s="227">
        <v>0</v>
      </c>
      <c r="P9" s="30" t="str">
        <v>KY-3</v>
      </c>
      <c r="Q9" s="227">
        <v>0</v>
      </c>
      <c r="R9" s="30" t="str">
        <v>KY-3</v>
      </c>
      <c r="S9" s="227">
        <v>0</v>
      </c>
      <c r="T9" s="30" t="str">
        <v>KY-3</v>
      </c>
      <c r="U9" s="227">
        <v>0</v>
      </c>
      <c r="V9" s="30" t="str">
        <v>OFF</v>
      </c>
      <c r="W9" s="225"/>
      <c r="X9" s="225"/>
      <c r="Y9" s="225"/>
      <c r="Z9" s="226"/>
      <c r="AE9" s="228" t="s">
        <v>217</v>
      </c>
      <c r="AF9" s="229"/>
      <c r="AH9" s="231"/>
    </row>
    <row r="10" spans="4:34" ht="21" customHeight="1" x14ac:dyDescent="0.5">
      <c r="D10" s="218" t="str">
        <v>BOX, MANDY</v>
      </c>
      <c r="E10" s="219" t="str">
        <v>1014066</v>
      </c>
      <c r="F10" s="220" t="str">
        <v>KEYSTONE</v>
      </c>
      <c r="G10" s="221" t="str">
        <v>DH-3</v>
      </c>
      <c r="H10" s="31">
        <v>0</v>
      </c>
      <c r="I10" s="227" t="str">
        <v>DIVERTED -ST</v>
      </c>
      <c r="J10" s="30" t="str">
        <v>PE-3</v>
      </c>
      <c r="K10" s="227" t="str">
        <v>DIVERTED -ST</v>
      </c>
      <c r="L10" s="30" t="str">
        <v>LF-3</v>
      </c>
      <c r="M10" s="227" t="str">
        <v/>
      </c>
      <c r="N10" s="30" t="str">
        <v>DH-3-POST</v>
      </c>
      <c r="O10" s="227" t="str">
        <v/>
      </c>
      <c r="P10" s="30" t="str">
        <v>DH-3-POST</v>
      </c>
      <c r="Q10" s="227" t="str">
        <v/>
      </c>
      <c r="R10" s="30" t="str">
        <v>OFF</v>
      </c>
      <c r="S10" s="227" t="str">
        <v/>
      </c>
      <c r="T10" s="30" t="str">
        <v>OFF</v>
      </c>
      <c r="U10" s="227" t="str">
        <v/>
      </c>
      <c r="V10" s="30" t="str">
        <v>DH-3-POST</v>
      </c>
      <c r="W10" s="225"/>
      <c r="X10" s="225"/>
      <c r="Y10" s="225"/>
      <c r="Z10" s="226"/>
      <c r="AE10" s="4" t="s">
        <v>218</v>
      </c>
    </row>
    <row r="11" spans="4:34" ht="21" customHeight="1" x14ac:dyDescent="0.5">
      <c r="D11" s="218" t="str">
        <v>BOYD, MIA</v>
      </c>
      <c r="E11" s="219" t="str">
        <v>0361480</v>
      </c>
      <c r="F11" s="220" t="str">
        <v>KEYSTONE</v>
      </c>
      <c r="G11" s="221" t="str">
        <v>RL-R</v>
      </c>
      <c r="H11" s="31">
        <v>0</v>
      </c>
      <c r="I11" s="227">
        <v>0</v>
      </c>
      <c r="J11" s="30" t="str">
        <v>RL-1</v>
      </c>
      <c r="K11" s="227">
        <v>0</v>
      </c>
      <c r="L11" s="30" t="str">
        <v>RL-2</v>
      </c>
      <c r="M11" s="227">
        <v>0</v>
      </c>
      <c r="N11" s="30" t="str">
        <v>RL-2</v>
      </c>
      <c r="O11" s="227">
        <v>0</v>
      </c>
      <c r="P11" s="30" t="str">
        <v>RL-3</v>
      </c>
      <c r="Q11" s="227">
        <v>0</v>
      </c>
      <c r="R11" s="30" t="str">
        <v>OFF</v>
      </c>
      <c r="S11" s="227">
        <v>0</v>
      </c>
      <c r="T11" s="30" t="str">
        <v>OFF</v>
      </c>
      <c r="U11" s="227">
        <v>0</v>
      </c>
      <c r="V11" s="30" t="str">
        <v>RL-1</v>
      </c>
      <c r="W11" s="225"/>
      <c r="X11" s="225"/>
      <c r="Y11" s="225"/>
      <c r="Z11" s="226"/>
    </row>
    <row r="12" spans="4:34" ht="21" customHeight="1" x14ac:dyDescent="0.5">
      <c r="D12" s="218" t="str">
        <v>BRENNEKE, TAMI</v>
      </c>
      <c r="E12" s="219" t="str">
        <v>0133792</v>
      </c>
      <c r="F12" s="220" t="str">
        <v>GREATLAKES</v>
      </c>
      <c r="G12" s="221" t="str">
        <v>SA-1</v>
      </c>
      <c r="H12" s="31">
        <v>0</v>
      </c>
      <c r="I12" s="227">
        <v>0</v>
      </c>
      <c r="J12" s="30" t="str">
        <v>OFF</v>
      </c>
      <c r="K12" s="227">
        <v>0</v>
      </c>
      <c r="L12" s="30" t="str">
        <v>SA-1</v>
      </c>
      <c r="M12" s="227">
        <v>0</v>
      </c>
      <c r="N12" s="30" t="str">
        <v>SA-1</v>
      </c>
      <c r="O12" s="227">
        <v>0</v>
      </c>
      <c r="P12" s="30" t="str">
        <v>SA-1</v>
      </c>
      <c r="Q12" s="227">
        <v>0</v>
      </c>
      <c r="R12" s="30" t="str">
        <v>SA-1</v>
      </c>
      <c r="S12" s="227">
        <v>0</v>
      </c>
      <c r="T12" s="30" t="str">
        <v>SA-1</v>
      </c>
      <c r="U12" s="227">
        <v>0</v>
      </c>
      <c r="V12" s="30" t="str">
        <v>OFF</v>
      </c>
      <c r="W12" s="225"/>
      <c r="X12" s="225"/>
      <c r="Y12" s="225"/>
      <c r="Z12" s="226"/>
    </row>
    <row r="13" spans="4:34" ht="21" customHeight="1" x14ac:dyDescent="0.5">
      <c r="D13" s="218" t="str">
        <v>BRIMAH, ABDUL</v>
      </c>
      <c r="E13" s="219" t="str">
        <v>1016914</v>
      </c>
      <c r="F13" s="220" t="str">
        <v>GREATLAKES</v>
      </c>
      <c r="G13" s="221" t="str">
        <v>MT-R</v>
      </c>
      <c r="H13" s="31">
        <v>0</v>
      </c>
      <c r="I13" s="227">
        <v>0</v>
      </c>
      <c r="J13" s="30" t="str">
        <v>OFF</v>
      </c>
      <c r="K13" s="227">
        <v>0</v>
      </c>
      <c r="L13" s="30" t="str">
        <v>MT-1</v>
      </c>
      <c r="M13" s="227">
        <v>0</v>
      </c>
      <c r="N13" s="30" t="str">
        <v>MT-1</v>
      </c>
      <c r="O13" s="227">
        <v>0</v>
      </c>
      <c r="P13" s="30" t="str">
        <v>MT-2</v>
      </c>
      <c r="Q13" s="227">
        <v>0</v>
      </c>
      <c r="R13" s="30" t="str">
        <v>MT-2</v>
      </c>
      <c r="S13" s="227">
        <v>0</v>
      </c>
      <c r="T13" s="30" t="str">
        <v>MT-3</v>
      </c>
      <c r="U13" s="227">
        <v>0</v>
      </c>
      <c r="V13" s="30" t="str">
        <v>OFF</v>
      </c>
      <c r="W13" s="225"/>
      <c r="X13" s="225"/>
      <c r="Y13" s="225"/>
      <c r="Z13" s="226"/>
    </row>
    <row r="14" spans="4:34" ht="21" customHeight="1" x14ac:dyDescent="0.5">
      <c r="D14" s="218" t="str">
        <v>BROSKIN, CHRIS</v>
      </c>
      <c r="E14" s="219" t="str">
        <v>0180517</v>
      </c>
      <c r="F14" s="220" t="str">
        <v>GREATLAKES</v>
      </c>
      <c r="G14" s="221" t="str">
        <v>DT-1</v>
      </c>
      <c r="H14" s="31">
        <v>0</v>
      </c>
      <c r="I14" s="227">
        <v>0</v>
      </c>
      <c r="J14" s="30" t="str">
        <v>OFF</v>
      </c>
      <c r="K14" s="227">
        <v>0</v>
      </c>
      <c r="L14" s="30" t="str">
        <v>DT-1</v>
      </c>
      <c r="M14" s="227">
        <v>0</v>
      </c>
      <c r="N14" s="30" t="str">
        <v>DT-1</v>
      </c>
      <c r="O14" s="227">
        <v>0</v>
      </c>
      <c r="P14" s="30" t="str">
        <v>DT-1</v>
      </c>
      <c r="Q14" s="227">
        <v>0</v>
      </c>
      <c r="R14" s="30" t="str">
        <v>DT-1</v>
      </c>
      <c r="S14" s="227">
        <v>0</v>
      </c>
      <c r="T14" s="30" t="str">
        <v>DT-1</v>
      </c>
      <c r="U14" s="227">
        <v>0</v>
      </c>
      <c r="V14" s="30" t="str">
        <v>OFF</v>
      </c>
      <c r="W14" s="225"/>
      <c r="X14" s="225"/>
      <c r="Y14" s="225"/>
      <c r="Z14" s="226"/>
    </row>
    <row r="15" spans="4:34" ht="21" customHeight="1" x14ac:dyDescent="0.5">
      <c r="D15" s="218" t="str">
        <v>BULLINGTON, BILLY</v>
      </c>
      <c r="E15" s="219" t="str">
        <v>1003910</v>
      </c>
      <c r="F15" s="220" t="str">
        <v>MIDWEST ATW</v>
      </c>
      <c r="G15" s="221" t="str">
        <v>MW ATW</v>
      </c>
      <c r="H15" s="31">
        <v>0</v>
      </c>
      <c r="I15" s="227">
        <v>0</v>
      </c>
      <c r="J15" s="30" t="str">
        <v>OFF</v>
      </c>
      <c r="K15" s="227">
        <v>0</v>
      </c>
      <c r="L15" s="30" t="str">
        <v>OFF</v>
      </c>
      <c r="M15" s="227">
        <v>0</v>
      </c>
      <c r="N15" s="30" t="str">
        <v>SW-3</v>
      </c>
      <c r="O15" s="227">
        <v>0</v>
      </c>
      <c r="P15" s="30" t="str">
        <v>SO-3</v>
      </c>
      <c r="Q15" s="227">
        <v>0</v>
      </c>
      <c r="R15" s="30" t="str">
        <v>SP-3</v>
      </c>
      <c r="S15" s="227">
        <v>0</v>
      </c>
      <c r="T15" s="30" t="str">
        <v>LF-3</v>
      </c>
      <c r="U15" s="227">
        <v>0</v>
      </c>
      <c r="V15" s="30" t="str">
        <v>KC-3</v>
      </c>
      <c r="W15" s="225"/>
      <c r="X15" s="225"/>
      <c r="Y15" s="225"/>
      <c r="Z15" s="226"/>
      <c r="AA15" s="4">
        <f>_xlfn.IFNA(,"")</f>
        <v>0</v>
      </c>
    </row>
    <row r="16" spans="4:34" ht="21" customHeight="1" x14ac:dyDescent="0.5">
      <c r="D16" s="218" t="str">
        <v>BULLO, GABRIELLE</v>
      </c>
      <c r="E16" s="219" t="str">
        <v>1003548</v>
      </c>
      <c r="F16" s="220" t="str">
        <v>GREATLAKES</v>
      </c>
      <c r="G16" s="221" t="str">
        <v>DT-3</v>
      </c>
      <c r="H16" s="31">
        <v>0</v>
      </c>
      <c r="I16" s="227">
        <v>0</v>
      </c>
      <c r="J16" s="30" t="str">
        <v>DT-3</v>
      </c>
      <c r="K16" s="227">
        <v>0</v>
      </c>
      <c r="L16" s="30" t="str">
        <v>DT-3</v>
      </c>
      <c r="M16" s="227">
        <v>0</v>
      </c>
      <c r="N16" s="30" t="str">
        <v>OFF</v>
      </c>
      <c r="O16" s="227">
        <v>0</v>
      </c>
      <c r="P16" s="30" t="str">
        <v>OFF</v>
      </c>
      <c r="Q16" s="227">
        <v>0</v>
      </c>
      <c r="R16" s="30" t="str">
        <v>DT-3</v>
      </c>
      <c r="S16" s="227">
        <v>0</v>
      </c>
      <c r="T16" s="30" t="str">
        <v>DT-3</v>
      </c>
      <c r="U16" s="227">
        <v>0</v>
      </c>
      <c r="V16" s="30" t="str">
        <v>DT-3</v>
      </c>
      <c r="W16" s="225"/>
      <c r="X16" s="225"/>
      <c r="Y16" s="225"/>
      <c r="Z16" s="226"/>
    </row>
    <row r="17" spans="4:28" ht="21" customHeight="1" x14ac:dyDescent="0.5">
      <c r="D17" s="218" t="str">
        <v>CAMARDA, CHRIS</v>
      </c>
      <c r="E17" s="219" t="str">
        <v>0121255</v>
      </c>
      <c r="F17" s="220" t="str">
        <v>KEYSTONE</v>
      </c>
      <c r="G17" s="221" t="str">
        <v>HT-1</v>
      </c>
      <c r="H17" s="31">
        <v>0</v>
      </c>
      <c r="I17" s="227">
        <v>0</v>
      </c>
      <c r="J17" s="30" t="str">
        <v>OFF</v>
      </c>
      <c r="K17" s="227">
        <v>0</v>
      </c>
      <c r="L17" s="30" t="str">
        <v>HT-1</v>
      </c>
      <c r="M17" s="227">
        <v>0</v>
      </c>
      <c r="N17" s="30" t="str">
        <v>HT-1</v>
      </c>
      <c r="O17" s="227">
        <v>0</v>
      </c>
      <c r="P17" s="30" t="str">
        <v>HT-1</v>
      </c>
      <c r="Q17" s="227">
        <v>0</v>
      </c>
      <c r="R17" s="30" t="str">
        <v>HT-1</v>
      </c>
      <c r="S17" s="227">
        <v>0</v>
      </c>
      <c r="T17" s="30" t="str">
        <v>HT-1</v>
      </c>
      <c r="U17" s="227">
        <v>0</v>
      </c>
      <c r="V17" s="30" t="str">
        <v>OFF</v>
      </c>
      <c r="W17" s="225"/>
      <c r="X17" s="225"/>
      <c r="Y17" s="225"/>
      <c r="Z17" s="226"/>
    </row>
    <row r="18" spans="4:28" ht="21" customHeight="1" x14ac:dyDescent="0.5">
      <c r="D18" s="218" t="str">
        <v>CAREY, JON</v>
      </c>
      <c r="E18" s="219" t="str">
        <v>1016564</v>
      </c>
      <c r="F18" s="220" t="str">
        <v>MIDWEST</v>
      </c>
      <c r="G18" s="221" t="str">
        <v>SO-R</v>
      </c>
      <c r="H18" s="31">
        <v>0</v>
      </c>
      <c r="I18" s="227">
        <v>0</v>
      </c>
      <c r="J18" s="30" t="str">
        <v>SO-1</v>
      </c>
      <c r="K18" s="227">
        <v>0</v>
      </c>
      <c r="L18" s="30" t="str">
        <v>SO-1</v>
      </c>
      <c r="M18" s="227">
        <v>0</v>
      </c>
      <c r="N18" s="30" t="str">
        <v>SO-2</v>
      </c>
      <c r="O18" s="227" t="str">
        <v>DIVERTED -ST</v>
      </c>
      <c r="P18" s="30" t="str">
        <v>PE-2</v>
      </c>
      <c r="Q18" s="227" t="str">
        <v>S-SD</v>
      </c>
      <c r="R18" s="30" t="str">
        <v>S-SD</v>
      </c>
      <c r="S18" s="227">
        <v>0</v>
      </c>
      <c r="T18" s="30" t="str">
        <v>OFF</v>
      </c>
      <c r="U18" s="227">
        <v>0</v>
      </c>
      <c r="V18" s="30" t="str">
        <v>OFF</v>
      </c>
      <c r="W18" s="225"/>
      <c r="X18" s="225"/>
      <c r="Y18" s="225"/>
      <c r="Z18" s="226"/>
    </row>
    <row r="19" spans="4:28" ht="21" customHeight="1" x14ac:dyDescent="0.5">
      <c r="D19" s="218" t="str">
        <v>CARR, JEREMY</v>
      </c>
      <c r="E19" s="219" t="str">
        <v>0139924</v>
      </c>
      <c r="F19" s="220" t="str">
        <v>KEYSTONE</v>
      </c>
      <c r="G19" s="221" t="str">
        <v>HE-1</v>
      </c>
      <c r="H19" s="31">
        <v>0</v>
      </c>
      <c r="I19" s="227">
        <v>0</v>
      </c>
      <c r="J19" s="30" t="str">
        <v>OFF</v>
      </c>
      <c r="K19" s="227">
        <v>0</v>
      </c>
      <c r="L19" s="30" t="str">
        <v>OFF</v>
      </c>
      <c r="M19" s="227" t="str">
        <v>S-APPT</v>
      </c>
      <c r="N19" s="30" t="str">
        <v>S-APPT</v>
      </c>
      <c r="O19" s="227">
        <v>0</v>
      </c>
      <c r="P19" s="30" t="str">
        <v>HE-1</v>
      </c>
      <c r="Q19" s="227">
        <v>0</v>
      </c>
      <c r="R19" s="30" t="str">
        <v>HE-1</v>
      </c>
      <c r="S19" s="227">
        <v>0</v>
      </c>
      <c r="T19" s="30" t="str">
        <v>HE-1</v>
      </c>
      <c r="U19" s="227">
        <v>0</v>
      </c>
      <c r="V19" s="30" t="str">
        <v>HE-1</v>
      </c>
      <c r="W19" s="225"/>
      <c r="X19" s="225"/>
      <c r="Y19" s="225"/>
      <c r="Z19" s="226"/>
      <c r="AB19" s="4" t="s">
        <v>219</v>
      </c>
    </row>
    <row r="20" spans="4:28" ht="21" customHeight="1" x14ac:dyDescent="0.5">
      <c r="D20" s="218" t="str">
        <v>CHERRY, ERICA</v>
      </c>
      <c r="E20" s="219" t="str">
        <v>1015931</v>
      </c>
      <c r="F20" s="220" t="str">
        <v>MIDWEST</v>
      </c>
      <c r="G20" s="221" t="str">
        <v>SW-R</v>
      </c>
      <c r="H20" s="31">
        <v>0</v>
      </c>
      <c r="I20" s="227">
        <v>0</v>
      </c>
      <c r="J20" s="30" t="str">
        <v>SW-1</v>
      </c>
      <c r="K20" s="227">
        <v>0</v>
      </c>
      <c r="L20" s="30" t="str">
        <v>SW-2</v>
      </c>
      <c r="M20" s="227">
        <v>0</v>
      </c>
      <c r="N20" s="30" t="str">
        <v>SW-2</v>
      </c>
      <c r="O20" s="227">
        <v>0</v>
      </c>
      <c r="P20" s="30" t="str">
        <v>SW-3</v>
      </c>
      <c r="Q20" s="227">
        <v>0</v>
      </c>
      <c r="R20" s="30" t="str">
        <v>OFF</v>
      </c>
      <c r="S20" s="227">
        <v>0</v>
      </c>
      <c r="T20" s="30" t="str">
        <v>OFF</v>
      </c>
      <c r="U20" s="227">
        <v>0</v>
      </c>
      <c r="V20" s="30" t="str">
        <v>SW-1</v>
      </c>
      <c r="W20" s="225"/>
      <c r="X20" s="225"/>
      <c r="Y20" s="225"/>
      <c r="Z20" s="226"/>
      <c r="AB20" s="4" t="s">
        <v>220</v>
      </c>
    </row>
    <row r="21" spans="4:28" ht="21" customHeight="1" x14ac:dyDescent="0.5">
      <c r="D21" s="218" t="str">
        <v>CLAFFY, DEIDRE</v>
      </c>
      <c r="E21" s="219" t="str">
        <v>1025497</v>
      </c>
      <c r="F21" s="220" t="str">
        <v>KEYSTONE</v>
      </c>
      <c r="G21" s="221" t="str">
        <v>HT-R</v>
      </c>
      <c r="H21" s="31">
        <v>0</v>
      </c>
      <c r="I21" s="227">
        <v>0</v>
      </c>
      <c r="J21" s="30" t="str">
        <v>HT-1</v>
      </c>
      <c r="K21" s="227">
        <v>0</v>
      </c>
      <c r="L21" s="30" t="str">
        <v>HT-2</v>
      </c>
      <c r="M21" s="227">
        <v>0</v>
      </c>
      <c r="N21" s="30" t="str">
        <v>HT-2</v>
      </c>
      <c r="O21" s="227">
        <v>0</v>
      </c>
      <c r="P21" s="30" t="str">
        <v>HT-3</v>
      </c>
      <c r="Q21" s="227">
        <v>0</v>
      </c>
      <c r="R21" s="30" t="str">
        <v>OFF</v>
      </c>
      <c r="S21" s="227">
        <v>0</v>
      </c>
      <c r="T21" s="30" t="str">
        <v>OFF</v>
      </c>
      <c r="U21" s="227">
        <v>0</v>
      </c>
      <c r="V21" s="30" t="str">
        <v>HT-1</v>
      </c>
      <c r="W21" s="225"/>
      <c r="X21" s="225"/>
      <c r="Y21" s="225"/>
      <c r="Z21" s="226"/>
      <c r="AB21" s="4" t="s">
        <v>221</v>
      </c>
    </row>
    <row r="22" spans="4:28" ht="21" customHeight="1" x14ac:dyDescent="0.5">
      <c r="D22" s="218" t="str">
        <v>CLUBBS, DARIN</v>
      </c>
      <c r="E22" s="219" t="str">
        <v>0133897</v>
      </c>
      <c r="F22" s="220" t="str">
        <v>GREATLAKES</v>
      </c>
      <c r="G22" s="221" t="str">
        <v>CD-1</v>
      </c>
      <c r="H22" s="31">
        <v>0</v>
      </c>
      <c r="I22" s="227">
        <v>0</v>
      </c>
      <c r="J22" s="30" t="str">
        <v>OFF</v>
      </c>
      <c r="K22" s="227">
        <v>0</v>
      </c>
      <c r="L22" s="30" t="str">
        <v>CD-1</v>
      </c>
      <c r="M22" s="227">
        <v>0</v>
      </c>
      <c r="N22" s="30" t="str">
        <v>CD-1</v>
      </c>
      <c r="O22" s="227">
        <v>0</v>
      </c>
      <c r="P22" s="30" t="str">
        <v>CD-1</v>
      </c>
      <c r="Q22" s="227">
        <v>0</v>
      </c>
      <c r="R22" s="30" t="str">
        <v>CD-1</v>
      </c>
      <c r="S22" s="227">
        <v>0</v>
      </c>
      <c r="T22" s="30" t="str">
        <v>CD-1</v>
      </c>
      <c r="U22" s="227">
        <v>0</v>
      </c>
      <c r="V22" s="30" t="str">
        <v>OFF</v>
      </c>
      <c r="W22" s="225"/>
      <c r="X22" s="225"/>
      <c r="Y22" s="225"/>
      <c r="Z22" s="226"/>
    </row>
    <row r="23" spans="4:28" ht="21" customHeight="1" x14ac:dyDescent="0.5">
      <c r="D23" s="218" t="str">
        <v>COLEMAN, JOEL</v>
      </c>
      <c r="E23" s="219" t="str">
        <v>0394807</v>
      </c>
      <c r="F23" s="220" t="str">
        <v>MIDWEST</v>
      </c>
      <c r="G23" s="221" t="str">
        <v>KC-R</v>
      </c>
      <c r="H23" s="31">
        <v>0</v>
      </c>
      <c r="I23" s="227">
        <v>0</v>
      </c>
      <c r="J23" s="30" t="str">
        <v>OFF</v>
      </c>
      <c r="K23" s="227" t="str">
        <v>V-SD</v>
      </c>
      <c r="L23" s="30" t="str">
        <v>V-SD</v>
      </c>
      <c r="M23" s="227" t="str">
        <v>V-SD</v>
      </c>
      <c r="N23" s="30" t="str">
        <v>V-SD</v>
      </c>
      <c r="O23" s="227">
        <v>0</v>
      </c>
      <c r="P23" s="30" t="str">
        <v>KC-2</v>
      </c>
      <c r="Q23" s="227">
        <v>0</v>
      </c>
      <c r="R23" s="30" t="str">
        <v>KC-2</v>
      </c>
      <c r="S23" s="227">
        <v>0</v>
      </c>
      <c r="T23" s="30" t="str">
        <v>KC-3</v>
      </c>
      <c r="U23" s="227">
        <v>0</v>
      </c>
      <c r="V23" s="30" t="str">
        <v>OFF</v>
      </c>
      <c r="W23" s="225"/>
      <c r="X23" s="225"/>
      <c r="Y23" s="225"/>
      <c r="Z23" s="226"/>
    </row>
    <row r="24" spans="4:28" ht="21" customHeight="1" x14ac:dyDescent="0.5">
      <c r="D24" s="218" t="str">
        <v>COX, ANDY</v>
      </c>
      <c r="E24" s="219" t="str">
        <v>0935291</v>
      </c>
      <c r="F24" s="220" t="str">
        <v>MIDWEST</v>
      </c>
      <c r="G24" s="221" t="str">
        <v>SO-1</v>
      </c>
      <c r="H24" s="31">
        <v>0</v>
      </c>
      <c r="I24" s="227">
        <v>0</v>
      </c>
      <c r="J24" s="30" t="str">
        <v>OFF</v>
      </c>
      <c r="K24" s="227">
        <v>0</v>
      </c>
      <c r="L24" s="30" t="str">
        <v>OFF</v>
      </c>
      <c r="M24" s="227">
        <v>0</v>
      </c>
      <c r="N24" s="30" t="str">
        <v>SO-1</v>
      </c>
      <c r="O24" s="227">
        <v>0</v>
      </c>
      <c r="P24" s="30" t="str">
        <v>SO-1</v>
      </c>
      <c r="Q24" s="227">
        <v>0</v>
      </c>
      <c r="R24" s="30" t="str">
        <v>SO-1</v>
      </c>
      <c r="S24" s="227">
        <v>0</v>
      </c>
      <c r="T24" s="30" t="str">
        <v>SO-1</v>
      </c>
      <c r="U24" s="227">
        <v>0</v>
      </c>
      <c r="V24" s="30" t="str">
        <v>SO-1</v>
      </c>
      <c r="W24" s="225"/>
      <c r="X24" s="225"/>
      <c r="Y24" s="225"/>
      <c r="Z24" s="226"/>
    </row>
    <row r="25" spans="4:28" ht="21" customHeight="1" x14ac:dyDescent="0.5">
      <c r="D25" s="218" t="str">
        <v>CROUTHARMEL, JASON</v>
      </c>
      <c r="E25" s="219" t="str">
        <v>0150487</v>
      </c>
      <c r="F25" s="220" t="str">
        <v>KEYSTONE</v>
      </c>
      <c r="G25" s="221" t="str">
        <v>RL-2</v>
      </c>
      <c r="H25" s="31">
        <v>0</v>
      </c>
      <c r="I25" s="227">
        <v>0</v>
      </c>
      <c r="J25" s="30" t="str">
        <v>RL-2</v>
      </c>
      <c r="K25" s="227">
        <v>0</v>
      </c>
      <c r="L25" s="30" t="str">
        <v>OFF</v>
      </c>
      <c r="M25" s="227">
        <v>0</v>
      </c>
      <c r="N25" s="30" t="str">
        <v>OFF</v>
      </c>
      <c r="O25" s="227">
        <v>0</v>
      </c>
      <c r="P25" s="30" t="str">
        <v>RL-2</v>
      </c>
      <c r="Q25" s="227">
        <v>0</v>
      </c>
      <c r="R25" s="30" t="str">
        <v>RL-2</v>
      </c>
      <c r="S25" s="227">
        <v>0</v>
      </c>
      <c r="T25" s="30" t="str">
        <v>RL-2</v>
      </c>
      <c r="U25" s="227">
        <v>0</v>
      </c>
      <c r="V25" s="30" t="str">
        <v>RL-2</v>
      </c>
      <c r="W25" s="225"/>
      <c r="X25" s="225"/>
      <c r="Y25" s="225"/>
      <c r="Z25" s="226"/>
    </row>
    <row r="26" spans="4:28" ht="21" customHeight="1" x14ac:dyDescent="0.5">
      <c r="D26" s="218" t="str">
        <v>DAVIS, MATT</v>
      </c>
      <c r="E26" s="219" t="str">
        <v>0146546</v>
      </c>
      <c r="F26" s="220" t="str">
        <v>KEYSTONE</v>
      </c>
      <c r="G26" s="221" t="str">
        <v>HT-2</v>
      </c>
      <c r="H26" s="31">
        <v>0</v>
      </c>
      <c r="I26" s="227">
        <v>0</v>
      </c>
      <c r="J26" s="30" t="str">
        <v>HT-2</v>
      </c>
      <c r="K26" s="227">
        <v>0</v>
      </c>
      <c r="L26" s="30" t="str">
        <v>OFF</v>
      </c>
      <c r="M26" s="227">
        <v>0</v>
      </c>
      <c r="N26" s="30" t="str">
        <v>OFF</v>
      </c>
      <c r="O26" s="227" t="str">
        <v>DIVERTED -ST</v>
      </c>
      <c r="P26" s="30" t="str">
        <v>ACD1-HB</v>
      </c>
      <c r="Q26" s="227">
        <v>0</v>
      </c>
      <c r="R26" s="30" t="str">
        <v>HT-2</v>
      </c>
      <c r="S26" s="227">
        <v>0</v>
      </c>
      <c r="T26" s="30" t="str">
        <v>HT-2</v>
      </c>
      <c r="U26" s="227">
        <v>0</v>
      </c>
      <c r="V26" s="30" t="str">
        <v>HT-2</v>
      </c>
      <c r="W26" s="225"/>
      <c r="X26" s="225"/>
      <c r="Y26" s="225"/>
      <c r="Z26" s="226"/>
    </row>
    <row r="27" spans="4:28" ht="21" customHeight="1" x14ac:dyDescent="0.5">
      <c r="D27" s="218" t="str">
        <v>DEJESUS, DAVE</v>
      </c>
      <c r="E27" s="219" t="str">
        <v>0768879</v>
      </c>
      <c r="F27" s="220" t="str">
        <v>KEYSTONE</v>
      </c>
      <c r="G27" s="221" t="str">
        <v>CE-1</v>
      </c>
      <c r="H27" s="31">
        <v>0</v>
      </c>
      <c r="I27" s="227">
        <v>0</v>
      </c>
      <c r="J27" s="30" t="str">
        <v>OFF</v>
      </c>
      <c r="K27" s="227">
        <v>0</v>
      </c>
      <c r="L27" s="30" t="str">
        <v>OFF</v>
      </c>
      <c r="M27" s="227">
        <v>0</v>
      </c>
      <c r="N27" s="30" t="str">
        <v>CE-1</v>
      </c>
      <c r="O27" s="227">
        <v>0</v>
      </c>
      <c r="P27" s="30" t="str">
        <v>CE-1</v>
      </c>
      <c r="Q27" s="227">
        <v>0</v>
      </c>
      <c r="R27" s="30" t="str">
        <v>CE-1</v>
      </c>
      <c r="S27" s="227">
        <v>0</v>
      </c>
      <c r="T27" s="30" t="str">
        <v>CE-1</v>
      </c>
      <c r="U27" s="227">
        <v>0</v>
      </c>
      <c r="V27" s="30" t="str">
        <v>CE-1</v>
      </c>
      <c r="W27" s="225"/>
      <c r="X27" s="225"/>
      <c r="Y27" s="225"/>
      <c r="Z27" s="226"/>
    </row>
    <row r="28" spans="4:28" ht="21" customHeight="1" x14ac:dyDescent="0.5">
      <c r="D28" s="218" t="str">
        <v>DICK, KAYLA</v>
      </c>
      <c r="E28" s="219" t="str">
        <v>1019609</v>
      </c>
      <c r="F28" s="220" t="str">
        <v>KEYSTONE</v>
      </c>
      <c r="G28" s="221" t="str">
        <v>MV-2</v>
      </c>
      <c r="H28" s="31">
        <v>0</v>
      </c>
      <c r="I28" s="227">
        <v>0</v>
      </c>
      <c r="J28" s="30" t="str">
        <v>MV-2</v>
      </c>
      <c r="K28" s="227">
        <v>0</v>
      </c>
      <c r="L28" s="30" t="str">
        <v>MV-2</v>
      </c>
      <c r="M28" s="227">
        <v>0</v>
      </c>
      <c r="N28" s="30" t="str">
        <v>MV-2</v>
      </c>
      <c r="O28" s="227">
        <v>0</v>
      </c>
      <c r="P28" s="30" t="str">
        <v>MV-2</v>
      </c>
      <c r="Q28" s="227">
        <v>0</v>
      </c>
      <c r="R28" s="30" t="str">
        <v>OFF</v>
      </c>
      <c r="S28" s="227">
        <v>0</v>
      </c>
      <c r="T28" s="30" t="str">
        <v>OFF</v>
      </c>
      <c r="U28" s="227">
        <v>0</v>
      </c>
      <c r="V28" s="30" t="str">
        <v>MV-2</v>
      </c>
      <c r="W28" s="225"/>
      <c r="X28" s="225"/>
      <c r="Y28" s="225"/>
      <c r="Z28" s="226"/>
    </row>
    <row r="29" spans="4:28" ht="21" customHeight="1" x14ac:dyDescent="0.5">
      <c r="D29" s="218" t="str">
        <v>DONALDSON, CODY</v>
      </c>
      <c r="E29" s="219" t="str">
        <v>1018784</v>
      </c>
      <c r="F29" s="220" t="str">
        <v>GREATLAKES</v>
      </c>
      <c r="G29" s="221" t="str">
        <v>MT-3</v>
      </c>
      <c r="H29" s="31">
        <v>0</v>
      </c>
      <c r="I29" s="227">
        <v>0</v>
      </c>
      <c r="J29" s="30" t="str">
        <v>MT-3</v>
      </c>
      <c r="K29" s="227">
        <v>0</v>
      </c>
      <c r="L29" s="30" t="str">
        <v>MT-3</v>
      </c>
      <c r="M29" s="227">
        <v>0</v>
      </c>
      <c r="N29" s="30" t="str">
        <v>MT-3</v>
      </c>
      <c r="O29" s="227">
        <v>0</v>
      </c>
      <c r="P29" s="30" t="str">
        <v>MT-3</v>
      </c>
      <c r="Q29" s="227">
        <v>0</v>
      </c>
      <c r="R29" s="30" t="str">
        <v>MT-3</v>
      </c>
      <c r="S29" s="227">
        <v>0</v>
      </c>
      <c r="T29" s="30" t="str">
        <v>OFF</v>
      </c>
      <c r="U29" s="227">
        <v>0</v>
      </c>
      <c r="V29" s="30" t="str">
        <v>OFF</v>
      </c>
      <c r="W29" s="225"/>
      <c r="X29" s="225"/>
      <c r="Y29" s="225"/>
      <c r="Z29" s="226"/>
    </row>
    <row r="30" spans="4:28" ht="21" customHeight="1" x14ac:dyDescent="0.5">
      <c r="D30" s="218" t="str">
        <v>DORTCH, NANCY</v>
      </c>
      <c r="E30" s="219" t="str">
        <v>0380639</v>
      </c>
      <c r="F30" s="220" t="str">
        <v>MIDWEST</v>
      </c>
      <c r="G30" s="221" t="str">
        <v>KY-1</v>
      </c>
      <c r="H30" s="31">
        <v>0</v>
      </c>
      <c r="I30" s="227">
        <v>0</v>
      </c>
      <c r="J30" s="30" t="str">
        <v>KY-1</v>
      </c>
      <c r="K30" s="227">
        <v>0</v>
      </c>
      <c r="L30" s="30" t="str">
        <v>KY-1</v>
      </c>
      <c r="M30" s="227">
        <v>0</v>
      </c>
      <c r="N30" s="30" t="str">
        <v>KY-1</v>
      </c>
      <c r="O30" s="227">
        <v>0</v>
      </c>
      <c r="P30" s="30" t="str">
        <v>OFF</v>
      </c>
      <c r="Q30" s="227">
        <v>0</v>
      </c>
      <c r="R30" s="30" t="str">
        <v>OFF</v>
      </c>
      <c r="S30" s="227">
        <v>0</v>
      </c>
      <c r="T30" s="30" t="str">
        <v>KY-1</v>
      </c>
      <c r="U30" s="227">
        <v>0</v>
      </c>
      <c r="V30" s="30" t="str">
        <v>KY-1</v>
      </c>
      <c r="W30" s="225"/>
      <c r="X30" s="225"/>
      <c r="Y30" s="225"/>
      <c r="Z30" s="226"/>
    </row>
    <row r="31" spans="4:28" ht="21" customHeight="1" x14ac:dyDescent="0.5">
      <c r="D31" s="218" t="str">
        <v>DOUGHERTY, MIKE</v>
      </c>
      <c r="E31" s="219" t="str">
        <v>1015725</v>
      </c>
      <c r="F31" s="220" t="str">
        <v>GREATLAKES</v>
      </c>
      <c r="G31" s="221" t="str">
        <v>DT-R</v>
      </c>
      <c r="H31" s="31">
        <v>0</v>
      </c>
      <c r="I31" s="227">
        <v>0</v>
      </c>
      <c r="J31" s="30" t="str">
        <v>DT-1</v>
      </c>
      <c r="K31" s="227">
        <v>0</v>
      </c>
      <c r="L31" s="30" t="str">
        <v>DT-2</v>
      </c>
      <c r="M31" s="227">
        <v>0</v>
      </c>
      <c r="N31" s="30" t="str">
        <v>DT-2</v>
      </c>
      <c r="O31" s="227" t="str">
        <v>DIVERTED -ST</v>
      </c>
      <c r="P31" s="30" t="str">
        <v>HE-3</v>
      </c>
      <c r="Q31" s="227">
        <v>0</v>
      </c>
      <c r="R31" s="30" t="str">
        <v>OFF</v>
      </c>
      <c r="S31" s="227">
        <v>0</v>
      </c>
      <c r="T31" s="30" t="str">
        <v>OFF</v>
      </c>
      <c r="U31" s="227" t="str">
        <v>V-WK</v>
      </c>
      <c r="V31" s="30" t="str">
        <v>V-WK</v>
      </c>
      <c r="W31" s="225"/>
      <c r="X31" s="225"/>
      <c r="Y31" s="225"/>
      <c r="Z31" s="226"/>
    </row>
    <row r="32" spans="4:28" ht="21" customHeight="1" x14ac:dyDescent="0.5">
      <c r="D32" s="218" t="str">
        <v>DYE, JAMES</v>
      </c>
      <c r="E32" s="219" t="str">
        <v>0766272</v>
      </c>
      <c r="F32" s="220" t="str">
        <v>KEYSTONE</v>
      </c>
      <c r="G32" s="221" t="str">
        <v>MV-3</v>
      </c>
      <c r="H32" s="31">
        <v>0</v>
      </c>
      <c r="I32" s="227">
        <v>0</v>
      </c>
      <c r="J32" s="30" t="str">
        <v>OFF</v>
      </c>
      <c r="K32" s="227">
        <v>0</v>
      </c>
      <c r="L32" s="30" t="str">
        <v>MV-3</v>
      </c>
      <c r="M32" s="227">
        <v>0</v>
      </c>
      <c r="N32" s="30" t="str">
        <v>MV-3</v>
      </c>
      <c r="O32" s="227">
        <v>0</v>
      </c>
      <c r="P32" s="30" t="str">
        <v>MV-3</v>
      </c>
      <c r="Q32" s="227">
        <v>0</v>
      </c>
      <c r="R32" s="30" t="str">
        <v>MV-3</v>
      </c>
      <c r="S32" s="227">
        <v>0</v>
      </c>
      <c r="T32" s="30" t="str">
        <v>MV-3</v>
      </c>
      <c r="U32" s="227">
        <v>0</v>
      </c>
      <c r="V32" s="30" t="str">
        <v>OFF</v>
      </c>
      <c r="W32" s="225"/>
      <c r="X32" s="225"/>
      <c r="Y32" s="225"/>
      <c r="Z32" s="226"/>
    </row>
    <row r="33" spans="4:26" ht="21" customHeight="1" x14ac:dyDescent="0.5">
      <c r="D33" s="218" t="str">
        <v>FERRELL, EVAN</v>
      </c>
      <c r="E33" s="219" t="str">
        <v>1027358</v>
      </c>
      <c r="F33" s="220" t="str">
        <v>GREATLAKES</v>
      </c>
      <c r="G33" s="221" t="str">
        <v>EL-2</v>
      </c>
      <c r="H33" s="31">
        <v>0</v>
      </c>
      <c r="I33" s="227">
        <v>0</v>
      </c>
      <c r="J33" s="30" t="str">
        <v>EL-2</v>
      </c>
      <c r="K33" s="227">
        <v>0</v>
      </c>
      <c r="L33" s="30" t="str">
        <v>EL-2</v>
      </c>
      <c r="M33" s="227">
        <v>0</v>
      </c>
      <c r="N33" s="30" t="str">
        <v>OFF</v>
      </c>
      <c r="O33" s="227">
        <v>0</v>
      </c>
      <c r="P33" s="30" t="str">
        <v>OFF</v>
      </c>
      <c r="Q33" s="227">
        <v>0</v>
      </c>
      <c r="R33" s="30" t="str">
        <v>EL-2</v>
      </c>
      <c r="S33" s="227">
        <v>0</v>
      </c>
      <c r="T33" s="30" t="str">
        <v>EL-2</v>
      </c>
      <c r="U33" s="227">
        <v>0</v>
      </c>
      <c r="V33" s="30" t="str">
        <v>EL-2</v>
      </c>
      <c r="W33" s="225"/>
      <c r="X33" s="225"/>
      <c r="Y33" s="225"/>
      <c r="Z33" s="226"/>
    </row>
    <row r="34" spans="4:26" ht="21" customHeight="1" x14ac:dyDescent="0.5">
      <c r="D34" s="218" t="str">
        <v>FIELDS, DETRON</v>
      </c>
      <c r="E34" s="219" t="str">
        <v>1026393</v>
      </c>
      <c r="F34" s="220" t="str">
        <v>GREATLAKES</v>
      </c>
      <c r="G34" s="221" t="str">
        <v>DE-2</v>
      </c>
      <c r="H34" s="31">
        <v>0</v>
      </c>
      <c r="I34" s="227">
        <v>0</v>
      </c>
      <c r="J34" s="30" t="str">
        <v>DE-2</v>
      </c>
      <c r="K34" s="227">
        <v>0</v>
      </c>
      <c r="L34" s="30" t="str">
        <v>DE-2</v>
      </c>
      <c r="M34" s="227">
        <v>0</v>
      </c>
      <c r="N34" s="30" t="str">
        <v>OFF</v>
      </c>
      <c r="O34" s="227">
        <v>0</v>
      </c>
      <c r="P34" s="30" t="str">
        <v>OFF</v>
      </c>
      <c r="Q34" s="227">
        <v>0</v>
      </c>
      <c r="R34" s="30" t="str">
        <v>DE-2</v>
      </c>
      <c r="S34" s="227">
        <v>0</v>
      </c>
      <c r="T34" s="30" t="str">
        <v>DE-2</v>
      </c>
      <c r="U34" s="227">
        <v>0</v>
      </c>
      <c r="V34" s="30" t="str">
        <v>DE-2</v>
      </c>
      <c r="W34" s="225"/>
      <c r="X34" s="225"/>
      <c r="Y34" s="225"/>
      <c r="Z34" s="226"/>
    </row>
    <row r="35" spans="4:26" ht="21" customHeight="1" x14ac:dyDescent="0.5">
      <c r="D35" s="218" t="str">
        <v>FUNK, TODD</v>
      </c>
      <c r="E35" s="219" t="str">
        <v>0928053</v>
      </c>
      <c r="F35" s="220" t="str">
        <v>MIDWEST</v>
      </c>
      <c r="G35" s="221" t="str">
        <v>KC-3</v>
      </c>
      <c r="H35" s="31">
        <v>0</v>
      </c>
      <c r="I35" s="227">
        <v>0</v>
      </c>
      <c r="J35" s="30" t="str">
        <v>KC-3</v>
      </c>
      <c r="K35" s="227">
        <v>0</v>
      </c>
      <c r="L35" s="30" t="str">
        <v>KC-3</v>
      </c>
      <c r="M35" s="227">
        <v>0</v>
      </c>
      <c r="N35" s="30" t="str">
        <v>KC-3</v>
      </c>
      <c r="O35" s="227">
        <v>0</v>
      </c>
      <c r="P35" s="30" t="str">
        <v>KC-3</v>
      </c>
      <c r="Q35" s="227">
        <v>0</v>
      </c>
      <c r="R35" s="30" t="str">
        <v>KC-3</v>
      </c>
      <c r="S35" s="227">
        <v>0</v>
      </c>
      <c r="T35" s="30" t="str">
        <v>OFF</v>
      </c>
      <c r="U35" s="227">
        <v>0</v>
      </c>
      <c r="V35" s="30" t="str">
        <v>OFF</v>
      </c>
      <c r="W35" s="225"/>
      <c r="X35" s="225"/>
      <c r="Y35" s="225"/>
      <c r="Z35" s="226"/>
    </row>
    <row r="36" spans="4:26" ht="21" customHeight="1" x14ac:dyDescent="0.5">
      <c r="D36" s="218" t="str">
        <v>GLACE, JOSH</v>
      </c>
      <c r="E36" s="219" t="str">
        <v>0339164</v>
      </c>
      <c r="F36" s="220" t="str">
        <v>GREATLAKES</v>
      </c>
      <c r="G36" s="221" t="str">
        <v>CG-1</v>
      </c>
      <c r="H36" s="31">
        <v>0</v>
      </c>
      <c r="I36" s="227">
        <v>0</v>
      </c>
      <c r="J36" s="30" t="str">
        <v>OFF</v>
      </c>
      <c r="K36" s="227">
        <v>0</v>
      </c>
      <c r="L36" s="30" t="str">
        <v>CG-1</v>
      </c>
      <c r="M36" s="227">
        <v>0</v>
      </c>
      <c r="N36" s="30" t="str">
        <v>CG-1</v>
      </c>
      <c r="O36" s="227">
        <v>0</v>
      </c>
      <c r="P36" s="30" t="str">
        <v>CG-1</v>
      </c>
      <c r="Q36" s="227">
        <v>0</v>
      </c>
      <c r="R36" s="30" t="str">
        <v>CG-1</v>
      </c>
      <c r="S36" s="227">
        <v>0</v>
      </c>
      <c r="T36" s="30" t="str">
        <v>CG-1</v>
      </c>
      <c r="U36" s="227">
        <v>0</v>
      </c>
      <c r="V36" s="30" t="str">
        <v>OFF</v>
      </c>
      <c r="W36" s="225"/>
      <c r="X36" s="225"/>
      <c r="Y36" s="225"/>
      <c r="Z36" s="226"/>
    </row>
    <row r="37" spans="4:26" ht="21" customHeight="1" x14ac:dyDescent="0.5">
      <c r="D37" s="218" t="str">
        <v>GRAHAM, KEITH</v>
      </c>
      <c r="E37" s="219" t="str">
        <v>0378938</v>
      </c>
      <c r="F37" s="220" t="str">
        <v>KEYSTONE ATW</v>
      </c>
      <c r="G37" s="221" t="str">
        <v>KS2 ATW</v>
      </c>
      <c r="H37" s="31">
        <v>0</v>
      </c>
      <c r="I37" s="227">
        <v>0</v>
      </c>
      <c r="J37" s="30" t="str">
        <v>OFF</v>
      </c>
      <c r="K37" s="227">
        <v>0</v>
      </c>
      <c r="L37" s="30" t="str">
        <v>OFF</v>
      </c>
      <c r="M37" s="227">
        <v>0</v>
      </c>
      <c r="N37" s="30" t="str">
        <v>HT-3</v>
      </c>
      <c r="O37" s="227" t="str">
        <v>DIVERTED -ST</v>
      </c>
      <c r="P37" s="30" t="str">
        <v>ET-3</v>
      </c>
      <c r="Q37" s="227">
        <v>0</v>
      </c>
      <c r="R37" s="30" t="str">
        <v>RL-3</v>
      </c>
      <c r="S37" s="227">
        <v>0</v>
      </c>
      <c r="T37" s="30" t="str">
        <v>DH-3</v>
      </c>
      <c r="U37" s="227">
        <v>0</v>
      </c>
      <c r="V37" s="30" t="str">
        <v>OPEN</v>
      </c>
      <c r="W37" s="225"/>
      <c r="X37" s="225"/>
      <c r="Y37" s="225"/>
      <c r="Z37" s="226"/>
    </row>
    <row r="38" spans="4:26" ht="21" customHeight="1" x14ac:dyDescent="0.5">
      <c r="D38" s="218" t="str">
        <v>HARBIN, BRYANT</v>
      </c>
      <c r="E38" s="219" t="str">
        <v>1008092</v>
      </c>
      <c r="F38" s="220" t="str">
        <v>KEYSTONE</v>
      </c>
      <c r="G38" s="221" t="str">
        <v>RL-3</v>
      </c>
      <c r="H38" s="31">
        <v>0</v>
      </c>
      <c r="I38" s="227">
        <v>0</v>
      </c>
      <c r="J38" s="30" t="str">
        <v/>
      </c>
      <c r="K38" s="227">
        <v>0</v>
      </c>
      <c r="L38" s="30" t="str">
        <v/>
      </c>
      <c r="M38" s="227" t="str">
        <v>V-SD</v>
      </c>
      <c r="N38" s="30" t="str">
        <v>V-SD</v>
      </c>
      <c r="O38" s="227">
        <v>0</v>
      </c>
      <c r="P38" s="30" t="str">
        <v>SA-1-POST</v>
      </c>
      <c r="Q38" s="227">
        <v>0</v>
      </c>
      <c r="R38" s="30" t="str">
        <v>BT-3</v>
      </c>
      <c r="S38" s="227" t="str">
        <v>POST</v>
      </c>
      <c r="T38" s="30" t="str">
        <v>RL-3-POST</v>
      </c>
      <c r="U38" s="227" t="str">
        <v>POST</v>
      </c>
      <c r="V38" s="30" t="str">
        <v>RL-3-POST</v>
      </c>
      <c r="W38" s="225"/>
      <c r="X38" s="225"/>
      <c r="Y38" s="225"/>
      <c r="Z38" s="226"/>
    </row>
    <row r="39" spans="4:26" ht="21" customHeight="1" x14ac:dyDescent="0.5">
      <c r="D39" s="218" t="str">
        <v>HARDY, JASMINE</v>
      </c>
      <c r="E39" s="219" t="str">
        <v>1018785</v>
      </c>
      <c r="F39" s="220" t="str">
        <v>KEYSTONE</v>
      </c>
      <c r="G39" s="221" t="str">
        <v>CT-2</v>
      </c>
      <c r="H39" s="31">
        <v>0</v>
      </c>
      <c r="I39" s="227">
        <v>0</v>
      </c>
      <c r="J39" s="30" t="str">
        <v>CT-2</v>
      </c>
      <c r="K39" s="227">
        <v>0</v>
      </c>
      <c r="L39" s="30" t="str">
        <v>CT-2</v>
      </c>
      <c r="M39" s="227">
        <v>0</v>
      </c>
      <c r="N39" s="30" t="str">
        <v>OFF</v>
      </c>
      <c r="O39" s="227">
        <v>0</v>
      </c>
      <c r="P39" s="30" t="str">
        <v>OFF</v>
      </c>
      <c r="Q39" s="227">
        <v>0</v>
      </c>
      <c r="R39" s="30" t="str">
        <v>CT-2</v>
      </c>
      <c r="S39" s="227">
        <v>0</v>
      </c>
      <c r="T39" s="30" t="str">
        <v>CT-2</v>
      </c>
      <c r="U39" s="227">
        <v>0</v>
      </c>
      <c r="V39" s="30" t="str">
        <v>CT-2</v>
      </c>
      <c r="W39" s="225"/>
      <c r="X39" s="225"/>
      <c r="Y39" s="225"/>
      <c r="Z39" s="226"/>
    </row>
    <row r="40" spans="4:26" ht="21" customHeight="1" x14ac:dyDescent="0.5">
      <c r="D40" s="218" t="str">
        <v>HARP, KEENAN</v>
      </c>
      <c r="E40" s="219" t="str">
        <v>1009031</v>
      </c>
      <c r="F40" s="220" t="str">
        <v>KEYSTONE</v>
      </c>
      <c r="G40" s="221" t="str">
        <v>MV-R</v>
      </c>
      <c r="H40" s="31">
        <v>0</v>
      </c>
      <c r="I40" s="227">
        <v>0</v>
      </c>
      <c r="J40" s="30" t="str">
        <v>OFF</v>
      </c>
      <c r="K40" s="227">
        <v>0</v>
      </c>
      <c r="L40" s="30" t="str">
        <v>OFF</v>
      </c>
      <c r="M40" s="227">
        <v>0</v>
      </c>
      <c r="N40" s="30" t="str">
        <v>MV-1</v>
      </c>
      <c r="O40" s="227" t="str">
        <v>DIVERTED -ST</v>
      </c>
      <c r="P40" s="30" t="str">
        <v>CT-1</v>
      </c>
      <c r="Q40" s="227">
        <v>0</v>
      </c>
      <c r="R40" s="30" t="str">
        <v>MV-2</v>
      </c>
      <c r="S40" s="227">
        <v>0</v>
      </c>
      <c r="T40" s="30" t="str">
        <v>MV-2</v>
      </c>
      <c r="U40" s="227">
        <v>0</v>
      </c>
      <c r="V40" s="30" t="str">
        <v>MV-3</v>
      </c>
      <c r="W40" s="225"/>
      <c r="X40" s="225"/>
      <c r="Y40" s="225"/>
      <c r="Z40" s="226"/>
    </row>
    <row r="41" spans="4:26" ht="21" customHeight="1" x14ac:dyDescent="0.5">
      <c r="D41" s="218" t="str">
        <v>HARRIS, MARCUS</v>
      </c>
      <c r="E41" s="219" t="str">
        <v>1015264</v>
      </c>
      <c r="F41" s="220" t="str">
        <v>KEYSTONE ATW</v>
      </c>
      <c r="G41" s="221" t="str">
        <v>KS1 ATW</v>
      </c>
      <c r="H41" s="31">
        <v>0</v>
      </c>
      <c r="I41" s="227">
        <v>0</v>
      </c>
      <c r="J41" s="30" t="str">
        <v>MV-3</v>
      </c>
      <c r="K41" s="227">
        <v>0</v>
      </c>
      <c r="L41" s="30" t="str">
        <v>OFF</v>
      </c>
      <c r="M41" s="227">
        <v>0</v>
      </c>
      <c r="N41" s="30" t="str">
        <v>OFF</v>
      </c>
      <c r="O41" s="227">
        <v>0</v>
      </c>
      <c r="P41" s="30" t="str">
        <v>CT-3</v>
      </c>
      <c r="Q41" s="227">
        <v>0</v>
      </c>
      <c r="R41" s="30" t="str">
        <v>PE-3</v>
      </c>
      <c r="S41" s="227">
        <v>0</v>
      </c>
      <c r="T41" s="30" t="str">
        <v>OPEN</v>
      </c>
      <c r="U41" s="227">
        <v>0</v>
      </c>
      <c r="V41" s="30" t="str">
        <v>AL-3</v>
      </c>
      <c r="W41" s="225"/>
      <c r="X41" s="225"/>
      <c r="Y41" s="225"/>
      <c r="Z41" s="226"/>
    </row>
    <row r="42" spans="4:26" ht="21" customHeight="1" x14ac:dyDescent="0.5">
      <c r="D42" s="218" t="str">
        <v>HERRING, DARYL</v>
      </c>
      <c r="E42" s="219" t="str">
        <v>1031099</v>
      </c>
      <c r="F42" s="220" t="str">
        <v>MIDWEST</v>
      </c>
      <c r="G42" s="221" t="str">
        <v>KY-R</v>
      </c>
      <c r="H42" s="31">
        <v>0</v>
      </c>
      <c r="I42" s="227">
        <v>0</v>
      </c>
      <c r="J42" s="30" t="str">
        <v>KY-3</v>
      </c>
      <c r="K42" s="227">
        <v>0</v>
      </c>
      <c r="L42" s="30" t="str">
        <v>OFF</v>
      </c>
      <c r="M42" s="227">
        <v>0</v>
      </c>
      <c r="N42" s="30" t="str">
        <v>OFF</v>
      </c>
      <c r="O42" s="227">
        <v>0</v>
      </c>
      <c r="P42" s="30" t="str">
        <v>KY-1</v>
      </c>
      <c r="Q42" s="227">
        <v>0</v>
      </c>
      <c r="R42" s="30" t="str">
        <v>KY-1</v>
      </c>
      <c r="S42" s="227" t="str">
        <v>S-APPT</v>
      </c>
      <c r="T42" s="30" t="str">
        <v>S-APPT</v>
      </c>
      <c r="U42" s="227">
        <v>0</v>
      </c>
      <c r="V42" s="30" t="str">
        <v>KY-2</v>
      </c>
      <c r="W42" s="225"/>
      <c r="X42" s="225"/>
      <c r="Y42" s="225"/>
      <c r="Z42" s="226"/>
    </row>
    <row r="43" spans="4:26" ht="21" customHeight="1" x14ac:dyDescent="0.5">
      <c r="D43" s="218" t="str">
        <v>HICKEY, LINDA</v>
      </c>
      <c r="E43" s="219" t="str">
        <v>0317709</v>
      </c>
      <c r="F43" s="220" t="str">
        <v>KEYSTONE</v>
      </c>
      <c r="G43" s="221" t="str">
        <v>CE-2</v>
      </c>
      <c r="H43" s="31">
        <v>0</v>
      </c>
      <c r="I43" s="227">
        <v>0</v>
      </c>
      <c r="J43" s="30" t="str">
        <v>CE-2</v>
      </c>
      <c r="K43" s="227">
        <v>0</v>
      </c>
      <c r="L43" s="30" t="str">
        <v>CE-2</v>
      </c>
      <c r="M43" s="227">
        <v>0</v>
      </c>
      <c r="N43" s="30" t="str">
        <v>OFF</v>
      </c>
      <c r="O43" s="227">
        <v>0</v>
      </c>
      <c r="P43" s="30" t="str">
        <v>OFF</v>
      </c>
      <c r="Q43" s="227">
        <v>0</v>
      </c>
      <c r="R43" s="30" t="str">
        <v>CE-2</v>
      </c>
      <c r="S43" s="227">
        <v>0</v>
      </c>
      <c r="T43" s="30" t="str">
        <v>CE-2</v>
      </c>
      <c r="U43" s="227">
        <v>0</v>
      </c>
      <c r="V43" s="30" t="str">
        <v>CE-2</v>
      </c>
      <c r="W43" s="225"/>
      <c r="X43" s="225"/>
      <c r="Y43" s="225"/>
      <c r="Z43" s="226"/>
    </row>
    <row r="44" spans="4:26" ht="21" customHeight="1" x14ac:dyDescent="0.5">
      <c r="D44" s="218" t="str">
        <v>JAMES, GREGG</v>
      </c>
      <c r="E44" s="219" t="str">
        <v>0140225</v>
      </c>
      <c r="F44" s="220" t="str">
        <v>GREATLAKES</v>
      </c>
      <c r="G44" s="221" t="str">
        <v>DE-1</v>
      </c>
      <c r="H44" s="31">
        <v>0</v>
      </c>
      <c r="I44" s="227">
        <v>0</v>
      </c>
      <c r="J44" s="30" t="str">
        <v>OFF</v>
      </c>
      <c r="K44" s="227">
        <v>0</v>
      </c>
      <c r="L44" s="30" t="str">
        <v>OFF</v>
      </c>
      <c r="M44" s="227">
        <v>0</v>
      </c>
      <c r="N44" s="30" t="str">
        <v>DE-1</v>
      </c>
      <c r="O44" s="227">
        <v>0</v>
      </c>
      <c r="P44" s="30" t="str">
        <v>DE-1</v>
      </c>
      <c r="Q44" s="227">
        <v>0</v>
      </c>
      <c r="R44" s="30" t="str">
        <v>DE-1</v>
      </c>
      <c r="S44" s="227">
        <v>0</v>
      </c>
      <c r="T44" s="30" t="str">
        <v>DE-1</v>
      </c>
      <c r="U44" s="227">
        <v>0</v>
      </c>
      <c r="V44" s="30" t="str">
        <v>DE-1</v>
      </c>
      <c r="W44" s="225"/>
      <c r="X44" s="225"/>
      <c r="Y44" s="225"/>
      <c r="Z44" s="226"/>
    </row>
    <row r="45" spans="4:26" ht="21" customHeight="1" x14ac:dyDescent="0.5">
      <c r="D45" s="218" t="str">
        <v>JAMES, NICHOLAS</v>
      </c>
      <c r="E45" s="219" t="str">
        <v>1024515</v>
      </c>
      <c r="F45" s="220" t="str">
        <v>GREATLAKES</v>
      </c>
      <c r="G45" s="221" t="str">
        <v>DE-R</v>
      </c>
      <c r="H45" s="31">
        <v>0</v>
      </c>
      <c r="I45" s="227">
        <v>0</v>
      </c>
      <c r="J45" s="30" t="str">
        <v>DE-1</v>
      </c>
      <c r="K45" s="227">
        <v>0</v>
      </c>
      <c r="L45" s="30" t="str">
        <v>DE-1</v>
      </c>
      <c r="M45" s="227">
        <v>0</v>
      </c>
      <c r="N45" s="30" t="str">
        <v>DE-2</v>
      </c>
      <c r="O45" s="227">
        <v>0</v>
      </c>
      <c r="P45" s="30" t="str">
        <v>DE-2</v>
      </c>
      <c r="Q45" s="227">
        <v>0</v>
      </c>
      <c r="R45" s="30" t="str">
        <v>DE-3</v>
      </c>
      <c r="S45" s="227">
        <v>0</v>
      </c>
      <c r="T45" s="30" t="str">
        <v>OFF</v>
      </c>
      <c r="U45" s="227">
        <v>0</v>
      </c>
      <c r="V45" s="30" t="str">
        <v>OFF</v>
      </c>
      <c r="W45" s="225"/>
      <c r="X45" s="225"/>
      <c r="Y45" s="225"/>
      <c r="Z45" s="226"/>
    </row>
    <row r="46" spans="4:26" ht="21" customHeight="1" x14ac:dyDescent="0.5">
      <c r="D46" s="218" t="str">
        <v>JONES, ANTHONY</v>
      </c>
      <c r="E46" s="219" t="str">
        <v>1019357</v>
      </c>
      <c r="F46" s="220" t="str">
        <v>KEYSTONE</v>
      </c>
      <c r="G46" s="221" t="str">
        <v>HE-R</v>
      </c>
      <c r="H46" s="31">
        <v>0</v>
      </c>
      <c r="I46" s="227">
        <v>0</v>
      </c>
      <c r="J46" s="30" t="str">
        <v>HE-1</v>
      </c>
      <c r="K46" s="227" t="str">
        <v>V-SD</v>
      </c>
      <c r="L46" s="30" t="str">
        <v>V-SD</v>
      </c>
      <c r="M46" s="227">
        <v>0</v>
      </c>
      <c r="N46" s="30" t="str">
        <v>HE-2</v>
      </c>
      <c r="O46" s="227">
        <v>0</v>
      </c>
      <c r="P46" s="30" t="str">
        <v>HE-2</v>
      </c>
      <c r="Q46" s="227" t="str">
        <v>S-SD</v>
      </c>
      <c r="R46" s="30" t="str">
        <v>S-SD</v>
      </c>
      <c r="S46" s="227">
        <v>0</v>
      </c>
      <c r="T46" s="30" t="str">
        <v>OFF</v>
      </c>
      <c r="U46" s="227">
        <v>0</v>
      </c>
      <c r="V46" s="30" t="str">
        <v>OFF</v>
      </c>
      <c r="W46" s="225"/>
      <c r="X46" s="225"/>
      <c r="Y46" s="225"/>
      <c r="Z46" s="226"/>
    </row>
    <row r="47" spans="4:26" ht="21" customHeight="1" x14ac:dyDescent="0.5">
      <c r="D47" s="218" t="str">
        <v>KAY-JACKWAK, LORI</v>
      </c>
      <c r="E47" s="219" t="str">
        <v>0379323</v>
      </c>
      <c r="F47" s="220" t="str">
        <v>GREATLAKES</v>
      </c>
      <c r="G47" s="221" t="str">
        <v>DT-2</v>
      </c>
      <c r="H47" s="31">
        <v>0</v>
      </c>
      <c r="I47" s="227">
        <v>0</v>
      </c>
      <c r="J47" s="30" t="str">
        <v>DT-2</v>
      </c>
      <c r="K47" s="227">
        <v>0</v>
      </c>
      <c r="L47" s="30" t="str">
        <v>OFF</v>
      </c>
      <c r="M47" s="227">
        <v>0</v>
      </c>
      <c r="N47" s="30" t="str">
        <v>OFF</v>
      </c>
      <c r="O47" s="227">
        <v>0</v>
      </c>
      <c r="P47" s="30" t="str">
        <v>DT-2</v>
      </c>
      <c r="Q47" s="227">
        <v>0</v>
      </c>
      <c r="R47" s="30" t="str">
        <v>DT-2</v>
      </c>
      <c r="S47" s="227">
        <v>0</v>
      </c>
      <c r="T47" s="30" t="str">
        <v>DT-2</v>
      </c>
      <c r="U47" s="227">
        <v>0</v>
      </c>
      <c r="V47" s="30" t="str">
        <v>DT-2</v>
      </c>
      <c r="W47" s="225"/>
      <c r="X47" s="225"/>
      <c r="Y47" s="225"/>
      <c r="Z47" s="226"/>
    </row>
    <row r="48" spans="4:26" ht="21" customHeight="1" x14ac:dyDescent="0.5">
      <c r="D48" s="218" t="str">
        <v>KENNEDY, JOSEPH</v>
      </c>
      <c r="E48" s="219" t="str">
        <v>1027197</v>
      </c>
      <c r="F48" s="220" t="str">
        <v>GREATLAKES</v>
      </c>
      <c r="G48" s="221" t="str">
        <v>MT-2</v>
      </c>
      <c r="H48" s="31">
        <v>0</v>
      </c>
      <c r="I48" s="227">
        <v>0</v>
      </c>
      <c r="J48" s="30" t="str">
        <v>MT-2</v>
      </c>
      <c r="K48" s="227">
        <v>0</v>
      </c>
      <c r="L48" s="30" t="str">
        <v>MT-2</v>
      </c>
      <c r="M48" s="227">
        <v>0</v>
      </c>
      <c r="N48" s="30" t="str">
        <v>MT-2</v>
      </c>
      <c r="O48" s="227">
        <v>0</v>
      </c>
      <c r="P48" s="30" t="str">
        <v>OFF</v>
      </c>
      <c r="Q48" s="227">
        <v>0</v>
      </c>
      <c r="R48" s="30" t="str">
        <v>OFF</v>
      </c>
      <c r="S48" s="227">
        <v>0</v>
      </c>
      <c r="T48" s="30" t="str">
        <v>MT-2</v>
      </c>
      <c r="U48" s="227" t="str">
        <v>V-SD</v>
      </c>
      <c r="V48" s="30" t="str">
        <v>V-SD</v>
      </c>
      <c r="W48" s="225"/>
      <c r="X48" s="225"/>
      <c r="Y48" s="225"/>
      <c r="Z48" s="226"/>
    </row>
    <row r="49" spans="4:26" ht="21" customHeight="1" x14ac:dyDescent="0.5">
      <c r="D49" s="218" t="str">
        <v>KEYS, MATTHEW</v>
      </c>
      <c r="E49" s="219" t="str">
        <v>1025500</v>
      </c>
      <c r="F49" s="220" t="str">
        <v>KEYSTONE</v>
      </c>
      <c r="G49" s="221" t="str">
        <v>DH-2</v>
      </c>
      <c r="H49" s="31">
        <v>0</v>
      </c>
      <c r="I49" s="227">
        <v>0</v>
      </c>
      <c r="J49" s="30" t="str">
        <v>DH-2</v>
      </c>
      <c r="K49" s="227">
        <v>0</v>
      </c>
      <c r="L49" s="30" t="str">
        <v>DH-2</v>
      </c>
      <c r="M49" s="227">
        <v>0</v>
      </c>
      <c r="N49" s="30" t="str">
        <v>OFF</v>
      </c>
      <c r="O49" s="227">
        <v>0</v>
      </c>
      <c r="P49" s="30" t="str">
        <v>OFF</v>
      </c>
      <c r="Q49" s="227">
        <v>0</v>
      </c>
      <c r="R49" s="30" t="str">
        <v>DH-2</v>
      </c>
      <c r="S49" s="227">
        <v>0</v>
      </c>
      <c r="T49" s="30" t="str">
        <v>DH-2</v>
      </c>
      <c r="U49" s="227">
        <v>0</v>
      </c>
      <c r="V49" s="30" t="str">
        <v>DH-2</v>
      </c>
      <c r="W49" s="225"/>
      <c r="X49" s="225"/>
      <c r="Y49" s="225"/>
      <c r="Z49" s="226"/>
    </row>
    <row r="50" spans="4:26" ht="21" customHeight="1" x14ac:dyDescent="0.5">
      <c r="D50" s="218" t="str">
        <v>KIRKPATRICK, DOUG</v>
      </c>
      <c r="E50" s="219" t="str">
        <v>0901117</v>
      </c>
      <c r="F50" s="220" t="str">
        <v>MIDWEST</v>
      </c>
      <c r="G50" s="221" t="str">
        <v>QC-1</v>
      </c>
      <c r="H50" s="31">
        <v>0</v>
      </c>
      <c r="I50" s="227">
        <v>0</v>
      </c>
      <c r="J50" s="30" t="str">
        <v>OFF</v>
      </c>
      <c r="K50" s="227">
        <v>0</v>
      </c>
      <c r="L50" s="30" t="str">
        <v>OFF</v>
      </c>
      <c r="M50" s="227">
        <v>0</v>
      </c>
      <c r="N50" s="30" t="str">
        <v>QC-1</v>
      </c>
      <c r="O50" s="227">
        <v>0</v>
      </c>
      <c r="P50" s="30" t="str">
        <v>QC-1</v>
      </c>
      <c r="Q50" s="227" t="str">
        <v>S-SD</v>
      </c>
      <c r="R50" s="30" t="str">
        <v>S-SD</v>
      </c>
      <c r="S50" s="227">
        <v>0</v>
      </c>
      <c r="T50" s="30" t="str">
        <v>QC-1</v>
      </c>
      <c r="U50" s="227">
        <v>0</v>
      </c>
      <c r="V50" s="30" t="str">
        <v>QC-1</v>
      </c>
      <c r="W50" s="225"/>
      <c r="X50" s="225"/>
      <c r="Y50" s="225"/>
      <c r="Z50" s="226"/>
    </row>
    <row r="51" spans="4:26" ht="21" customHeight="1" x14ac:dyDescent="0.5">
      <c r="D51" s="218" t="str">
        <v>KNORRE, ANDREA</v>
      </c>
      <c r="E51" s="219" t="str">
        <v>0187636</v>
      </c>
      <c r="F51" s="220" t="str">
        <v>MIDWEST</v>
      </c>
      <c r="G51" s="221" t="str">
        <v>SP-2</v>
      </c>
      <c r="H51" s="31">
        <v>0</v>
      </c>
      <c r="I51" s="227">
        <v>0</v>
      </c>
      <c r="J51" s="30" t="str">
        <v>SP-2</v>
      </c>
      <c r="K51" s="227">
        <v>0</v>
      </c>
      <c r="L51" s="30" t="str">
        <v>OFF</v>
      </c>
      <c r="M51" s="227">
        <v>0</v>
      </c>
      <c r="N51" s="30" t="str">
        <v>OFF</v>
      </c>
      <c r="O51" s="227">
        <v>0</v>
      </c>
      <c r="P51" s="30" t="str">
        <v>SP-2</v>
      </c>
      <c r="Q51" s="227">
        <v>0</v>
      </c>
      <c r="R51" s="30" t="str">
        <v>SP-2</v>
      </c>
      <c r="S51" s="227">
        <v>0</v>
      </c>
      <c r="T51" s="30" t="str">
        <v>SP-2</v>
      </c>
      <c r="U51" s="227">
        <v>0</v>
      </c>
      <c r="V51" s="30" t="str">
        <v>SP-2</v>
      </c>
      <c r="W51" s="225"/>
      <c r="X51" s="225"/>
      <c r="Y51" s="225"/>
      <c r="Z51" s="226"/>
    </row>
    <row r="52" spans="4:26" ht="21" customHeight="1" x14ac:dyDescent="0.5">
      <c r="D52" s="218" t="str">
        <v>KOSHY, SUJIT</v>
      </c>
      <c r="E52" s="219" t="str">
        <v>0149451</v>
      </c>
      <c r="F52" s="220" t="str">
        <v>MIDWEST</v>
      </c>
      <c r="G52" s="221" t="str">
        <v>KC-1</v>
      </c>
      <c r="H52" s="31">
        <v>0</v>
      </c>
      <c r="I52" s="227">
        <v>0</v>
      </c>
      <c r="J52" s="30" t="str">
        <v>KC-1</v>
      </c>
      <c r="K52" s="227">
        <v>0</v>
      </c>
      <c r="L52" s="30" t="str">
        <v>OFF</v>
      </c>
      <c r="M52" s="227">
        <v>0</v>
      </c>
      <c r="N52" s="30" t="str">
        <v>OFF</v>
      </c>
      <c r="O52" s="227">
        <v>0</v>
      </c>
      <c r="P52" s="30" t="str">
        <v>KC-1</v>
      </c>
      <c r="Q52" s="227">
        <v>0</v>
      </c>
      <c r="R52" s="30" t="str">
        <v>KC-1</v>
      </c>
      <c r="S52" s="227">
        <v>0</v>
      </c>
      <c r="T52" s="30" t="str">
        <v>KC-1</v>
      </c>
      <c r="U52" s="227">
        <v>0</v>
      </c>
      <c r="V52" s="30" t="str">
        <v>KC-1</v>
      </c>
      <c r="W52" s="225"/>
      <c r="X52" s="225"/>
      <c r="Y52" s="225"/>
      <c r="Z52" s="226"/>
    </row>
    <row r="53" spans="4:26" ht="21" customHeight="1" x14ac:dyDescent="0.5">
      <c r="D53" s="218" t="str">
        <v>KRZYZANOWSKI, KIMMY</v>
      </c>
      <c r="E53" s="219" t="str">
        <v>1019205</v>
      </c>
      <c r="F53" s="220" t="str">
        <v>KEYSTONE</v>
      </c>
      <c r="G53" s="221" t="str">
        <v>CT-R</v>
      </c>
      <c r="H53" s="31" t="str">
        <v>RL-3</v>
      </c>
      <c r="I53" s="227" t="str">
        <v>HELD OFF PAID</v>
      </c>
      <c r="J53" s="30" t="str">
        <v>HELD OFF PAID</v>
      </c>
      <c r="K53" s="227" t="str">
        <v>OVERTIME</v>
      </c>
      <c r="L53" s="30" t="str">
        <v>ACD2-PB</v>
      </c>
      <c r="M53" s="227" t="str">
        <v>HOLD DOWN</v>
      </c>
      <c r="N53" s="30" t="str">
        <v>RL-3</v>
      </c>
      <c r="O53" s="227" t="str">
        <v>HOLD DOWN</v>
      </c>
      <c r="P53" s="30" t="str">
        <v>OFF</v>
      </c>
      <c r="Q53" s="227" t="str">
        <v>HOLD DOWN</v>
      </c>
      <c r="R53" s="30" t="str">
        <v>OFF</v>
      </c>
      <c r="S53" s="227" t="str">
        <v>HOLD DOWN</v>
      </c>
      <c r="T53" s="30" t="str">
        <v>RL-3</v>
      </c>
      <c r="U53" s="227" t="str">
        <v>HOLD DOWN</v>
      </c>
      <c r="V53" s="30" t="str">
        <v>RL-3</v>
      </c>
      <c r="W53" s="225"/>
      <c r="X53" s="225"/>
      <c r="Y53" s="225"/>
      <c r="Z53" s="226"/>
    </row>
    <row r="54" spans="4:26" ht="21" customHeight="1" x14ac:dyDescent="0.5">
      <c r="D54" s="218" t="str">
        <v>LITTLE, CHRISTAL</v>
      </c>
      <c r="E54" s="219" t="str">
        <v>0163388</v>
      </c>
      <c r="F54" s="220" t="str">
        <v>MIDWEST</v>
      </c>
      <c r="G54" s="221" t="str">
        <v>SW-1</v>
      </c>
      <c r="H54" s="31">
        <v>0</v>
      </c>
      <c r="I54" s="227">
        <v>0</v>
      </c>
      <c r="J54" s="30" t="str">
        <v>OFF</v>
      </c>
      <c r="K54" s="227" t="str">
        <v>NCL</v>
      </c>
      <c r="L54" s="30" t="str">
        <v>NCL</v>
      </c>
      <c r="M54" s="227" t="str">
        <v>S-SD</v>
      </c>
      <c r="N54" s="30" t="str">
        <v>S-SD</v>
      </c>
      <c r="O54" s="227">
        <v>0</v>
      </c>
      <c r="P54" s="30" t="str">
        <v>SW-1</v>
      </c>
      <c r="Q54" s="227">
        <v>0</v>
      </c>
      <c r="R54" s="30" t="str">
        <v>SW-1</v>
      </c>
      <c r="S54" s="227">
        <v>0</v>
      </c>
      <c r="T54" s="30" t="str">
        <v>SW-1</v>
      </c>
      <c r="U54" s="227">
        <v>0</v>
      </c>
      <c r="V54" s="30" t="str">
        <v>OFF</v>
      </c>
      <c r="W54" s="225"/>
      <c r="X54" s="225"/>
      <c r="Y54" s="225"/>
      <c r="Z54" s="226"/>
    </row>
    <row r="55" spans="4:26" ht="21" customHeight="1" x14ac:dyDescent="0.5">
      <c r="D55" s="218" t="str">
        <v>LUTERAN, COREY</v>
      </c>
      <c r="E55" s="219" t="str">
        <v>0147988</v>
      </c>
      <c r="F55" s="220" t="str">
        <v>KEYSTONE</v>
      </c>
      <c r="G55" s="221" t="str">
        <v>PE-1</v>
      </c>
      <c r="H55" s="31">
        <v>0</v>
      </c>
      <c r="I55" s="227">
        <v>0</v>
      </c>
      <c r="J55" s="30" t="str">
        <v>OFF</v>
      </c>
      <c r="K55" s="227">
        <v>0</v>
      </c>
      <c r="L55" s="30" t="str">
        <v>PE-1</v>
      </c>
      <c r="M55" s="227">
        <v>0</v>
      </c>
      <c r="N55" s="30" t="str">
        <v>PE-1</v>
      </c>
      <c r="O55" s="227">
        <v>0</v>
      </c>
      <c r="P55" s="30" t="str">
        <v>PE-1</v>
      </c>
      <c r="Q55" s="227">
        <v>0</v>
      </c>
      <c r="R55" s="30" t="str">
        <v>PE-1</v>
      </c>
      <c r="S55" s="227">
        <v>0</v>
      </c>
      <c r="T55" s="30" t="str">
        <v>PE-1</v>
      </c>
      <c r="U55" s="227">
        <v>0</v>
      </c>
      <c r="V55" s="30" t="str">
        <v>OFF</v>
      </c>
      <c r="W55" s="225"/>
      <c r="X55" s="225"/>
      <c r="Y55" s="225"/>
      <c r="Z55" s="226"/>
    </row>
    <row r="56" spans="4:26" ht="21" customHeight="1" x14ac:dyDescent="0.5">
      <c r="D56" s="218" t="str">
        <v>MALCOLM, JOSH</v>
      </c>
      <c r="E56" s="219" t="str">
        <v>1016721</v>
      </c>
      <c r="F56" s="220" t="str">
        <v>KEYSTONE</v>
      </c>
      <c r="G56" s="221" t="str">
        <v>PE-R</v>
      </c>
      <c r="H56" s="31">
        <v>0</v>
      </c>
      <c r="I56" s="227" t="str">
        <v>DIVERTED -ST</v>
      </c>
      <c r="J56" s="30" t="str">
        <v>QC-1</v>
      </c>
      <c r="K56" s="227">
        <v>0</v>
      </c>
      <c r="L56" s="30" t="str">
        <v>PE-2</v>
      </c>
      <c r="M56" s="227">
        <v>0</v>
      </c>
      <c r="N56" s="30" t="str">
        <v>PE-2</v>
      </c>
      <c r="O56" s="227">
        <v>0</v>
      </c>
      <c r="P56" s="30" t="str">
        <v>PE-3</v>
      </c>
      <c r="Q56" s="227">
        <v>0</v>
      </c>
      <c r="R56" s="30" t="str">
        <v>OFF</v>
      </c>
      <c r="S56" s="227">
        <v>0</v>
      </c>
      <c r="T56" s="30" t="str">
        <v>OFF</v>
      </c>
      <c r="U56" s="227">
        <v>0</v>
      </c>
      <c r="V56" s="30" t="str">
        <v>PE-1</v>
      </c>
      <c r="W56" s="225"/>
      <c r="X56" s="225"/>
      <c r="Y56" s="225"/>
      <c r="Z56" s="226"/>
    </row>
    <row r="57" spans="4:26" ht="21" customHeight="1" x14ac:dyDescent="0.5">
      <c r="D57" s="218" t="str">
        <v>MARLOW, RACHAEL</v>
      </c>
      <c r="E57" s="219" t="str">
        <v>1030401</v>
      </c>
      <c r="F57" s="220" t="str">
        <v>KEYSTONE</v>
      </c>
      <c r="G57" s="221" t="str">
        <v>AL-2</v>
      </c>
      <c r="H57" s="31">
        <v>0</v>
      </c>
      <c r="I57" s="227">
        <v>0</v>
      </c>
      <c r="J57" s="30" t="str">
        <v>AL-2</v>
      </c>
      <c r="K57" s="227">
        <v>0</v>
      </c>
      <c r="L57" s="30" t="str">
        <v>AL-2</v>
      </c>
      <c r="M57" s="227" t="str">
        <v>DIVERTED -ST</v>
      </c>
      <c r="N57" s="30" t="str">
        <v>CT-2</v>
      </c>
      <c r="O57" s="227" t="str">
        <v>OVERTIME</v>
      </c>
      <c r="P57" s="30" t="str">
        <v>CT-2</v>
      </c>
      <c r="Q57" s="227">
        <v>0</v>
      </c>
      <c r="R57" s="30" t="str">
        <v>OFF</v>
      </c>
      <c r="S57" s="227">
        <v>0</v>
      </c>
      <c r="T57" s="30" t="str">
        <v>AL-2</v>
      </c>
      <c r="U57" s="227">
        <v>0</v>
      </c>
      <c r="V57" s="30" t="str">
        <v>AL-2</v>
      </c>
      <c r="W57" s="225"/>
      <c r="X57" s="225"/>
      <c r="Y57" s="225"/>
      <c r="Z57" s="226"/>
    </row>
    <row r="58" spans="4:26" ht="21" customHeight="1" x14ac:dyDescent="0.5">
      <c r="D58" s="218" t="str">
        <v>MARZETTE, MEEKA</v>
      </c>
      <c r="E58" s="219" t="str">
        <v>1009881</v>
      </c>
      <c r="F58" s="220" t="str">
        <v>MIDWEST</v>
      </c>
      <c r="G58" s="221" t="str">
        <v>SO-3</v>
      </c>
      <c r="H58" s="31">
        <v>0</v>
      </c>
      <c r="I58" s="227">
        <v>0</v>
      </c>
      <c r="J58" s="30" t="str">
        <v>SO-3</v>
      </c>
      <c r="K58" s="227">
        <v>0</v>
      </c>
      <c r="L58" s="30" t="str">
        <v>SO-3</v>
      </c>
      <c r="M58" s="227">
        <v>0</v>
      </c>
      <c r="N58" s="30" t="str">
        <v>SO-3</v>
      </c>
      <c r="O58" s="227">
        <v>0</v>
      </c>
      <c r="P58" s="30" t="str">
        <v>OFF</v>
      </c>
      <c r="Q58" s="227">
        <v>0</v>
      </c>
      <c r="R58" s="30" t="str">
        <v>OFF</v>
      </c>
      <c r="S58" s="227">
        <v>0</v>
      </c>
      <c r="T58" s="30" t="str">
        <v>SO-3</v>
      </c>
      <c r="U58" s="227">
        <v>0</v>
      </c>
      <c r="V58" s="30" t="str">
        <v>SO-3</v>
      </c>
      <c r="W58" s="225"/>
      <c r="X58" s="225"/>
      <c r="Y58" s="225"/>
      <c r="Z58" s="226"/>
    </row>
    <row r="59" spans="4:26" ht="21" customHeight="1" x14ac:dyDescent="0.5">
      <c r="D59" s="218" t="str">
        <v>MCAULEY, LESLIE</v>
      </c>
      <c r="E59" s="219" t="str">
        <v>1016884</v>
      </c>
      <c r="F59" s="220" t="str">
        <v>KEYSTONE</v>
      </c>
      <c r="G59" s="221" t="str">
        <v>HE-2</v>
      </c>
      <c r="H59" s="31">
        <v>0</v>
      </c>
      <c r="I59" s="227">
        <v>0</v>
      </c>
      <c r="J59" s="30" t="str">
        <v>HE-2</v>
      </c>
      <c r="K59" s="227">
        <v>0</v>
      </c>
      <c r="L59" s="30" t="str">
        <v>HE-2</v>
      </c>
      <c r="M59" s="227">
        <v>0</v>
      </c>
      <c r="N59" s="30" t="str">
        <v>OFF</v>
      </c>
      <c r="O59" s="227">
        <v>0</v>
      </c>
      <c r="P59" s="30" t="str">
        <v>OFF</v>
      </c>
      <c r="Q59" s="227">
        <v>0</v>
      </c>
      <c r="R59" s="30" t="str">
        <v>HE-2</v>
      </c>
      <c r="S59" s="227">
        <v>0</v>
      </c>
      <c r="T59" s="30" t="str">
        <v>HE-2</v>
      </c>
      <c r="U59" s="227">
        <v>0</v>
      </c>
      <c r="V59" s="30" t="str">
        <v>HE-2</v>
      </c>
      <c r="W59" s="225"/>
      <c r="X59" s="225"/>
      <c r="Y59" s="225"/>
      <c r="Z59" s="226"/>
    </row>
    <row r="60" spans="4:26" ht="21" customHeight="1" x14ac:dyDescent="0.5">
      <c r="D60" s="218" t="str">
        <v>MCCARREN, CARRIE</v>
      </c>
      <c r="E60" s="219" t="str">
        <v>0378322</v>
      </c>
      <c r="F60" s="220" t="str">
        <v>KEYSTONE</v>
      </c>
      <c r="G60" s="221" t="str">
        <v>PE-3</v>
      </c>
      <c r="H60" s="31">
        <v>0</v>
      </c>
      <c r="I60" s="227" t="str">
        <v>V-WK</v>
      </c>
      <c r="J60" s="30" t="str">
        <v>V-WK</v>
      </c>
      <c r="K60" s="227" t="str">
        <v>V-WK</v>
      </c>
      <c r="L60" s="30" t="str">
        <v>V-WK</v>
      </c>
      <c r="M60" s="227" t="str">
        <v>PL-D</v>
      </c>
      <c r="N60" s="30" t="str">
        <v>PL-D</v>
      </c>
      <c r="O60" s="227">
        <v>0</v>
      </c>
      <c r="P60" s="30" t="str">
        <v>OFF</v>
      </c>
      <c r="Q60" s="227">
        <v>0</v>
      </c>
      <c r="R60" s="30" t="str">
        <v>OFF</v>
      </c>
      <c r="S60" s="227" t="str">
        <v>S-SD</v>
      </c>
      <c r="T60" s="30" t="str">
        <v>S-SD</v>
      </c>
      <c r="U60" s="227">
        <v>0</v>
      </c>
      <c r="V60" s="30" t="str">
        <v>PE-3</v>
      </c>
      <c r="W60" s="225"/>
      <c r="X60" s="225"/>
      <c r="Y60" s="225"/>
      <c r="Z60" s="226"/>
    </row>
    <row r="61" spans="4:26" ht="21" customHeight="1" x14ac:dyDescent="0.5">
      <c r="D61" s="218" t="str">
        <v>MCGRADY, SHAWN</v>
      </c>
      <c r="E61" s="219" t="str">
        <v>1016079</v>
      </c>
      <c r="F61" s="220" t="str">
        <v>GREATLAKES</v>
      </c>
      <c r="G61" s="221" t="str">
        <v>DE-3</v>
      </c>
      <c r="H61" s="31">
        <v>0</v>
      </c>
      <c r="I61" s="227">
        <v>0</v>
      </c>
      <c r="J61" s="30" t="str">
        <v>DE-3</v>
      </c>
      <c r="K61" s="227">
        <v>0</v>
      </c>
      <c r="L61" s="30" t="str">
        <v>DE-3</v>
      </c>
      <c r="M61" s="227">
        <v>0</v>
      </c>
      <c r="N61" s="30" t="str">
        <v>DE-3</v>
      </c>
      <c r="O61" s="227" t="str">
        <v>OVERTIME</v>
      </c>
      <c r="P61" s="30" t="str">
        <v>DE-3</v>
      </c>
      <c r="Q61" s="227">
        <v>0</v>
      </c>
      <c r="R61" s="30" t="str">
        <v>OFF</v>
      </c>
      <c r="S61" s="227">
        <v>0</v>
      </c>
      <c r="T61" s="30" t="str">
        <v>DE-3</v>
      </c>
      <c r="U61" s="227">
        <v>0</v>
      </c>
      <c r="V61" s="30" t="str">
        <v>DE-3</v>
      </c>
      <c r="W61" s="225"/>
      <c r="X61" s="225"/>
      <c r="Y61" s="225"/>
      <c r="Z61" s="226"/>
    </row>
    <row r="62" spans="4:26" ht="21" customHeight="1" x14ac:dyDescent="0.5">
      <c r="D62" s="218" t="str">
        <v>MERCER, LLOYD</v>
      </c>
      <c r="E62" s="219" t="str">
        <v>0371336</v>
      </c>
      <c r="F62" s="220" t="str">
        <v>MIDWEST</v>
      </c>
      <c r="G62" s="221" t="str">
        <v>LF-1</v>
      </c>
      <c r="H62" s="31">
        <v>0</v>
      </c>
      <c r="I62" s="227">
        <v>0</v>
      </c>
      <c r="J62" s="30" t="str">
        <v>OFF</v>
      </c>
      <c r="K62" s="227">
        <v>0</v>
      </c>
      <c r="L62" s="30" t="str">
        <v>OFF</v>
      </c>
      <c r="M62" s="227">
        <v>0</v>
      </c>
      <c r="N62" s="30" t="str">
        <v>LF-1</v>
      </c>
      <c r="O62" s="227">
        <v>0</v>
      </c>
      <c r="P62" s="30" t="str">
        <v>LF-1</v>
      </c>
      <c r="Q62" s="227">
        <v>0</v>
      </c>
      <c r="R62" s="30" t="str">
        <v>LF-1</v>
      </c>
      <c r="S62" s="227">
        <v>0</v>
      </c>
      <c r="T62" s="30" t="str">
        <v>LF-1</v>
      </c>
      <c r="U62" s="227">
        <v>0</v>
      </c>
      <c r="V62" s="30" t="str">
        <v>LF-1</v>
      </c>
      <c r="W62" s="225"/>
      <c r="X62" s="225"/>
      <c r="Y62" s="225"/>
      <c r="Z62" s="226"/>
    </row>
    <row r="63" spans="4:26" ht="21" customHeight="1" x14ac:dyDescent="0.5">
      <c r="D63" s="218" t="str">
        <v>MILLER, FRED</v>
      </c>
      <c r="E63" s="219" t="str">
        <v>1018636</v>
      </c>
      <c r="F63" s="220" t="str">
        <v>MIDWEST</v>
      </c>
      <c r="G63" s="221" t="str">
        <v>SW-3</v>
      </c>
      <c r="H63" s="31">
        <v>0</v>
      </c>
      <c r="I63" s="227">
        <v>0</v>
      </c>
      <c r="J63" s="30" t="str">
        <v>SW-3</v>
      </c>
      <c r="K63" s="227">
        <v>0</v>
      </c>
      <c r="L63" s="30" t="str">
        <v>SW-3</v>
      </c>
      <c r="M63" s="227">
        <v>0</v>
      </c>
      <c r="N63" s="30" t="str">
        <v>OFF</v>
      </c>
      <c r="O63" s="227">
        <v>0</v>
      </c>
      <c r="P63" s="30" t="str">
        <v>OFF</v>
      </c>
      <c r="Q63" s="227">
        <v>0</v>
      </c>
      <c r="R63" s="30" t="str">
        <v>SW-3</v>
      </c>
      <c r="S63" s="227">
        <v>0</v>
      </c>
      <c r="T63" s="30" t="str">
        <v>SW-3</v>
      </c>
      <c r="U63" s="227">
        <v>0</v>
      </c>
      <c r="V63" s="30" t="str">
        <v>SW-3</v>
      </c>
      <c r="W63" s="225"/>
      <c r="X63" s="225"/>
      <c r="Y63" s="225"/>
      <c r="Z63" s="226"/>
    </row>
    <row r="64" spans="4:26" ht="21" customHeight="1" x14ac:dyDescent="0.5">
      <c r="D64" s="218" t="str">
        <v>MOGGIO, WILLIAM</v>
      </c>
      <c r="E64" s="219" t="str">
        <v>1004227</v>
      </c>
      <c r="F64" s="220" t="str">
        <v>KEYSTONE</v>
      </c>
      <c r="G64" s="221" t="str">
        <v>AL-3</v>
      </c>
      <c r="H64" s="31">
        <v>0</v>
      </c>
      <c r="I64" s="227" t="str">
        <v>DIVERTED -OT</v>
      </c>
      <c r="J64" s="30" t="str">
        <v>ACD2-MW</v>
      </c>
      <c r="K64" s="227">
        <v>0</v>
      </c>
      <c r="L64" s="30" t="str">
        <v>AL-3</v>
      </c>
      <c r="M64" s="227">
        <v>0</v>
      </c>
      <c r="N64" s="30" t="str">
        <v>AL-3</v>
      </c>
      <c r="O64" s="227">
        <v>0</v>
      </c>
      <c r="P64" s="30" t="str">
        <v>AL-3</v>
      </c>
      <c r="Q64" s="227">
        <v>0</v>
      </c>
      <c r="R64" s="30" t="str">
        <v>AL-3</v>
      </c>
      <c r="S64" s="227">
        <v>0</v>
      </c>
      <c r="T64" s="30" t="str">
        <v>OFF</v>
      </c>
      <c r="U64" s="227">
        <v>0</v>
      </c>
      <c r="V64" s="30" t="str">
        <v>OFF</v>
      </c>
      <c r="W64" s="225"/>
      <c r="X64" s="225"/>
      <c r="Y64" s="225"/>
      <c r="Z64" s="226"/>
    </row>
    <row r="65" spans="4:26" ht="21" customHeight="1" x14ac:dyDescent="0.5">
      <c r="D65" s="218" t="str">
        <v>NEGLEY, ANTHONY</v>
      </c>
      <c r="E65" s="219" t="str">
        <v>0133337</v>
      </c>
      <c r="F65" s="220" t="str">
        <v>GREATLAKES</v>
      </c>
      <c r="G65" s="221" t="str">
        <v>EL-1</v>
      </c>
      <c r="H65" s="31">
        <v>0</v>
      </c>
      <c r="I65" s="227">
        <v>0</v>
      </c>
      <c r="J65" s="30" t="str">
        <v>OFF</v>
      </c>
      <c r="K65" s="227">
        <v>0</v>
      </c>
      <c r="L65" s="30" t="str">
        <v>OFF</v>
      </c>
      <c r="M65" s="227">
        <v>0</v>
      </c>
      <c r="N65" s="30" t="str">
        <v>EL-1</v>
      </c>
      <c r="O65" s="227">
        <v>0</v>
      </c>
      <c r="P65" s="30" t="str">
        <v>EL-1</v>
      </c>
      <c r="Q65" s="227">
        <v>0</v>
      </c>
      <c r="R65" s="30" t="str">
        <v>EL-1</v>
      </c>
      <c r="S65" s="227">
        <v>0</v>
      </c>
      <c r="T65" s="30" t="str">
        <v>EL-1</v>
      </c>
      <c r="U65" s="227">
        <v>0</v>
      </c>
      <c r="V65" s="30" t="str">
        <v>EL-1</v>
      </c>
      <c r="W65" s="225"/>
      <c r="X65" s="225"/>
      <c r="Y65" s="225"/>
      <c r="Z65" s="226"/>
    </row>
    <row r="66" spans="4:26" ht="21" customHeight="1" x14ac:dyDescent="0.5">
      <c r="D66" s="218" t="str">
        <v>OWENS, XAVIER</v>
      </c>
      <c r="E66" s="219" t="str">
        <v>1025506</v>
      </c>
      <c r="F66" s="220" t="str">
        <v>MIDWEST</v>
      </c>
      <c r="G66" s="221" t="str">
        <v>LF-R</v>
      </c>
      <c r="H66" s="31">
        <v>0</v>
      </c>
      <c r="I66" s="227">
        <v>0</v>
      </c>
      <c r="J66" s="30" t="str">
        <v>LF-1</v>
      </c>
      <c r="K66" s="227">
        <v>0</v>
      </c>
      <c r="L66" s="30" t="str">
        <v>LF-1</v>
      </c>
      <c r="M66" s="227">
        <v>0</v>
      </c>
      <c r="N66" s="30" t="str">
        <v>LF-2</v>
      </c>
      <c r="O66" s="227" t="str">
        <v>S-SD</v>
      </c>
      <c r="P66" s="30" t="str">
        <v>S-SD</v>
      </c>
      <c r="Q66" s="227">
        <v>0</v>
      </c>
      <c r="R66" s="30" t="str">
        <v>LF-3</v>
      </c>
      <c r="S66" s="227">
        <v>0</v>
      </c>
      <c r="T66" s="30" t="str">
        <v>OFF</v>
      </c>
      <c r="U66" s="227">
        <v>0</v>
      </c>
      <c r="V66" s="30" t="str">
        <v>OFF</v>
      </c>
      <c r="W66" s="225"/>
      <c r="X66" s="225"/>
      <c r="Y66" s="225"/>
      <c r="Z66" s="226"/>
    </row>
    <row r="67" spans="4:26" ht="21" customHeight="1" x14ac:dyDescent="0.45">
      <c r="D67" s="218" t="str">
        <v>PALMER, SANFORD</v>
      </c>
      <c r="E67" s="219" t="str">
        <v>1014949</v>
      </c>
      <c r="F67" s="220" t="str">
        <v>MIDWEST</v>
      </c>
      <c r="G67" s="221" t="str">
        <v>SP-3</v>
      </c>
      <c r="H67" s="31">
        <v>0</v>
      </c>
      <c r="I67" s="227" t="str">
        <v>DIVERTED -ST</v>
      </c>
      <c r="J67" s="30" t="str">
        <v>IN-3</v>
      </c>
      <c r="K67" s="227">
        <v>0</v>
      </c>
      <c r="L67" s="30" t="str">
        <v>SP-3</v>
      </c>
      <c r="M67" s="227">
        <v>0</v>
      </c>
      <c r="N67" s="30" t="str">
        <v>SP-3</v>
      </c>
      <c r="O67" s="227">
        <v>0</v>
      </c>
      <c r="P67" s="30" t="str">
        <v>OFF</v>
      </c>
      <c r="Q67" s="227">
        <v>0</v>
      </c>
      <c r="R67" s="30" t="str">
        <v>OFF</v>
      </c>
      <c r="S67" s="227">
        <v>0</v>
      </c>
      <c r="T67" s="30" t="str">
        <v>SP-3</v>
      </c>
      <c r="U67" s="227">
        <v>0</v>
      </c>
      <c r="V67" s="30" t="str">
        <v>SP-3</v>
      </c>
    </row>
    <row r="68" spans="4:26" ht="21" customHeight="1" x14ac:dyDescent="0.45">
      <c r="D68" s="218" t="str">
        <v>PANELLA, MICHAEL</v>
      </c>
      <c r="E68" s="219" t="str">
        <v>0337393</v>
      </c>
      <c r="F68" s="220" t="str">
        <v>KEYSTONE</v>
      </c>
      <c r="G68" s="221" t="str">
        <v>AL-1</v>
      </c>
      <c r="H68" s="31">
        <v>0</v>
      </c>
      <c r="I68" s="227">
        <v>0</v>
      </c>
      <c r="J68" s="30" t="str">
        <v>AL-1</v>
      </c>
      <c r="K68" s="227">
        <v>0</v>
      </c>
      <c r="L68" s="30" t="str">
        <v>OFF</v>
      </c>
      <c r="M68" s="227">
        <v>0</v>
      </c>
      <c r="N68" s="30" t="str">
        <v>OFF</v>
      </c>
      <c r="O68" s="227" t="str">
        <v>FMLA</v>
      </c>
      <c r="P68" s="30" t="str">
        <v>FMLA</v>
      </c>
      <c r="Q68" s="227" t="str">
        <v>FMLA</v>
      </c>
      <c r="R68" s="30" t="str">
        <v>FMLA</v>
      </c>
      <c r="S68" s="227" t="str">
        <v>S-SD</v>
      </c>
      <c r="T68" s="30" t="str">
        <v>S-SD</v>
      </c>
      <c r="U68" s="227">
        <v>0</v>
      </c>
      <c r="V68" s="30" t="str">
        <v>AL-1</v>
      </c>
    </row>
    <row r="69" spans="4:26" ht="21" customHeight="1" x14ac:dyDescent="0.45">
      <c r="D69" s="218" t="str">
        <v>PIETSCH, DAN</v>
      </c>
      <c r="E69" s="219" t="str">
        <v>0162513</v>
      </c>
      <c r="F69" s="220" t="str">
        <v>MIDWEST</v>
      </c>
      <c r="G69" s="221" t="str">
        <v>SW-2</v>
      </c>
      <c r="H69" s="31">
        <v>0</v>
      </c>
      <c r="I69" s="227">
        <v>0</v>
      </c>
      <c r="J69" s="30" t="str">
        <v>SW-2</v>
      </c>
      <c r="K69" s="227">
        <v>0</v>
      </c>
      <c r="L69" s="30" t="str">
        <v>OFF</v>
      </c>
      <c r="M69" s="227">
        <v>0</v>
      </c>
      <c r="N69" s="30" t="str">
        <v>OFF</v>
      </c>
      <c r="O69" s="227">
        <v>0</v>
      </c>
      <c r="P69" s="30" t="str">
        <v>SW-2</v>
      </c>
      <c r="Q69" s="227">
        <v>0</v>
      </c>
      <c r="R69" s="30" t="str">
        <v>SW-2</v>
      </c>
      <c r="S69" s="227">
        <v>0</v>
      </c>
      <c r="T69" s="30" t="str">
        <v>SW-2</v>
      </c>
      <c r="U69" s="227">
        <v>0</v>
      </c>
      <c r="V69" s="30" t="str">
        <v>SW-2</v>
      </c>
    </row>
    <row r="70" spans="4:26" ht="21" customHeight="1" x14ac:dyDescent="0.45">
      <c r="D70" s="218" t="str">
        <v>PIFER, BRIAN</v>
      </c>
      <c r="E70" s="219" t="str">
        <v>0374213</v>
      </c>
      <c r="F70" s="220" t="str">
        <v>KEYSTONE</v>
      </c>
      <c r="G70" s="221" t="str">
        <v>AL-R</v>
      </c>
      <c r="H70" s="31">
        <v>0</v>
      </c>
      <c r="I70" s="227">
        <v>0</v>
      </c>
      <c r="J70" s="30" t="str">
        <v>OFF</v>
      </c>
      <c r="K70" s="227">
        <v>0</v>
      </c>
      <c r="L70" s="30" t="str">
        <v>AL-1</v>
      </c>
      <c r="M70" s="227">
        <v>0</v>
      </c>
      <c r="N70" s="30" t="str">
        <v>AL-1</v>
      </c>
      <c r="O70" s="227">
        <v>0</v>
      </c>
      <c r="P70" s="30" t="str">
        <v>AL-2</v>
      </c>
      <c r="Q70" s="227">
        <v>0</v>
      </c>
      <c r="R70" s="30" t="str">
        <v>AL-2</v>
      </c>
      <c r="S70" s="227">
        <v>0</v>
      </c>
      <c r="T70" s="30" t="str">
        <v>AL-3</v>
      </c>
      <c r="U70" s="227">
        <v>0</v>
      </c>
      <c r="V70" s="30" t="str">
        <v>OFF</v>
      </c>
    </row>
    <row r="71" spans="4:26" ht="21" customHeight="1" x14ac:dyDescent="0.45">
      <c r="D71" s="218" t="str">
        <v>RITCHIE, MIKE</v>
      </c>
      <c r="E71" s="219" t="str">
        <v>0717626</v>
      </c>
      <c r="F71" s="220" t="str">
        <v>KEYSTONE</v>
      </c>
      <c r="G71" s="221" t="str">
        <v>CT-1</v>
      </c>
      <c r="H71" s="31">
        <v>0</v>
      </c>
      <c r="I71" s="227">
        <v>0</v>
      </c>
      <c r="J71" s="30" t="str">
        <v>OFF</v>
      </c>
      <c r="K71" s="227">
        <v>0</v>
      </c>
      <c r="L71" s="30" t="str">
        <v>OFF</v>
      </c>
      <c r="M71" s="227">
        <v>0</v>
      </c>
      <c r="N71" s="30" t="str">
        <v>CT-1</v>
      </c>
      <c r="O71" s="227" t="str">
        <v>S-SD</v>
      </c>
      <c r="P71" s="30" t="str">
        <v>S-SD</v>
      </c>
      <c r="Q71" s="227">
        <v>0</v>
      </c>
      <c r="R71" s="30" t="str">
        <v>CT-1</v>
      </c>
      <c r="S71" s="227">
        <v>0</v>
      </c>
      <c r="T71" s="30" t="str">
        <v>CT-1</v>
      </c>
      <c r="U71" s="227">
        <v>0</v>
      </c>
      <c r="V71" s="30" t="str">
        <v>CT-1</v>
      </c>
    </row>
    <row r="72" spans="4:26" ht="21" customHeight="1" x14ac:dyDescent="0.45">
      <c r="D72" s="218" t="str">
        <v>ROBERTS, KIRVIN</v>
      </c>
      <c r="E72" s="219" t="str">
        <v>1019209</v>
      </c>
      <c r="F72" s="220" t="str">
        <v>GREATLAKES</v>
      </c>
      <c r="G72" s="221" t="str">
        <v>EL-R</v>
      </c>
      <c r="H72" s="31">
        <v>0</v>
      </c>
      <c r="I72" s="227">
        <v>0</v>
      </c>
      <c r="J72" s="30" t="str">
        <v>EL-1</v>
      </c>
      <c r="K72" s="227">
        <v>0</v>
      </c>
      <c r="L72" s="30" t="str">
        <v>EL-1</v>
      </c>
      <c r="M72" s="227">
        <v>0</v>
      </c>
      <c r="N72" s="30" t="str">
        <v>EL-2</v>
      </c>
      <c r="O72" s="227">
        <v>0</v>
      </c>
      <c r="P72" s="30" t="str">
        <v>EL-2</v>
      </c>
      <c r="Q72" s="227" t="str">
        <v>S-SD</v>
      </c>
      <c r="R72" s="30" t="str">
        <v>S-SD</v>
      </c>
      <c r="S72" s="227">
        <v>0</v>
      </c>
      <c r="T72" s="30" t="str">
        <v>OFF</v>
      </c>
      <c r="U72" s="227">
        <v>0</v>
      </c>
      <c r="V72" s="30" t="str">
        <v>OFF</v>
      </c>
    </row>
    <row r="73" spans="4:26" ht="21" customHeight="1" x14ac:dyDescent="0.45">
      <c r="D73" s="218" t="str">
        <v>ROBINSON, AARON</v>
      </c>
      <c r="E73" s="219" t="str">
        <v>1015460</v>
      </c>
      <c r="F73" s="220" t="str">
        <v>MIDWEST</v>
      </c>
      <c r="G73" s="221" t="str">
        <v>SP-R</v>
      </c>
      <c r="H73" s="31">
        <v>0</v>
      </c>
      <c r="I73" s="227">
        <v>0</v>
      </c>
      <c r="J73" s="30" t="str">
        <v>SP-1</v>
      </c>
      <c r="K73" s="227">
        <v>0</v>
      </c>
      <c r="L73" s="30" t="str">
        <v>SP-2</v>
      </c>
      <c r="M73" s="227">
        <v>0</v>
      </c>
      <c r="N73" s="30" t="str">
        <v>SP-2</v>
      </c>
      <c r="O73" s="227">
        <v>0</v>
      </c>
      <c r="P73" s="30" t="str">
        <v>SP-3</v>
      </c>
      <c r="Q73" s="227">
        <v>0</v>
      </c>
      <c r="R73" s="30" t="str">
        <v>OFF</v>
      </c>
      <c r="S73" s="227">
        <v>0</v>
      </c>
      <c r="T73" s="30" t="str">
        <v>OFF</v>
      </c>
      <c r="U73" s="227">
        <v>0</v>
      </c>
      <c r="V73" s="30" t="str">
        <v>SP-1</v>
      </c>
    </row>
    <row r="74" spans="4:26" ht="21" customHeight="1" x14ac:dyDescent="0.45">
      <c r="D74" s="218" t="str">
        <v>ROBINSON, MATTHEW</v>
      </c>
      <c r="E74" s="219" t="str">
        <v>1010235</v>
      </c>
      <c r="F74" s="220" t="str">
        <v>GREATLAKES</v>
      </c>
      <c r="G74" s="221" t="str">
        <v>CD-2</v>
      </c>
      <c r="H74" s="31">
        <v>0</v>
      </c>
      <c r="I74" s="227">
        <v>0</v>
      </c>
      <c r="J74" s="30" t="str">
        <v>CD-2</v>
      </c>
      <c r="K74" s="227">
        <v>0</v>
      </c>
      <c r="L74" s="30" t="str">
        <v>OFF</v>
      </c>
      <c r="M74" s="227">
        <v>0</v>
      </c>
      <c r="N74" s="30" t="str">
        <v>OFF</v>
      </c>
      <c r="O74" s="227">
        <v>0</v>
      </c>
      <c r="P74" s="30" t="str">
        <v>CD-2</v>
      </c>
      <c r="Q74" s="227">
        <v>0</v>
      </c>
      <c r="R74" s="30" t="str">
        <v>CD-2</v>
      </c>
      <c r="S74" s="227">
        <v>0</v>
      </c>
      <c r="T74" s="30" t="str">
        <v>CD-2</v>
      </c>
      <c r="U74" s="227">
        <v>0</v>
      </c>
      <c r="V74" s="30" t="str">
        <v>CD-2</v>
      </c>
    </row>
    <row r="75" spans="4:26" ht="21" customHeight="1" x14ac:dyDescent="0.45">
      <c r="D75" s="218" t="str">
        <v>ROTH, KATE</v>
      </c>
      <c r="E75" s="219" t="str">
        <v>0892696</v>
      </c>
      <c r="F75" s="220" t="str">
        <v>KEYSTONE</v>
      </c>
      <c r="G75" s="221" t="str">
        <v>RL-1</v>
      </c>
      <c r="H75" s="31">
        <v>0</v>
      </c>
      <c r="I75" s="227">
        <v>0</v>
      </c>
      <c r="J75" s="30" t="str">
        <v>OFF</v>
      </c>
      <c r="K75" s="227">
        <v>0</v>
      </c>
      <c r="L75" s="30" t="str">
        <v>RL-1</v>
      </c>
      <c r="M75" s="227">
        <v>0</v>
      </c>
      <c r="N75" s="30" t="str">
        <v>RL-1</v>
      </c>
      <c r="O75" s="227">
        <v>0</v>
      </c>
      <c r="P75" s="30" t="str">
        <v>RL-1</v>
      </c>
      <c r="Q75" s="227">
        <v>0</v>
      </c>
      <c r="R75" s="30" t="str">
        <v>RL-1</v>
      </c>
      <c r="S75" s="227">
        <v>0</v>
      </c>
      <c r="T75" s="30" t="str">
        <v>RL-1</v>
      </c>
      <c r="U75" s="227">
        <v>0</v>
      </c>
      <c r="V75" s="30" t="str">
        <v>OFF</v>
      </c>
    </row>
    <row r="76" spans="4:26" ht="21" customHeight="1" x14ac:dyDescent="0.45">
      <c r="D76" s="218" t="str">
        <v>SANSBURY, TRAVIS</v>
      </c>
      <c r="E76" s="219" t="str">
        <v>1016880</v>
      </c>
      <c r="F76" s="220" t="str">
        <v>MIDWEST</v>
      </c>
      <c r="G76" s="221" t="str">
        <v>QC-3</v>
      </c>
      <c r="H76" s="31">
        <v>0</v>
      </c>
      <c r="I76" s="227">
        <v>0</v>
      </c>
      <c r="J76" s="30" t="str">
        <v>QC-3</v>
      </c>
      <c r="K76" s="227">
        <v>0</v>
      </c>
      <c r="L76" s="30" t="str">
        <v>QC-3</v>
      </c>
      <c r="M76" s="227">
        <v>0</v>
      </c>
      <c r="N76" s="30" t="str">
        <v>QC-3</v>
      </c>
      <c r="O76" s="227">
        <v>0</v>
      </c>
      <c r="P76" s="30" t="str">
        <v>QC-3</v>
      </c>
      <c r="Q76" s="227">
        <v>0</v>
      </c>
      <c r="R76" s="30" t="str">
        <v>OFF</v>
      </c>
      <c r="S76" s="227">
        <v>0</v>
      </c>
      <c r="T76" s="30" t="str">
        <v>OFF</v>
      </c>
      <c r="U76" s="227" t="str">
        <v>V-SD</v>
      </c>
      <c r="V76" s="30" t="str">
        <v>V-SD</v>
      </c>
    </row>
    <row r="77" spans="4:26" ht="21" customHeight="1" x14ac:dyDescent="0.45">
      <c r="D77" s="218" t="str">
        <v>SCOTT, DONALD</v>
      </c>
      <c r="E77" s="219" t="str">
        <v>0317765</v>
      </c>
      <c r="F77" s="220" t="str">
        <v>GREATLAKES</v>
      </c>
      <c r="G77" s="221" t="str">
        <v>TT-2</v>
      </c>
      <c r="H77" s="31">
        <v>0</v>
      </c>
      <c r="I77" s="227">
        <v>0</v>
      </c>
      <c r="J77" s="30" t="str">
        <v>TT-2</v>
      </c>
      <c r="K77" s="227">
        <v>0</v>
      </c>
      <c r="L77" s="30" t="str">
        <v>TT-2</v>
      </c>
      <c r="M77" s="227">
        <v>0</v>
      </c>
      <c r="N77" s="30" t="str">
        <v>TT-2</v>
      </c>
      <c r="O77" s="227">
        <v>0</v>
      </c>
      <c r="P77" s="30" t="str">
        <v>OFF</v>
      </c>
      <c r="Q77" s="227">
        <v>0</v>
      </c>
      <c r="R77" s="30" t="str">
        <v>OFF</v>
      </c>
      <c r="S77" s="227">
        <v>0</v>
      </c>
      <c r="T77" s="30" t="str">
        <v>TT-2</v>
      </c>
      <c r="U77" s="227">
        <v>0</v>
      </c>
      <c r="V77" s="30" t="str">
        <v>TT-2</v>
      </c>
    </row>
    <row r="78" spans="4:26" ht="21" customHeight="1" x14ac:dyDescent="0.45">
      <c r="D78" s="218" t="str">
        <v>SHIELDS, BRIAN</v>
      </c>
      <c r="E78" s="219" t="str">
        <v>1017207</v>
      </c>
      <c r="F78" s="220" t="str">
        <v>KEYSTONE</v>
      </c>
      <c r="G78" s="221" t="str">
        <v>HT-3</v>
      </c>
      <c r="H78" s="31">
        <v>0</v>
      </c>
      <c r="I78" s="227">
        <v>0</v>
      </c>
      <c r="J78" s="30" t="str">
        <v>HT-3</v>
      </c>
      <c r="K78" s="227">
        <v>0</v>
      </c>
      <c r="L78" s="30" t="str">
        <v>HT-3</v>
      </c>
      <c r="M78" s="227">
        <v>0</v>
      </c>
      <c r="N78" s="30" t="str">
        <v>OFF</v>
      </c>
      <c r="O78" s="227">
        <v>0</v>
      </c>
      <c r="P78" s="30" t="str">
        <v>OFF</v>
      </c>
      <c r="Q78" s="227">
        <v>0</v>
      </c>
      <c r="R78" s="30" t="str">
        <v>HT-3</v>
      </c>
      <c r="S78" s="227">
        <v>0</v>
      </c>
      <c r="T78" s="30" t="str">
        <v>HT-3</v>
      </c>
      <c r="U78" s="227">
        <v>0</v>
      </c>
      <c r="V78" s="30" t="str">
        <v>HT-3</v>
      </c>
    </row>
    <row r="79" spans="4:26" ht="21" customHeight="1" x14ac:dyDescent="0.45">
      <c r="D79" s="218" t="str">
        <v>SOLES, BILL</v>
      </c>
      <c r="E79" s="219" t="str">
        <v>0374206</v>
      </c>
      <c r="F79" s="220" t="str">
        <v>GREATLAKES</v>
      </c>
      <c r="G79" s="221" t="str">
        <v>SA-2</v>
      </c>
      <c r="H79" s="31">
        <v>0</v>
      </c>
      <c r="I79" s="227">
        <v>0</v>
      </c>
      <c r="J79" s="30" t="str">
        <v>SA-2</v>
      </c>
      <c r="K79" s="227">
        <v>0</v>
      </c>
      <c r="L79" s="30" t="str">
        <v>OFF</v>
      </c>
      <c r="M79" s="227">
        <v>0</v>
      </c>
      <c r="N79" s="30" t="str">
        <v>OFF</v>
      </c>
      <c r="O79" s="227">
        <v>0</v>
      </c>
      <c r="P79" s="30" t="str">
        <v>SA-2</v>
      </c>
      <c r="Q79" s="227">
        <v>0</v>
      </c>
      <c r="R79" s="30" t="str">
        <v>SA-2</v>
      </c>
      <c r="S79" s="227">
        <v>0</v>
      </c>
      <c r="T79" s="30" t="str">
        <v>SA-2</v>
      </c>
      <c r="U79" s="227">
        <v>0</v>
      </c>
      <c r="V79" s="30" t="str">
        <v>SA-2</v>
      </c>
    </row>
    <row r="80" spans="4:26" ht="21" customHeight="1" x14ac:dyDescent="0.45">
      <c r="D80" s="218" t="str">
        <v>STAMETS, JAKE</v>
      </c>
      <c r="E80" s="219" t="str">
        <v>1023675</v>
      </c>
      <c r="F80" s="220" t="str">
        <v>GREATLAKES</v>
      </c>
      <c r="G80" s="221" t="str">
        <v>SA-3</v>
      </c>
      <c r="H80" s="31">
        <v>0</v>
      </c>
      <c r="I80" s="227">
        <v>0</v>
      </c>
      <c r="J80" s="30" t="str">
        <v>SA-3</v>
      </c>
      <c r="K80" s="227">
        <v>0</v>
      </c>
      <c r="L80" s="30" t="str">
        <v>SA-3</v>
      </c>
      <c r="M80" s="227" t="str">
        <v>S-APPT</v>
      </c>
      <c r="N80" s="30" t="str">
        <v>S-APPT</v>
      </c>
      <c r="O80" s="227">
        <v>0</v>
      </c>
      <c r="P80" s="30" t="str">
        <v>OFF</v>
      </c>
      <c r="Q80" s="227">
        <v>0</v>
      </c>
      <c r="R80" s="30" t="str">
        <v>OFF</v>
      </c>
      <c r="S80" s="227">
        <v>0</v>
      </c>
      <c r="T80" s="30" t="str">
        <v>SA-3</v>
      </c>
      <c r="U80" s="227">
        <v>0</v>
      </c>
      <c r="V80" s="30" t="str">
        <v>SA-3</v>
      </c>
    </row>
    <row r="81" spans="4:22" ht="21" customHeight="1" x14ac:dyDescent="0.45">
      <c r="D81" s="218" t="str">
        <v>STAMETS, LUCAS</v>
      </c>
      <c r="E81" s="219" t="str">
        <v>1031102</v>
      </c>
      <c r="F81" s="220" t="str">
        <v>MIDWEST</v>
      </c>
      <c r="G81" s="221" t="str">
        <v>QC-2</v>
      </c>
      <c r="H81" s="31" t="str">
        <v>QC-R</v>
      </c>
      <c r="I81" s="227" t="str">
        <v>NCL</v>
      </c>
      <c r="J81" s="30" t="str">
        <v>NCL</v>
      </c>
      <c r="K81" s="227" t="str">
        <v>HOLD DOWN</v>
      </c>
      <c r="L81" s="30" t="str">
        <v>QC-1</v>
      </c>
      <c r="M81" s="227" t="str">
        <v>HOLD DOWN</v>
      </c>
      <c r="N81" s="30" t="str">
        <v>QC-2</v>
      </c>
      <c r="O81" s="227" t="str">
        <v>HOLD DOWN</v>
      </c>
      <c r="P81" s="30" t="str">
        <v>QC-2</v>
      </c>
      <c r="Q81" s="227" t="str">
        <v>HOLD DOWN</v>
      </c>
      <c r="R81" s="30" t="str">
        <v>QC-3</v>
      </c>
      <c r="S81" s="227" t="str">
        <v>HOLD DOWN</v>
      </c>
      <c r="T81" s="30" t="str">
        <v>OFF</v>
      </c>
      <c r="U81" s="227" t="str">
        <v>HOLD DOWN</v>
      </c>
      <c r="V81" s="30" t="str">
        <v>OFF</v>
      </c>
    </row>
    <row r="82" spans="4:22" ht="21" customHeight="1" x14ac:dyDescent="0.45">
      <c r="D82" s="218" t="str">
        <v>THAYER, KELLY</v>
      </c>
      <c r="E82" s="219" t="str">
        <v>1015259</v>
      </c>
      <c r="F82" s="220" t="str">
        <v>GREAT LAKES ATW</v>
      </c>
      <c r="G82" s="221" t="str">
        <v>GL1 ATW</v>
      </c>
      <c r="H82" s="31">
        <v>0</v>
      </c>
      <c r="I82" s="227">
        <v>0</v>
      </c>
      <c r="J82" s="30" t="str">
        <v>OFF</v>
      </c>
      <c r="K82" s="227">
        <v>0</v>
      </c>
      <c r="L82" s="30" t="str">
        <v>OFF</v>
      </c>
      <c r="M82" s="227">
        <v>0</v>
      </c>
      <c r="N82" s="30" t="str">
        <v>CD-3</v>
      </c>
      <c r="O82" s="227">
        <v>0</v>
      </c>
      <c r="P82" s="30" t="str">
        <v>EL-3</v>
      </c>
      <c r="Q82" s="227">
        <v>0</v>
      </c>
      <c r="R82" s="30" t="str">
        <v>TT-3</v>
      </c>
      <c r="S82" s="227">
        <v>0</v>
      </c>
      <c r="T82" s="30" t="str">
        <v>CE-3</v>
      </c>
      <c r="U82" s="227">
        <v>0</v>
      </c>
      <c r="V82" s="30" t="str">
        <v>TT-3</v>
      </c>
    </row>
    <row r="83" spans="4:22" ht="21" customHeight="1" x14ac:dyDescent="0.45">
      <c r="D83" s="218" t="str">
        <v>THOMAS, FRANK</v>
      </c>
      <c r="E83" s="219" t="str">
        <v>0644427</v>
      </c>
      <c r="F83" s="220" t="str">
        <v>KEYSTONE</v>
      </c>
      <c r="G83" s="221" t="str">
        <v>PE-2</v>
      </c>
      <c r="H83" s="31">
        <v>0</v>
      </c>
      <c r="I83" s="227" t="str">
        <v>DIVERTED -OT</v>
      </c>
      <c r="J83" s="30" t="str">
        <v>ACD2-PB</v>
      </c>
      <c r="K83" s="227">
        <v>0</v>
      </c>
      <c r="L83" s="30" t="str">
        <v>OFF</v>
      </c>
      <c r="M83" s="227">
        <v>0</v>
      </c>
      <c r="N83" s="30" t="str">
        <v>OFF</v>
      </c>
      <c r="O83" s="227" t="str">
        <v>DIVERTED -OT</v>
      </c>
      <c r="P83" s="30" t="str">
        <v>AL-1</v>
      </c>
      <c r="Q83" s="227">
        <v>0</v>
      </c>
      <c r="R83" s="30" t="str">
        <v>PE-2</v>
      </c>
      <c r="S83" s="227">
        <v>0</v>
      </c>
      <c r="T83" s="30" t="str">
        <v>PE-2</v>
      </c>
      <c r="U83" s="227">
        <v>0</v>
      </c>
      <c r="V83" s="30" t="str">
        <v>PE-2</v>
      </c>
    </row>
    <row r="84" spans="4:22" ht="21" customHeight="1" x14ac:dyDescent="0.45">
      <c r="D84" s="218" t="str">
        <v>THOMAS, RONNIE</v>
      </c>
      <c r="E84" s="219" t="str">
        <v>1019207</v>
      </c>
      <c r="F84" s="220" t="str">
        <v>MIDWEST</v>
      </c>
      <c r="G84" s="221" t="str">
        <v>KY-2</v>
      </c>
      <c r="H84" s="31">
        <v>0</v>
      </c>
      <c r="I84" s="227">
        <v>0</v>
      </c>
      <c r="J84" s="30" t="str">
        <v>KY-2</v>
      </c>
      <c r="K84" s="227">
        <v>0</v>
      </c>
      <c r="L84" s="30" t="str">
        <v>KY-2</v>
      </c>
      <c r="M84" s="227">
        <v>0</v>
      </c>
      <c r="N84" s="30" t="str">
        <v>KY-2</v>
      </c>
      <c r="O84" s="227" t="str">
        <v>DIVERTED -ST</v>
      </c>
      <c r="P84" s="30" t="str">
        <v>HT-2</v>
      </c>
      <c r="Q84" s="227">
        <v>0</v>
      </c>
      <c r="R84" s="30" t="str">
        <v>KY-2</v>
      </c>
      <c r="S84" s="227" t="str">
        <v>OVERTIME</v>
      </c>
      <c r="T84" s="30" t="str">
        <v>KY-2</v>
      </c>
      <c r="U84" s="227">
        <v>0</v>
      </c>
      <c r="V84" s="30" t="str">
        <v>OFF</v>
      </c>
    </row>
    <row r="85" spans="4:22" ht="21" customHeight="1" x14ac:dyDescent="0.45">
      <c r="D85" s="218" t="str">
        <v>THOMPSON, JIM</v>
      </c>
      <c r="E85" s="219" t="str">
        <v>1023670</v>
      </c>
      <c r="F85" s="220" t="str">
        <v>GREATLAKES</v>
      </c>
      <c r="G85" s="221" t="str">
        <v>SA-R</v>
      </c>
      <c r="H85" s="31">
        <v>0</v>
      </c>
      <c r="I85" s="227" t="str">
        <v>FMLA</v>
      </c>
      <c r="J85" s="30" t="str">
        <v>FMLA</v>
      </c>
      <c r="K85" s="227" t="str">
        <v>FMLA</v>
      </c>
      <c r="L85" s="30" t="str">
        <v>FMLA</v>
      </c>
      <c r="M85" s="227" t="str">
        <v>FMLA</v>
      </c>
      <c r="N85" s="30" t="str">
        <v>FMLA</v>
      </c>
      <c r="O85" s="227" t="str">
        <v>FMLA</v>
      </c>
      <c r="P85" s="30" t="str">
        <v>FMLA</v>
      </c>
      <c r="Q85" s="227">
        <v>0</v>
      </c>
      <c r="R85" s="30" t="str">
        <v>OFF</v>
      </c>
      <c r="S85" s="227">
        <v>0</v>
      </c>
      <c r="T85" s="30" t="str">
        <v>OFF</v>
      </c>
      <c r="U85" s="227" t="str">
        <v>FMLA</v>
      </c>
      <c r="V85" s="30" t="str">
        <v>FMLA</v>
      </c>
    </row>
    <row r="86" spans="4:22" ht="21" customHeight="1" x14ac:dyDescent="0.45">
      <c r="D86" s="218" t="str">
        <v>TRACY, LUCAS</v>
      </c>
      <c r="E86" s="219" t="str">
        <v>1007815</v>
      </c>
      <c r="F86" s="220" t="str">
        <v>GREATLAKES</v>
      </c>
      <c r="G86" s="221" t="str">
        <v>EL-3</v>
      </c>
      <c r="H86" s="31">
        <v>0</v>
      </c>
      <c r="I86" s="227">
        <v>0</v>
      </c>
      <c r="J86" s="30" t="str">
        <v>EL-3</v>
      </c>
      <c r="K86" s="227">
        <v>0</v>
      </c>
      <c r="L86" s="30" t="str">
        <v>EL-3</v>
      </c>
      <c r="M86" s="227">
        <v>0</v>
      </c>
      <c r="N86" s="30" t="str">
        <v>EL-3</v>
      </c>
      <c r="O86" s="227">
        <v>0</v>
      </c>
      <c r="P86" s="30" t="str">
        <v>OFF</v>
      </c>
      <c r="Q86" s="227">
        <v>0</v>
      </c>
      <c r="R86" s="30" t="str">
        <v>OFF</v>
      </c>
      <c r="S86" s="227">
        <v>0</v>
      </c>
      <c r="T86" s="30" t="str">
        <v>OFF</v>
      </c>
      <c r="U86" s="227" t="str">
        <v>CT</v>
      </c>
      <c r="V86" s="30" t="str">
        <v>CT</v>
      </c>
    </row>
    <row r="87" spans="4:22" ht="21" customHeight="1" x14ac:dyDescent="0.45">
      <c r="D87" s="218" t="str">
        <v>TURNER, CHERTARVEYA</v>
      </c>
      <c r="E87" s="219" t="str">
        <v>1019602</v>
      </c>
      <c r="F87" s="220" t="str">
        <v>GREATLAKES</v>
      </c>
      <c r="G87" s="221" t="str">
        <v>TT-R</v>
      </c>
      <c r="H87" s="31">
        <v>0</v>
      </c>
      <c r="I87" s="227">
        <v>0</v>
      </c>
      <c r="J87" s="30" t="str">
        <v>OFF</v>
      </c>
      <c r="K87" s="227">
        <v>0</v>
      </c>
      <c r="L87" s="30" t="str">
        <v>TT-1</v>
      </c>
      <c r="M87" s="227">
        <v>0</v>
      </c>
      <c r="N87" s="30" t="str">
        <v>TT-1</v>
      </c>
      <c r="O87" s="227">
        <v>0</v>
      </c>
      <c r="P87" s="30" t="str">
        <v>TT-2</v>
      </c>
      <c r="Q87" s="227">
        <v>0</v>
      </c>
      <c r="R87" s="30" t="str">
        <v>TT-2</v>
      </c>
      <c r="S87" s="227">
        <v>0</v>
      </c>
      <c r="T87" s="30" t="str">
        <v>TT-3</v>
      </c>
      <c r="U87" s="227">
        <v>0</v>
      </c>
      <c r="V87" s="30" t="str">
        <v>OFF</v>
      </c>
    </row>
    <row r="88" spans="4:22" ht="21" customHeight="1" x14ac:dyDescent="0.45">
      <c r="D88" s="218" t="str">
        <v>VANNIER, RYAN</v>
      </c>
      <c r="E88" s="219" t="str">
        <v>0395164</v>
      </c>
      <c r="F88" s="220" t="str">
        <v>GREATLAKES</v>
      </c>
      <c r="G88" s="221" t="str">
        <v>TT-1</v>
      </c>
      <c r="H88" s="31">
        <v>0</v>
      </c>
      <c r="I88" s="227">
        <v>0</v>
      </c>
      <c r="J88" s="30" t="str">
        <v>TT-1</v>
      </c>
      <c r="K88" s="227">
        <v>0</v>
      </c>
      <c r="L88" s="30" t="str">
        <v>OFF</v>
      </c>
      <c r="M88" s="227">
        <v>0</v>
      </c>
      <c r="N88" s="30" t="str">
        <v>OFF</v>
      </c>
      <c r="O88" s="227">
        <v>0</v>
      </c>
      <c r="P88" s="30" t="str">
        <v>TT-1</v>
      </c>
      <c r="Q88" s="227">
        <v>0</v>
      </c>
      <c r="R88" s="30" t="str">
        <v>TT-1</v>
      </c>
      <c r="S88" s="227">
        <v>0</v>
      </c>
      <c r="T88" s="30" t="str">
        <v>TT-1</v>
      </c>
      <c r="U88" s="227">
        <v>0</v>
      </c>
      <c r="V88" s="30" t="str">
        <v>TT-1</v>
      </c>
    </row>
    <row r="89" spans="4:22" ht="21" customHeight="1" x14ac:dyDescent="0.45">
      <c r="D89" s="218" t="str">
        <v>VAZQUEZ, ERIC</v>
      </c>
      <c r="E89" s="219" t="str">
        <v>1015925</v>
      </c>
      <c r="F89" s="220" t="str">
        <v>GREATLAKES</v>
      </c>
      <c r="G89" s="221" t="str">
        <v>CG-2</v>
      </c>
      <c r="H89" s="31">
        <v>0</v>
      </c>
      <c r="I89" s="227">
        <v>0</v>
      </c>
      <c r="J89" s="30" t="str">
        <v>CG-2</v>
      </c>
      <c r="K89" s="227">
        <v>0</v>
      </c>
      <c r="L89" s="30" t="str">
        <v>OFF</v>
      </c>
      <c r="M89" s="227">
        <v>0</v>
      </c>
      <c r="N89" s="30" t="str">
        <v>OFF</v>
      </c>
      <c r="O89" s="227">
        <v>0</v>
      </c>
      <c r="P89" s="30" t="str">
        <v>CG-2</v>
      </c>
      <c r="Q89" s="227">
        <v>0</v>
      </c>
      <c r="R89" s="30" t="str">
        <v>CG-2</v>
      </c>
      <c r="S89" s="227" t="str">
        <v>S-SD</v>
      </c>
      <c r="T89" s="30" t="str">
        <v>S-SD</v>
      </c>
      <c r="U89" s="227">
        <v>0</v>
      </c>
      <c r="V89" s="30" t="str">
        <v>CG-2</v>
      </c>
    </row>
    <row r="90" spans="4:22" ht="21" customHeight="1" x14ac:dyDescent="0.45">
      <c r="D90" s="218" t="str">
        <v>WALKER, JERI</v>
      </c>
      <c r="E90" s="219" t="str">
        <v>1028343</v>
      </c>
      <c r="F90" s="220" t="str">
        <v>GREATLAKES</v>
      </c>
      <c r="G90" s="221" t="str">
        <v>CG-R</v>
      </c>
      <c r="H90" s="31">
        <v>0</v>
      </c>
      <c r="I90" s="227" t="str">
        <v/>
      </c>
      <c r="J90" s="30" t="str">
        <v>CG-2-POST</v>
      </c>
      <c r="K90" s="227" t="str">
        <v/>
      </c>
      <c r="L90" s="30" t="str">
        <v>CG-2-POST</v>
      </c>
      <c r="M90" s="227" t="str">
        <v/>
      </c>
      <c r="N90" s="30" t="str">
        <v>CG-2-POST</v>
      </c>
      <c r="O90" s="227" t="str">
        <v>V-SD</v>
      </c>
      <c r="P90" s="30" t="str">
        <v>V-SD</v>
      </c>
      <c r="Q90" s="227" t="str">
        <v/>
      </c>
      <c r="R90" s="30" t="str">
        <v>OFF</v>
      </c>
      <c r="S90" s="227" t="str">
        <v/>
      </c>
      <c r="T90" s="30" t="str">
        <v>OFF</v>
      </c>
      <c r="U90" s="227" t="str">
        <v>V-SD</v>
      </c>
      <c r="V90" s="30" t="str">
        <v>V-SD</v>
      </c>
    </row>
    <row r="91" spans="4:22" ht="21" customHeight="1" x14ac:dyDescent="0.45">
      <c r="D91" s="218" t="str">
        <v>WEIL, BILL</v>
      </c>
      <c r="E91" s="219" t="str">
        <v>0107038</v>
      </c>
      <c r="F91" s="220" t="str">
        <v>KEYSTONE</v>
      </c>
      <c r="G91" s="221" t="str">
        <v>CT-3</v>
      </c>
      <c r="H91" s="31">
        <v>0</v>
      </c>
      <c r="I91" s="227">
        <v>0</v>
      </c>
      <c r="J91" s="30" t="str">
        <v>CT-3</v>
      </c>
      <c r="K91" s="227">
        <v>0</v>
      </c>
      <c r="L91" s="30" t="str">
        <v>CT-3</v>
      </c>
      <c r="M91" s="227">
        <v>0</v>
      </c>
      <c r="N91" s="30" t="str">
        <v>CT-3</v>
      </c>
      <c r="O91" s="227">
        <v>0</v>
      </c>
      <c r="P91" s="30" t="str">
        <v>OFF</v>
      </c>
      <c r="Q91" s="227">
        <v>0</v>
      </c>
      <c r="R91" s="30" t="str">
        <v>OFF</v>
      </c>
      <c r="S91" s="227">
        <v>0</v>
      </c>
      <c r="T91" s="30" t="str">
        <v>CT-3</v>
      </c>
      <c r="U91" s="227">
        <v>0</v>
      </c>
      <c r="V91" s="30" t="str">
        <v>CT-3</v>
      </c>
    </row>
    <row r="92" spans="4:22" ht="21" customHeight="1" x14ac:dyDescent="0.45">
      <c r="D92" s="218" t="str">
        <v>WENGER, JOSH</v>
      </c>
      <c r="E92" s="219" t="str">
        <v>1000816</v>
      </c>
      <c r="F92" s="220" t="str">
        <v>GREATLAKES</v>
      </c>
      <c r="G92" s="221" t="str">
        <v>CG-3</v>
      </c>
      <c r="H92" s="31">
        <v>0</v>
      </c>
      <c r="I92" s="227">
        <v>0</v>
      </c>
      <c r="J92" s="30" t="str">
        <v>CG-3</v>
      </c>
      <c r="K92" s="227">
        <v>0</v>
      </c>
      <c r="L92" s="30" t="str">
        <v>CG-3</v>
      </c>
      <c r="M92" s="227">
        <v>0</v>
      </c>
      <c r="N92" s="30" t="str">
        <v>OFF</v>
      </c>
      <c r="O92" s="227">
        <v>0</v>
      </c>
      <c r="P92" s="30" t="str">
        <v>OFF</v>
      </c>
      <c r="Q92" s="227" t="str">
        <v>NCL</v>
      </c>
      <c r="R92" s="30" t="str">
        <v>NCL</v>
      </c>
      <c r="S92" s="227">
        <v>0</v>
      </c>
      <c r="T92" s="30" t="str">
        <v>CG-3</v>
      </c>
      <c r="U92" s="227">
        <v>0</v>
      </c>
      <c r="V92" s="30" t="str">
        <v>CG-3</v>
      </c>
    </row>
    <row r="93" spans="4:22" ht="21" customHeight="1" x14ac:dyDescent="0.45">
      <c r="D93" s="218" t="str">
        <v>WENNEMAN, BRYAN</v>
      </c>
      <c r="E93" s="219" t="str">
        <v>0317989</v>
      </c>
      <c r="F93" s="220" t="str">
        <v>MIDWEST</v>
      </c>
      <c r="G93" s="221" t="str">
        <v>SP-1</v>
      </c>
      <c r="H93" s="31">
        <v>0</v>
      </c>
      <c r="I93" s="227">
        <v>0</v>
      </c>
      <c r="J93" s="30" t="str">
        <v>OFF</v>
      </c>
      <c r="K93" s="227">
        <v>0</v>
      </c>
      <c r="L93" s="30" t="str">
        <v>SP-1</v>
      </c>
      <c r="M93" s="227">
        <v>0</v>
      </c>
      <c r="N93" s="30" t="str">
        <v>SP-1</v>
      </c>
      <c r="O93" s="227">
        <v>0</v>
      </c>
      <c r="P93" s="30" t="str">
        <v>SP-1</v>
      </c>
      <c r="Q93" s="227">
        <v>0</v>
      </c>
      <c r="R93" s="30" t="str">
        <v>SP-1</v>
      </c>
      <c r="S93" s="227" t="str">
        <v>S-SD</v>
      </c>
      <c r="T93" s="30" t="str">
        <v>S-SD</v>
      </c>
      <c r="U93" s="227">
        <v>0</v>
      </c>
      <c r="V93" s="30" t="str">
        <v>OFF</v>
      </c>
    </row>
    <row r="94" spans="4:22" ht="21" customHeight="1" x14ac:dyDescent="0.45">
      <c r="D94" s="218" t="str">
        <v>WHITE, TOM</v>
      </c>
      <c r="E94" s="219" t="str">
        <v>0769019</v>
      </c>
      <c r="F94" s="220" t="str">
        <v>GREATLAKES</v>
      </c>
      <c r="G94" s="221" t="str">
        <v>TT-3</v>
      </c>
      <c r="H94" s="31">
        <v>0</v>
      </c>
      <c r="I94" s="227" t="str">
        <v>S-SD</v>
      </c>
      <c r="J94" s="30" t="str">
        <v>S-SD</v>
      </c>
      <c r="K94" s="227" t="str">
        <v>S-SD</v>
      </c>
      <c r="L94" s="30" t="str">
        <v>S-SD</v>
      </c>
      <c r="M94" s="227" t="str">
        <v>S-SD</v>
      </c>
      <c r="N94" s="30" t="str">
        <v>S-SD</v>
      </c>
      <c r="O94" s="227" t="str">
        <v>S-SD</v>
      </c>
      <c r="P94" s="30" t="str">
        <v>S-SD</v>
      </c>
      <c r="Q94" s="227" t="str">
        <v>S-SD</v>
      </c>
      <c r="R94" s="30" t="str">
        <v>S-SD</v>
      </c>
      <c r="S94" s="227" t="str">
        <v>S-SD</v>
      </c>
      <c r="T94" s="30" t="str">
        <v>OFF</v>
      </c>
      <c r="U94" s="227" t="str">
        <v>S-SD</v>
      </c>
      <c r="V94" s="30" t="str">
        <v>OFF</v>
      </c>
    </row>
    <row r="95" spans="4:22" ht="21" customHeight="1" x14ac:dyDescent="0.45">
      <c r="D95" s="218" t="str">
        <v>WILLIAMS, LEISA</v>
      </c>
      <c r="E95" s="219" t="str">
        <v>0853419</v>
      </c>
      <c r="F95" s="220" t="str">
        <v>MIDWEST</v>
      </c>
      <c r="G95" s="221" t="str">
        <v>QC-R</v>
      </c>
      <c r="H95" s="31">
        <v>0</v>
      </c>
      <c r="I95" s="227" t="str">
        <v>S-SD</v>
      </c>
      <c r="J95" s="30" t="str">
        <v>S-SD</v>
      </c>
      <c r="K95" s="227" t="str">
        <v>S-SD</v>
      </c>
      <c r="L95" s="30" t="str">
        <v>S-SD</v>
      </c>
      <c r="M95" s="227" t="str">
        <v>S-SD</v>
      </c>
      <c r="N95" s="30" t="str">
        <v>S-SD</v>
      </c>
      <c r="O95" s="227" t="str">
        <v>S-SD</v>
      </c>
      <c r="P95" s="30" t="str">
        <v>S-SD</v>
      </c>
      <c r="Q95" s="227" t="str">
        <v>S-SD</v>
      </c>
      <c r="R95" s="30" t="str">
        <v>S-SD</v>
      </c>
      <c r="S95" s="227" t="str">
        <v>S-SD</v>
      </c>
      <c r="T95" s="30" t="str">
        <v>OFF</v>
      </c>
      <c r="U95" s="227" t="str">
        <v>S-SD</v>
      </c>
      <c r="V95" s="30" t="str">
        <v>OFF</v>
      </c>
    </row>
    <row r="96" spans="4:22" ht="21" customHeight="1" x14ac:dyDescent="0.45">
      <c r="D96" s="218" t="str">
        <v>WILLIAMS, NARADA</v>
      </c>
      <c r="E96" s="219" t="str">
        <v>1025089</v>
      </c>
      <c r="F96" s="220" t="str">
        <v>GREATLAKES</v>
      </c>
      <c r="G96" s="221" t="str">
        <v>CD-R</v>
      </c>
      <c r="H96" s="31">
        <v>0</v>
      </c>
      <c r="I96" s="227" t="str">
        <v>V-WK</v>
      </c>
      <c r="J96" s="30" t="str">
        <v>V-WK</v>
      </c>
      <c r="K96" s="227" t="str">
        <v>V-WK</v>
      </c>
      <c r="L96" s="30" t="str">
        <v>V-WK</v>
      </c>
      <c r="M96" s="227" t="str">
        <v>V-WK</v>
      </c>
      <c r="N96" s="30" t="str">
        <v>V-WK</v>
      </c>
      <c r="O96" s="227" t="str">
        <v>V-WK</v>
      </c>
      <c r="P96" s="30" t="str">
        <v>V-WK</v>
      </c>
      <c r="Q96" s="227" t="str">
        <v/>
      </c>
      <c r="R96" s="30" t="str">
        <v>OFF</v>
      </c>
      <c r="S96" s="227" t="str">
        <v/>
      </c>
      <c r="T96" s="30" t="str">
        <v>OFF</v>
      </c>
      <c r="U96" s="227" t="str">
        <v/>
      </c>
      <c r="V96" s="30" t="str">
        <v>CD-2-POST</v>
      </c>
    </row>
    <row r="97" spans="4:22" ht="21" customHeight="1" x14ac:dyDescent="0.45">
      <c r="D97" s="218" t="str">
        <v>WILLIAMS, SCOTT</v>
      </c>
      <c r="E97" s="219" t="str">
        <v>1015463</v>
      </c>
      <c r="F97" s="220" t="str">
        <v>KEYSTONE</v>
      </c>
      <c r="G97" s="221" t="str">
        <v>CE-3</v>
      </c>
      <c r="H97" s="31">
        <v>0</v>
      </c>
      <c r="I97" s="227">
        <v>0</v>
      </c>
      <c r="J97" s="30" t="str">
        <v>CE-3</v>
      </c>
      <c r="K97" s="227">
        <v>0</v>
      </c>
      <c r="L97" s="30" t="str">
        <v>CE-3</v>
      </c>
      <c r="M97" s="227">
        <v>0</v>
      </c>
      <c r="N97" s="30" t="str">
        <v>CE-3</v>
      </c>
      <c r="O97" s="227">
        <v>0</v>
      </c>
      <c r="P97" s="30" t="str">
        <v>CE-3</v>
      </c>
      <c r="Q97" s="227">
        <v>0</v>
      </c>
      <c r="R97" s="30" t="str">
        <v>OFF</v>
      </c>
      <c r="S97" s="227" t="str">
        <v>CB</v>
      </c>
      <c r="T97" s="30" t="str">
        <v>OFF</v>
      </c>
      <c r="U97" s="227" t="str">
        <v>CB</v>
      </c>
      <c r="V97" s="30" t="str">
        <v>CB</v>
      </c>
    </row>
    <row r="98" spans="4:22" ht="21" customHeight="1" x14ac:dyDescent="0.45">
      <c r="D98" s="218" t="str">
        <v>WILLIAMS, SHANAN</v>
      </c>
      <c r="E98" s="219" t="str">
        <v>1015876</v>
      </c>
      <c r="F98" s="220" t="str">
        <v>MIDWEST</v>
      </c>
      <c r="G98" s="221" t="str">
        <v>SO-2</v>
      </c>
      <c r="H98" s="31">
        <v>0</v>
      </c>
      <c r="I98" s="227">
        <v>0</v>
      </c>
      <c r="J98" s="30" t="str">
        <v>SO-2</v>
      </c>
      <c r="K98" s="227" t="str">
        <v>UB</v>
      </c>
      <c r="L98" s="30" t="str">
        <v>UB</v>
      </c>
      <c r="M98" s="227">
        <v>0</v>
      </c>
      <c r="N98" s="30" t="str">
        <v>OFF</v>
      </c>
      <c r="O98" s="227">
        <v>0</v>
      </c>
      <c r="P98" s="30" t="str">
        <v>OFF</v>
      </c>
      <c r="Q98" s="227" t="str">
        <v>V-WK</v>
      </c>
      <c r="R98" s="30" t="str">
        <v>V-WK</v>
      </c>
      <c r="S98" s="227" t="str">
        <v>V-WK</v>
      </c>
      <c r="T98" s="30" t="str">
        <v>V-WK</v>
      </c>
      <c r="U98" s="227" t="str">
        <v>V-WK</v>
      </c>
      <c r="V98" s="30" t="str">
        <v>V-WK</v>
      </c>
    </row>
    <row r="99" spans="4:22" ht="21" customHeight="1" x14ac:dyDescent="0.45">
      <c r="D99" s="218" t="str">
        <v>WIMMER, CHRISTOPHER</v>
      </c>
      <c r="E99" s="219" t="str">
        <v>0655039</v>
      </c>
      <c r="F99" s="220" t="str">
        <v>KEYSTONE</v>
      </c>
      <c r="G99" s="221" t="str">
        <v>DH-1</v>
      </c>
      <c r="H99" s="31">
        <v>0</v>
      </c>
      <c r="I99" s="227">
        <v>0</v>
      </c>
      <c r="J99" s="30" t="str">
        <v>OFF</v>
      </c>
      <c r="K99" s="227">
        <v>0</v>
      </c>
      <c r="L99" s="30" t="str">
        <v>OFF</v>
      </c>
      <c r="M99" s="227">
        <v>0</v>
      </c>
      <c r="N99" s="30" t="str">
        <v>DH-1</v>
      </c>
      <c r="O99" s="227">
        <v>0</v>
      </c>
      <c r="P99" s="30" t="str">
        <v>DH-1</v>
      </c>
      <c r="Q99" s="227">
        <v>0</v>
      </c>
      <c r="R99" s="30" t="str">
        <v>DH-1</v>
      </c>
      <c r="S99" s="227">
        <v>0</v>
      </c>
      <c r="T99" s="30" t="str">
        <v>DH-1</v>
      </c>
      <c r="U99" s="227">
        <v>0</v>
      </c>
      <c r="V99" s="30" t="str">
        <v>DH-1</v>
      </c>
    </row>
    <row r="100" spans="4:22" ht="21" customHeight="1" x14ac:dyDescent="0.45">
      <c r="D100" s="218" t="str">
        <v>YEAGER, DOROTHY</v>
      </c>
      <c r="E100" s="219" t="str">
        <v>0891737</v>
      </c>
      <c r="F100" s="220" t="str">
        <v>GREATLAKES</v>
      </c>
      <c r="G100" s="221" t="str">
        <v>MT-1</v>
      </c>
      <c r="H100" s="31">
        <v>0</v>
      </c>
      <c r="I100" s="227" t="str">
        <v>CHECK NOTE</v>
      </c>
      <c r="J100" s="30" t="str">
        <v>CHECK NOTE</v>
      </c>
      <c r="K100" s="227">
        <v>0</v>
      </c>
      <c r="L100" s="30" t="str">
        <v>OFF</v>
      </c>
      <c r="M100" s="227">
        <v>0</v>
      </c>
      <c r="N100" s="30" t="str">
        <v>OFF</v>
      </c>
      <c r="O100" s="227" t="str">
        <v>FMLA</v>
      </c>
      <c r="P100" s="30" t="str">
        <v>FMLA</v>
      </c>
      <c r="Q100" s="227" t="str">
        <v>FMLA</v>
      </c>
      <c r="R100" s="30" t="str">
        <v>FMLA</v>
      </c>
      <c r="S100" s="227" t="str">
        <v>FMLA</v>
      </c>
      <c r="T100" s="30" t="str">
        <v>FMLA</v>
      </c>
      <c r="U100" s="227">
        <v>0</v>
      </c>
      <c r="V100" s="30" t="str">
        <v>MT-1</v>
      </c>
    </row>
    <row r="101" spans="4:22" ht="21" customHeight="1" x14ac:dyDescent="0.45">
      <c r="D101" s="218" t="str">
        <v>ZEIGLER, KIMBERLY</v>
      </c>
      <c r="E101" s="219" t="str">
        <v>1019210</v>
      </c>
      <c r="F101" s="220" t="str">
        <v>KEYSTONE</v>
      </c>
      <c r="G101" s="221" t="str">
        <v>DH-R</v>
      </c>
      <c r="H101" s="31">
        <v>0</v>
      </c>
      <c r="I101" s="227">
        <v>0</v>
      </c>
      <c r="J101" s="30" t="str">
        <v>DH-1</v>
      </c>
      <c r="K101" s="227">
        <v>0</v>
      </c>
      <c r="L101" s="30" t="str">
        <v>DH-1</v>
      </c>
      <c r="M101" s="227">
        <v>0</v>
      </c>
      <c r="N101" s="30" t="str">
        <v>DH-2</v>
      </c>
      <c r="O101" s="227">
        <v>0</v>
      </c>
      <c r="P101" s="30" t="str">
        <v>DH-2</v>
      </c>
      <c r="Q101" s="227">
        <v>0</v>
      </c>
      <c r="R101" s="30" t="str">
        <v>DH-3</v>
      </c>
      <c r="S101" s="227">
        <v>0</v>
      </c>
      <c r="T101" s="30" t="str">
        <v>OFF</v>
      </c>
      <c r="U101" s="227">
        <v>0</v>
      </c>
      <c r="V101" s="30" t="str">
        <v>OFF</v>
      </c>
    </row>
    <row r="102" spans="4:22" ht="21" customHeight="1" x14ac:dyDescent="0.45">
      <c r="D102" s="218" t="str">
        <v>ZIEGERT, ABIGAIL</v>
      </c>
      <c r="E102" s="219" t="str">
        <v>1000372</v>
      </c>
      <c r="F102" s="220" t="str">
        <v>KEYSTONE</v>
      </c>
      <c r="G102" s="221" t="str">
        <v>HE-3</v>
      </c>
      <c r="H102" s="31">
        <v>0</v>
      </c>
      <c r="I102" s="227" t="str">
        <v>V-WK</v>
      </c>
      <c r="J102" s="30" t="str">
        <v>V-WK</v>
      </c>
      <c r="K102" s="227" t="str">
        <v>V-WK</v>
      </c>
      <c r="L102" s="30" t="str">
        <v>V-WK</v>
      </c>
      <c r="M102" s="227" t="str">
        <v>V-WK</v>
      </c>
      <c r="N102" s="30" t="str">
        <v>V-WK</v>
      </c>
      <c r="O102" s="227">
        <v>0</v>
      </c>
      <c r="P102" s="30" t="str">
        <v>OFF</v>
      </c>
      <c r="Q102" s="227">
        <v>0</v>
      </c>
      <c r="R102" s="30" t="str">
        <v>OFF</v>
      </c>
      <c r="S102" s="227">
        <v>0</v>
      </c>
      <c r="T102" s="30" t="str">
        <v>HE-3</v>
      </c>
      <c r="U102" s="227">
        <v>0</v>
      </c>
      <c r="V102" s="30" t="str">
        <v>HE-3</v>
      </c>
    </row>
    <row r="103" spans="4:22" ht="21" customHeight="1" x14ac:dyDescent="0.45">
      <c r="D103" s="218" t="str">
        <v>ZIMA, ART</v>
      </c>
      <c r="E103" s="219" t="str">
        <v>1017595</v>
      </c>
      <c r="F103" s="220" t="str">
        <v>GREAT LAKES ATW</v>
      </c>
      <c r="G103" s="221" t="str">
        <v>GL2 ATW</v>
      </c>
      <c r="H103" s="31" t="str">
        <v>MT-1</v>
      </c>
      <c r="I103" s="227" t="str">
        <v>HOLD DOWN</v>
      </c>
      <c r="J103" s="30" t="str">
        <v>MT-1</v>
      </c>
      <c r="K103" s="227" t="str">
        <v>OVERTIME</v>
      </c>
      <c r="L103" s="30" t="str">
        <v>CD-2</v>
      </c>
      <c r="M103" s="227" t="str">
        <v>HOLD DOWN</v>
      </c>
      <c r="N103" s="30" t="str">
        <v>OFF</v>
      </c>
      <c r="O103" s="227" t="str">
        <v>CHECK NOTE</v>
      </c>
      <c r="P103" s="30" t="str">
        <v>MT-1</v>
      </c>
      <c r="Q103" s="227" t="str">
        <v>HOLD DOWN</v>
      </c>
      <c r="R103" s="30" t="str">
        <v>MT-1</v>
      </c>
      <c r="S103" s="227" t="str">
        <v>HOLD DOWN</v>
      </c>
      <c r="T103" s="30" t="str">
        <v>MT-1</v>
      </c>
      <c r="U103" s="227" t="str">
        <v>HOLD DOWN</v>
      </c>
      <c r="V103" s="30" t="str">
        <v>MT-1</v>
      </c>
    </row>
    <row r="104" spans="4:22" ht="21" customHeight="1" x14ac:dyDescent="0.45">
      <c r="D104" s="218"/>
      <c r="E104" s="219"/>
      <c r="F104" s="220"/>
      <c r="G104" s="221"/>
      <c r="H104" s="31"/>
      <c r="I104" s="227"/>
      <c r="J104" s="30"/>
      <c r="K104" s="227"/>
      <c r="L104" s="30"/>
      <c r="M104" s="227"/>
      <c r="N104" s="30"/>
      <c r="O104" s="227"/>
      <c r="P104" s="30"/>
      <c r="Q104" s="227"/>
      <c r="R104" s="30"/>
      <c r="S104" s="227"/>
      <c r="T104" s="30"/>
      <c r="U104" s="227"/>
      <c r="V104" s="30"/>
    </row>
    <row r="105" spans="4:22" ht="21" customHeight="1" x14ac:dyDescent="0.45">
      <c r="D105" s="218"/>
      <c r="E105" s="219"/>
      <c r="F105" s="220"/>
      <c r="G105" s="221"/>
      <c r="H105" s="31"/>
      <c r="I105" s="227"/>
      <c r="J105" s="30"/>
      <c r="K105" s="227"/>
      <c r="L105" s="30"/>
      <c r="M105" s="227"/>
      <c r="N105" s="30"/>
      <c r="O105" s="227"/>
      <c r="P105" s="30"/>
      <c r="Q105" s="227"/>
      <c r="R105" s="30"/>
      <c r="S105" s="227"/>
      <c r="T105" s="30"/>
      <c r="U105" s="227"/>
      <c r="V105" s="30"/>
    </row>
    <row r="106" spans="4:22" ht="21" customHeight="1" x14ac:dyDescent="0.45">
      <c r="D106" s="218"/>
      <c r="E106" s="219"/>
      <c r="F106" s="220"/>
      <c r="G106" s="221"/>
      <c r="H106" s="31"/>
      <c r="I106" s="227"/>
      <c r="J106" s="30"/>
      <c r="K106" s="227"/>
      <c r="L106" s="30"/>
      <c r="M106" s="227"/>
      <c r="N106" s="30"/>
      <c r="O106" s="227"/>
      <c r="P106" s="30"/>
      <c r="Q106" s="227"/>
      <c r="R106" s="30"/>
      <c r="S106" s="227"/>
      <c r="T106" s="30"/>
      <c r="U106" s="227"/>
      <c r="V106" s="30"/>
    </row>
    <row r="107" spans="4:22" ht="21" customHeight="1" thickBot="1" x14ac:dyDescent="0.5">
      <c r="D107" s="218"/>
      <c r="E107" s="219"/>
      <c r="F107" s="220"/>
      <c r="G107" s="221"/>
      <c r="H107" s="31"/>
      <c r="I107" s="227"/>
      <c r="J107" s="30"/>
      <c r="K107" s="227"/>
      <c r="L107" s="30"/>
      <c r="M107" s="227"/>
      <c r="N107" s="30"/>
      <c r="O107" s="227"/>
      <c r="P107" s="30"/>
      <c r="Q107" s="227"/>
      <c r="R107" s="30"/>
      <c r="S107" s="227"/>
      <c r="T107" s="30"/>
      <c r="U107" s="227"/>
      <c r="V107" s="30"/>
    </row>
    <row r="108" spans="4:22" ht="17.25" customHeight="1" x14ac:dyDescent="0.35">
      <c r="D108" s="458" t="s">
        <v>222</v>
      </c>
      <c r="E108" s="459"/>
      <c r="F108" s="459"/>
      <c r="G108" s="459"/>
      <c r="H108" s="459"/>
      <c r="I108" s="459"/>
      <c r="J108" s="459"/>
      <c r="K108" s="459"/>
      <c r="L108" s="459"/>
      <c r="M108" s="459"/>
      <c r="N108" s="459"/>
      <c r="O108" s="459"/>
      <c r="P108" s="459"/>
      <c r="Q108" s="459"/>
      <c r="R108" s="459"/>
      <c r="S108" s="459"/>
      <c r="T108" s="459"/>
      <c r="U108" s="459"/>
      <c r="V108" s="460"/>
    </row>
    <row r="109" spans="4:22" ht="17.25" customHeight="1" thickBot="1" x14ac:dyDescent="0.4">
      <c r="D109" s="461"/>
      <c r="E109" s="462"/>
      <c r="F109" s="462"/>
      <c r="G109" s="462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  <c r="V109" s="463"/>
    </row>
    <row r="110" spans="4:22" ht="21" customHeight="1" x14ac:dyDescent="0.45">
      <c r="D110" s="218" t="str" cm="1">
        <f t="array" ref="D110:V111">_xlfn._xlws.FILTER(Sheet1!A2:S333,Sheet1!T2:T333="OTP","None Found")</f>
        <v>BOUCHARD, SHARLIE</v>
      </c>
      <c r="E110" s="219" t="str">
        <v>1028936</v>
      </c>
      <c r="F110" s="232" t="str">
        <v>OTP</v>
      </c>
      <c r="G110" s="233" t="str">
        <v>OTP</v>
      </c>
      <c r="H110" s="31" t="str">
        <v>CG-R</v>
      </c>
      <c r="I110" s="227" t="str">
        <v>DIVERTED -ST</v>
      </c>
      <c r="J110" s="30" t="str">
        <v>CD-1</v>
      </c>
      <c r="K110" s="227" t="str">
        <v>HOLD DOWN</v>
      </c>
      <c r="L110" s="30" t="str">
        <v>CG-2</v>
      </c>
      <c r="M110" s="227" t="str">
        <v>HOLD DOWN</v>
      </c>
      <c r="N110" s="30" t="str">
        <v>CG-2</v>
      </c>
      <c r="O110" s="227" t="str">
        <v>HOLD DOWN</v>
      </c>
      <c r="P110" s="30" t="str">
        <v>CG-3</v>
      </c>
      <c r="Q110" s="227" t="str">
        <v>HOLD DOWN</v>
      </c>
      <c r="R110" s="30" t="str">
        <v>OFF</v>
      </c>
      <c r="S110" s="227" t="str">
        <v>HOLD DOWN</v>
      </c>
      <c r="T110" s="30" t="str">
        <v>OFF</v>
      </c>
      <c r="U110" s="227" t="str">
        <v>HOLD DOWN</v>
      </c>
      <c r="V110" s="30" t="str">
        <v>CG-1</v>
      </c>
    </row>
    <row r="111" spans="4:22" ht="21" customHeight="1" x14ac:dyDescent="0.45">
      <c r="D111" s="218" t="str">
        <v>JEROME, ELDA</v>
      </c>
      <c r="E111" s="219" t="str">
        <v>1015723</v>
      </c>
      <c r="F111" s="232" t="str">
        <v>OTP</v>
      </c>
      <c r="G111" s="233" t="str">
        <v>OTP</v>
      </c>
      <c r="H111" s="31">
        <v>0</v>
      </c>
      <c r="I111" s="227" t="str">
        <v>ML</v>
      </c>
      <c r="J111" s="30" t="str">
        <v>ML</v>
      </c>
      <c r="K111" s="227" t="str">
        <v>ML</v>
      </c>
      <c r="L111" s="30" t="str">
        <v>ML</v>
      </c>
      <c r="M111" s="227" t="str">
        <v>ML</v>
      </c>
      <c r="N111" s="30" t="str">
        <v>ML</v>
      </c>
      <c r="O111" s="227" t="str">
        <v>ML</v>
      </c>
      <c r="P111" s="30" t="str">
        <v>ML</v>
      </c>
      <c r="Q111" s="227" t="str">
        <v>ML</v>
      </c>
      <c r="R111" s="30" t="str">
        <v>ML</v>
      </c>
      <c r="S111" s="227" t="str">
        <v>ML</v>
      </c>
      <c r="T111" s="30" t="str">
        <v>ML</v>
      </c>
      <c r="U111" s="227" t="str">
        <v>ML</v>
      </c>
      <c r="V111" s="30" t="str">
        <v>ML</v>
      </c>
    </row>
    <row r="112" spans="4:22" ht="21" customHeight="1" x14ac:dyDescent="0.45">
      <c r="D112" s="218"/>
      <c r="E112" s="219"/>
      <c r="F112" s="232"/>
      <c r="G112" s="233"/>
      <c r="H112" s="31"/>
      <c r="I112" s="227"/>
      <c r="J112" s="30"/>
      <c r="K112" s="227"/>
      <c r="L112" s="30"/>
      <c r="M112" s="227"/>
      <c r="N112" s="30"/>
      <c r="O112" s="227"/>
      <c r="P112" s="30"/>
      <c r="Q112" s="227"/>
      <c r="R112" s="30"/>
      <c r="S112" s="227"/>
      <c r="T112" s="30"/>
      <c r="U112" s="227"/>
      <c r="V112" s="30"/>
    </row>
    <row r="113" spans="4:22" ht="21" customHeight="1" x14ac:dyDescent="0.45">
      <c r="D113" s="218"/>
      <c r="E113" s="219"/>
      <c r="F113" s="232"/>
      <c r="G113" s="233"/>
      <c r="H113" s="31"/>
      <c r="I113" s="227"/>
      <c r="J113" s="30"/>
      <c r="K113" s="227"/>
      <c r="L113" s="30"/>
      <c r="M113" s="227"/>
      <c r="N113" s="30"/>
      <c r="O113" s="227"/>
      <c r="P113" s="30"/>
      <c r="Q113" s="227"/>
      <c r="R113" s="30"/>
      <c r="S113" s="227"/>
      <c r="T113" s="30"/>
      <c r="U113" s="227"/>
      <c r="V113" s="30"/>
    </row>
    <row r="114" spans="4:22" ht="21" customHeight="1" x14ac:dyDescent="0.45">
      <c r="D114" s="218"/>
      <c r="E114" s="219"/>
      <c r="F114" s="232"/>
      <c r="G114" s="233"/>
      <c r="H114" s="31"/>
      <c r="I114" s="227"/>
      <c r="J114" s="30"/>
      <c r="K114" s="227"/>
      <c r="L114" s="30"/>
      <c r="M114" s="227"/>
      <c r="N114" s="30"/>
      <c r="O114" s="227"/>
      <c r="P114" s="30"/>
      <c r="Q114" s="227"/>
      <c r="R114" s="30"/>
      <c r="S114" s="227"/>
      <c r="T114" s="30"/>
      <c r="U114" s="227"/>
      <c r="V114" s="30"/>
    </row>
    <row r="115" spans="4:22" ht="21" customHeight="1" x14ac:dyDescent="0.45">
      <c r="D115" s="218"/>
      <c r="E115" s="219"/>
      <c r="F115" s="232"/>
      <c r="G115" s="233"/>
      <c r="H115" s="31"/>
      <c r="I115" s="227"/>
      <c r="J115" s="30"/>
      <c r="K115" s="227"/>
      <c r="L115" s="30"/>
      <c r="M115" s="227"/>
      <c r="N115" s="30"/>
      <c r="O115" s="227"/>
      <c r="P115" s="30"/>
      <c r="Q115" s="227"/>
      <c r="R115" s="30"/>
      <c r="S115" s="227"/>
      <c r="T115" s="30"/>
      <c r="U115" s="227"/>
      <c r="V115" s="30"/>
    </row>
    <row r="116" spans="4:22" ht="21" customHeight="1" x14ac:dyDescent="0.45">
      <c r="D116" s="218"/>
      <c r="E116" s="219"/>
      <c r="F116" s="232"/>
      <c r="G116" s="233"/>
      <c r="H116" s="31"/>
      <c r="I116" s="227"/>
      <c r="J116" s="30"/>
      <c r="K116" s="227"/>
      <c r="L116" s="30"/>
      <c r="M116" s="227"/>
      <c r="N116" s="30"/>
      <c r="O116" s="227"/>
      <c r="P116" s="30"/>
      <c r="Q116" s="227"/>
      <c r="R116" s="30"/>
      <c r="S116" s="227"/>
      <c r="T116" s="30"/>
      <c r="U116" s="227"/>
      <c r="V116" s="30"/>
    </row>
    <row r="117" spans="4:22" ht="21" customHeight="1" x14ac:dyDescent="0.45">
      <c r="D117" s="218"/>
      <c r="E117" s="219"/>
      <c r="F117" s="232"/>
      <c r="G117" s="233"/>
      <c r="H117" s="31"/>
      <c r="I117" s="227"/>
      <c r="J117" s="30"/>
      <c r="K117" s="227"/>
      <c r="L117" s="30"/>
      <c r="M117" s="227"/>
      <c r="N117" s="30"/>
      <c r="O117" s="227"/>
      <c r="P117" s="30"/>
      <c r="Q117" s="227"/>
      <c r="R117" s="30"/>
      <c r="S117" s="227"/>
      <c r="T117" s="30"/>
      <c r="U117" s="227"/>
      <c r="V117" s="30"/>
    </row>
    <row r="118" spans="4:22" ht="21" customHeight="1" x14ac:dyDescent="0.45">
      <c r="D118" s="218"/>
      <c r="E118" s="219"/>
      <c r="F118" s="232"/>
      <c r="G118" s="233"/>
      <c r="H118" s="31"/>
      <c r="I118" s="227"/>
      <c r="J118" s="30"/>
      <c r="K118" s="227"/>
      <c r="L118" s="30"/>
      <c r="M118" s="227"/>
      <c r="N118" s="30"/>
      <c r="O118" s="227"/>
      <c r="P118" s="30"/>
      <c r="Q118" s="227"/>
      <c r="R118" s="30"/>
      <c r="S118" s="227"/>
      <c r="T118" s="30"/>
      <c r="U118" s="227"/>
      <c r="V118" s="30"/>
    </row>
    <row r="119" spans="4:22" ht="21" customHeight="1" x14ac:dyDescent="0.45">
      <c r="D119" s="218"/>
      <c r="E119" s="219"/>
      <c r="F119" s="232"/>
      <c r="G119" s="233"/>
      <c r="H119" s="31"/>
      <c r="I119" s="227"/>
      <c r="J119" s="30"/>
      <c r="K119" s="227"/>
      <c r="L119" s="30"/>
      <c r="M119" s="227"/>
      <c r="N119" s="30"/>
      <c r="O119" s="227"/>
      <c r="P119" s="30"/>
      <c r="Q119" s="227"/>
      <c r="R119" s="30"/>
      <c r="S119" s="227"/>
      <c r="T119" s="30"/>
      <c r="U119" s="227"/>
      <c r="V119" s="30"/>
    </row>
    <row r="120" spans="4:22" ht="21" customHeight="1" x14ac:dyDescent="0.45">
      <c r="D120" s="218"/>
      <c r="E120" s="219"/>
      <c r="F120" s="232"/>
      <c r="G120" s="233"/>
      <c r="H120" s="31"/>
      <c r="I120" s="227"/>
      <c r="J120" s="30"/>
      <c r="K120" s="227"/>
      <c r="L120" s="30"/>
      <c r="M120" s="227"/>
      <c r="N120" s="30"/>
      <c r="O120" s="227"/>
      <c r="P120" s="30"/>
      <c r="Q120" s="227"/>
      <c r="R120" s="30"/>
      <c r="S120" s="227"/>
      <c r="T120" s="30"/>
      <c r="U120" s="227"/>
      <c r="V120" s="30"/>
    </row>
    <row r="121" spans="4:22" ht="21" customHeight="1" x14ac:dyDescent="0.45">
      <c r="D121" s="218"/>
      <c r="E121" s="219"/>
      <c r="F121" s="232"/>
      <c r="G121" s="233"/>
      <c r="H121" s="31"/>
      <c r="I121" s="227"/>
      <c r="J121" s="30"/>
      <c r="K121" s="227"/>
      <c r="L121" s="30"/>
      <c r="M121" s="227"/>
      <c r="N121" s="30"/>
      <c r="O121" s="227"/>
      <c r="P121" s="30"/>
      <c r="Q121" s="227"/>
      <c r="R121" s="30"/>
      <c r="S121" s="227"/>
      <c r="T121" s="30"/>
      <c r="U121" s="227"/>
      <c r="V121" s="30"/>
    </row>
    <row r="122" spans="4:22" ht="21" customHeight="1" x14ac:dyDescent="0.45">
      <c r="D122" s="218"/>
      <c r="E122" s="219"/>
      <c r="F122" s="232"/>
      <c r="G122" s="233"/>
      <c r="H122" s="31"/>
      <c r="I122" s="227"/>
      <c r="J122" s="30"/>
      <c r="K122" s="227"/>
      <c r="L122" s="30"/>
      <c r="M122" s="227"/>
      <c r="N122" s="30"/>
      <c r="O122" s="227"/>
      <c r="P122" s="30"/>
      <c r="Q122" s="227"/>
      <c r="R122" s="30"/>
      <c r="S122" s="227"/>
      <c r="T122" s="30"/>
      <c r="U122" s="227"/>
      <c r="V122" s="30"/>
    </row>
    <row r="123" spans="4:22" ht="21" customHeight="1" x14ac:dyDescent="0.45">
      <c r="D123" s="218"/>
      <c r="E123" s="219"/>
      <c r="F123" s="232"/>
      <c r="G123" s="233"/>
      <c r="H123" s="31"/>
      <c r="I123" s="227"/>
      <c r="J123" s="30"/>
      <c r="K123" s="227"/>
      <c r="L123" s="30"/>
      <c r="M123" s="227"/>
      <c r="N123" s="30"/>
      <c r="O123" s="227"/>
      <c r="P123" s="30"/>
      <c r="Q123" s="227"/>
      <c r="R123" s="30"/>
      <c r="S123" s="227"/>
      <c r="T123" s="30"/>
      <c r="U123" s="227"/>
      <c r="V123" s="30"/>
    </row>
    <row r="124" spans="4:22" ht="21" customHeight="1" thickBot="1" x14ac:dyDescent="0.5">
      <c r="D124" s="234"/>
      <c r="E124" s="235"/>
      <c r="F124" s="236"/>
      <c r="G124" s="237"/>
      <c r="H124" s="238"/>
      <c r="I124" s="239"/>
      <c r="J124" s="240"/>
      <c r="K124" s="239"/>
      <c r="L124" s="240"/>
      <c r="M124" s="239"/>
      <c r="N124" s="240"/>
      <c r="O124" s="239"/>
      <c r="P124" s="240"/>
      <c r="Q124" s="239"/>
      <c r="R124" s="240"/>
      <c r="S124" s="239"/>
      <c r="T124" s="240"/>
      <c r="U124" s="239"/>
      <c r="V124" s="240"/>
    </row>
    <row r="125" spans="4:22" ht="17.25" customHeight="1" x14ac:dyDescent="0.35">
      <c r="D125" s="452" t="s">
        <v>223</v>
      </c>
      <c r="E125" s="453"/>
      <c r="F125" s="453"/>
      <c r="G125" s="453"/>
      <c r="H125" s="453"/>
      <c r="I125" s="453"/>
      <c r="J125" s="453"/>
      <c r="K125" s="453"/>
      <c r="L125" s="453"/>
      <c r="M125" s="453"/>
      <c r="N125" s="453"/>
      <c r="O125" s="453"/>
      <c r="P125" s="453"/>
      <c r="Q125" s="453"/>
      <c r="R125" s="453"/>
      <c r="S125" s="453"/>
      <c r="T125" s="453"/>
      <c r="U125" s="453"/>
      <c r="V125" s="454"/>
    </row>
    <row r="126" spans="4:22" ht="17.25" customHeight="1" thickBot="1" x14ac:dyDescent="0.4">
      <c r="D126" s="455"/>
      <c r="E126" s="456"/>
      <c r="F126" s="456"/>
      <c r="G126" s="456"/>
      <c r="H126" s="456"/>
      <c r="I126" s="456"/>
      <c r="J126" s="456"/>
      <c r="K126" s="456"/>
      <c r="L126" s="456"/>
      <c r="M126" s="456"/>
      <c r="N126" s="456"/>
      <c r="O126" s="456"/>
      <c r="P126" s="456"/>
      <c r="Q126" s="456"/>
      <c r="R126" s="456"/>
      <c r="S126" s="456"/>
      <c r="T126" s="456"/>
      <c r="U126" s="456"/>
      <c r="V126" s="457"/>
    </row>
    <row r="127" spans="4:22" ht="21" customHeight="1" x14ac:dyDescent="0.45">
      <c r="D127" s="241" t="str" cm="1">
        <f t="array" ref="D127:V146">_xlfn._xlws.FILTER(Sheet1!A2:S333,Sheet1!T2:T333='NORTHERN REGION ROSTER'!AD1)</f>
        <v>BAKER, BRAD</v>
      </c>
      <c r="E127" s="242" t="str">
        <v>0121619</v>
      </c>
      <c r="F127" s="243" t="str">
        <v>KEYSTONE - ACD</v>
      </c>
      <c r="G127" s="244" t="str">
        <v>PB ACD-2-GOLD</v>
      </c>
      <c r="H127" s="222">
        <v>0</v>
      </c>
      <c r="I127" s="223" t="str">
        <v>S-SD</v>
      </c>
      <c r="J127" s="224" t="str">
        <v>S-SD</v>
      </c>
      <c r="K127" s="223" t="str">
        <v>PL-D</v>
      </c>
      <c r="L127" s="224" t="str">
        <v>PL-D</v>
      </c>
      <c r="M127" s="223">
        <v>0</v>
      </c>
      <c r="N127" s="224" t="str">
        <v>ACD2-PB</v>
      </c>
      <c r="O127" s="223">
        <v>0</v>
      </c>
      <c r="P127" s="224" t="str">
        <v>ACD2-PB</v>
      </c>
      <c r="Q127" s="223" t="str">
        <v>OVERTIME</v>
      </c>
      <c r="R127" s="224" t="str">
        <v>ACD2-PB</v>
      </c>
      <c r="S127" s="223" t="str">
        <v>OVERTIME</v>
      </c>
      <c r="T127" s="224" t="str">
        <v>ACD2-PB</v>
      </c>
      <c r="U127" s="223">
        <v>0</v>
      </c>
      <c r="V127" s="224" t="str">
        <v>OFF</v>
      </c>
    </row>
    <row r="128" spans="4:22" ht="21" customHeight="1" x14ac:dyDescent="0.45">
      <c r="D128" s="245" t="str">
        <v>BALES, BRIAN</v>
      </c>
      <c r="E128" s="246" t="str">
        <v>0186992</v>
      </c>
      <c r="F128" s="247" t="str">
        <v>GREATLAKES - ACD</v>
      </c>
      <c r="G128" s="248" t="str">
        <v>DB ACD-1-BLUE</v>
      </c>
      <c r="H128" s="31">
        <v>0</v>
      </c>
      <c r="I128" s="227">
        <v>0</v>
      </c>
      <c r="J128" s="30" t="str">
        <v>OFF</v>
      </c>
      <c r="K128" s="227">
        <v>0</v>
      </c>
      <c r="L128" s="30" t="str">
        <v>OFF</v>
      </c>
      <c r="M128" s="227">
        <v>0</v>
      </c>
      <c r="N128" s="30" t="str">
        <v>OFF</v>
      </c>
      <c r="O128" s="227">
        <v>0</v>
      </c>
      <c r="P128" s="30" t="str">
        <v>OFF</v>
      </c>
      <c r="Q128" s="227">
        <v>0</v>
      </c>
      <c r="R128" s="30" t="str">
        <v>ACD1-DB</v>
      </c>
      <c r="S128" s="227">
        <v>0</v>
      </c>
      <c r="T128" s="30" t="str">
        <v>ACD1-DB</v>
      </c>
      <c r="U128" s="227">
        <v>0</v>
      </c>
      <c r="V128" s="30" t="str">
        <v>ACD1-DB</v>
      </c>
    </row>
    <row r="129" spans="4:22" ht="21" customHeight="1" x14ac:dyDescent="0.45">
      <c r="D129" s="245" t="str">
        <v>EASTWOOD, JASON</v>
      </c>
      <c r="E129" s="246" t="str">
        <v>0912107</v>
      </c>
      <c r="F129" s="247" t="str">
        <v>MIDWEST - ACD</v>
      </c>
      <c r="G129" s="248" t="str">
        <v>MW ACD-1-GOLD</v>
      </c>
      <c r="H129" s="31">
        <v>0</v>
      </c>
      <c r="I129" s="227" t="str">
        <v>CB</v>
      </c>
      <c r="J129" s="30" t="str">
        <v>CB</v>
      </c>
      <c r="K129" s="227">
        <v>0</v>
      </c>
      <c r="L129" s="30" t="str">
        <v>ACD1-MW</v>
      </c>
      <c r="M129" s="227">
        <v>0</v>
      </c>
      <c r="N129" s="30" t="str">
        <v>ACD1-MW</v>
      </c>
      <c r="O129" s="227">
        <v>0</v>
      </c>
      <c r="P129" s="30" t="str">
        <v>ACD1-MW</v>
      </c>
      <c r="Q129" s="227">
        <v>0</v>
      </c>
      <c r="R129" s="30" t="str">
        <v>OFF</v>
      </c>
      <c r="S129" s="227">
        <v>0</v>
      </c>
      <c r="T129" s="30" t="str">
        <v>OFF</v>
      </c>
      <c r="U129" s="227">
        <v>0</v>
      </c>
      <c r="V129" s="30" t="str">
        <v>OFF</v>
      </c>
    </row>
    <row r="130" spans="4:22" ht="21" customHeight="1" x14ac:dyDescent="0.45">
      <c r="D130" s="245" t="str">
        <v>GERARD, MAGGIE</v>
      </c>
      <c r="E130" s="246" t="str">
        <v>1025521</v>
      </c>
      <c r="F130" s="247" t="str">
        <v>MIDWEST - ACD</v>
      </c>
      <c r="G130" s="248" t="str">
        <v>MW ACD-2-BLUE</v>
      </c>
      <c r="H130" s="31">
        <v>0</v>
      </c>
      <c r="I130" s="227">
        <v>0</v>
      </c>
      <c r="J130" s="30" t="str">
        <v>OFF</v>
      </c>
      <c r="K130" s="227">
        <v>0</v>
      </c>
      <c r="L130" s="30" t="str">
        <v>OFF</v>
      </c>
      <c r="M130" s="227">
        <v>0</v>
      </c>
      <c r="N130" s="30" t="str">
        <v>OFF</v>
      </c>
      <c r="O130" s="227">
        <v>0</v>
      </c>
      <c r="P130" s="30" t="str">
        <v>OFF</v>
      </c>
      <c r="Q130" s="227">
        <v>0</v>
      </c>
      <c r="R130" s="30" t="str">
        <v>ACD2-MW</v>
      </c>
      <c r="S130" s="227">
        <v>0</v>
      </c>
      <c r="T130" s="30" t="str">
        <v>ACD2-MW</v>
      </c>
      <c r="U130" s="227">
        <v>0</v>
      </c>
      <c r="V130" s="30" t="str">
        <v>ACD2-MW</v>
      </c>
    </row>
    <row r="131" spans="4:22" ht="21" customHeight="1" x14ac:dyDescent="0.45">
      <c r="D131" s="245" t="str">
        <v>GOODREAU, TERRY</v>
      </c>
      <c r="E131" s="246" t="str">
        <v>0117265</v>
      </c>
      <c r="F131" s="247" t="str">
        <v>KEYSTONE - ACD</v>
      </c>
      <c r="G131" s="248" t="str">
        <v>HB ACD-1-GOLD</v>
      </c>
      <c r="H131" s="31">
        <v>0</v>
      </c>
      <c r="I131" s="227">
        <v>0</v>
      </c>
      <c r="J131" s="30" t="str">
        <v>ACD1-HB</v>
      </c>
      <c r="K131" s="227">
        <v>0</v>
      </c>
      <c r="L131" s="30" t="str">
        <v>ACD1-HB</v>
      </c>
      <c r="M131" s="227">
        <v>0</v>
      </c>
      <c r="N131" s="30" t="str">
        <v>ACD1-HB</v>
      </c>
      <c r="O131" s="227" t="str">
        <v>NCL</v>
      </c>
      <c r="P131" s="30" t="str">
        <v>NCL</v>
      </c>
      <c r="Q131" s="227">
        <v>0</v>
      </c>
      <c r="R131" s="30" t="str">
        <v>OFF</v>
      </c>
      <c r="S131" s="227">
        <v>0</v>
      </c>
      <c r="T131" s="30" t="str">
        <v>OFF</v>
      </c>
      <c r="U131" s="227">
        <v>0</v>
      </c>
      <c r="V131" s="30" t="str">
        <v>OFF</v>
      </c>
    </row>
    <row r="132" spans="4:22" ht="21" customHeight="1" x14ac:dyDescent="0.45">
      <c r="D132" s="245" t="str">
        <v>GREY, JON</v>
      </c>
      <c r="E132" s="249" t="str">
        <v>1005746</v>
      </c>
      <c r="F132" s="250" t="str">
        <v>KEYSTONE - ACD</v>
      </c>
      <c r="G132" s="251" t="str">
        <v>PB ACD-2-BLUE</v>
      </c>
      <c r="H132" s="31">
        <v>0</v>
      </c>
      <c r="I132" s="227" t="str">
        <v>S-SD</v>
      </c>
      <c r="J132" s="30" t="str">
        <v>OFF</v>
      </c>
      <c r="K132" s="227" t="str">
        <v>S-SD</v>
      </c>
      <c r="L132" s="30" t="str">
        <v>OFF</v>
      </c>
      <c r="M132" s="227" t="str">
        <v>S-SD</v>
      </c>
      <c r="N132" s="30" t="str">
        <v>OFF</v>
      </c>
      <c r="O132" s="227" t="str">
        <v>S-SD</v>
      </c>
      <c r="P132" s="30" t="str">
        <v>OFF</v>
      </c>
      <c r="Q132" s="227" t="str">
        <v>S-SD</v>
      </c>
      <c r="R132" s="30" t="str">
        <v>S-SD</v>
      </c>
      <c r="S132" s="227" t="str">
        <v>S-SD</v>
      </c>
      <c r="T132" s="30" t="str">
        <v>S-SD</v>
      </c>
      <c r="U132" s="227">
        <v>0</v>
      </c>
      <c r="V132" s="30" t="str">
        <v>ACD2-PB</v>
      </c>
    </row>
    <row r="133" spans="4:22" ht="21" customHeight="1" x14ac:dyDescent="0.45">
      <c r="D133" s="245" t="str">
        <v>HOOD, JORDAN</v>
      </c>
      <c r="E133" s="249" t="str">
        <v>1019887</v>
      </c>
      <c r="F133" s="250" t="str">
        <v>GREATLAKES - ACD</v>
      </c>
      <c r="G133" s="251" t="str">
        <v>LK ACD-2-GOLD</v>
      </c>
      <c r="H133" s="31">
        <v>0</v>
      </c>
      <c r="I133" s="227" t="str">
        <v>V-SD</v>
      </c>
      <c r="J133" s="30" t="str">
        <v>V-SD</v>
      </c>
      <c r="K133" s="227">
        <v>0</v>
      </c>
      <c r="L133" s="30" t="str">
        <v>ACD2-LK</v>
      </c>
      <c r="M133" s="227">
        <v>0</v>
      </c>
      <c r="N133" s="30" t="str">
        <v>ACD2-LK</v>
      </c>
      <c r="O133" s="227">
        <v>0</v>
      </c>
      <c r="P133" s="30" t="str">
        <v>ACD2-LK</v>
      </c>
      <c r="Q133" s="227">
        <v>0</v>
      </c>
      <c r="R133" s="30" t="str">
        <v>OFF</v>
      </c>
      <c r="S133" s="227">
        <v>0</v>
      </c>
      <c r="T133" s="30" t="str">
        <v>OFF</v>
      </c>
      <c r="U133" s="227">
        <v>0</v>
      </c>
      <c r="V133" s="30" t="str">
        <v>OFF</v>
      </c>
    </row>
    <row r="134" spans="4:22" ht="21" customHeight="1" x14ac:dyDescent="0.45">
      <c r="D134" s="245" t="str">
        <v>HOUSE, ROYCE</v>
      </c>
      <c r="E134" s="249" t="str">
        <v>0963081</v>
      </c>
      <c r="F134" s="250" t="str">
        <v>GREATLAKES - ACD</v>
      </c>
      <c r="G134" s="251" t="str">
        <v>LK ACD-2-BLUE</v>
      </c>
      <c r="H134" s="31">
        <v>0</v>
      </c>
      <c r="I134" s="227">
        <v>0</v>
      </c>
      <c r="J134" s="30" t="str">
        <v>OFF</v>
      </c>
      <c r="K134" s="227">
        <v>0</v>
      </c>
      <c r="L134" s="30" t="str">
        <v>OFF</v>
      </c>
      <c r="M134" s="227">
        <v>0</v>
      </c>
      <c r="N134" s="30" t="str">
        <v>OFF</v>
      </c>
      <c r="O134" s="227">
        <v>0</v>
      </c>
      <c r="P134" s="30" t="str">
        <v>OFF</v>
      </c>
      <c r="Q134" s="227">
        <v>0</v>
      </c>
      <c r="R134" s="30" t="str">
        <v>ACD2-LK</v>
      </c>
      <c r="S134" s="227">
        <v>0</v>
      </c>
      <c r="T134" s="30" t="str">
        <v>ACD2-LK</v>
      </c>
      <c r="U134" s="227">
        <v>0</v>
      </c>
      <c r="V134" s="30" t="str">
        <v>ACD2-LK</v>
      </c>
    </row>
    <row r="135" spans="4:22" ht="21" customHeight="1" x14ac:dyDescent="0.45">
      <c r="D135" s="245" t="str">
        <v>INCARNATO, PATTI</v>
      </c>
      <c r="E135" s="249" t="str">
        <v>0049883</v>
      </c>
      <c r="F135" s="250" t="str">
        <v>GREATLAKES - ACD</v>
      </c>
      <c r="G135" s="251" t="str">
        <v>LK ACD-1-BLUE</v>
      </c>
      <c r="H135" s="31">
        <v>0</v>
      </c>
      <c r="I135" s="227">
        <v>0</v>
      </c>
      <c r="J135" s="30" t="str">
        <v>OFF</v>
      </c>
      <c r="K135" s="227">
        <v>0</v>
      </c>
      <c r="L135" s="30" t="str">
        <v>OFF</v>
      </c>
      <c r="M135" s="227">
        <v>0</v>
      </c>
      <c r="N135" s="30" t="str">
        <v>OFF</v>
      </c>
      <c r="O135" s="227">
        <v>0</v>
      </c>
      <c r="P135" s="30" t="str">
        <v>OFF</v>
      </c>
      <c r="Q135" s="227">
        <v>0</v>
      </c>
      <c r="R135" s="30" t="str">
        <v>ACD1-LK</v>
      </c>
      <c r="S135" s="227">
        <v>0</v>
      </c>
      <c r="T135" s="30" t="str">
        <v>ACD1-LK</v>
      </c>
      <c r="U135" s="227">
        <v>0</v>
      </c>
      <c r="V135" s="30" t="str">
        <v>ACD1-LK</v>
      </c>
    </row>
    <row r="136" spans="4:22" ht="21" customHeight="1" x14ac:dyDescent="0.45">
      <c r="D136" s="245" t="str">
        <v>JOHNSTON, STEVE</v>
      </c>
      <c r="E136" s="249" t="str">
        <v>0916153</v>
      </c>
      <c r="F136" s="250" t="str">
        <v>MIDWEST - ACD</v>
      </c>
      <c r="G136" s="251" t="str">
        <v>MW ACD-1-BLUE</v>
      </c>
      <c r="H136" s="31">
        <v>0</v>
      </c>
      <c r="I136" s="227" t="str">
        <v>OVERTIME</v>
      </c>
      <c r="J136" s="30" t="str">
        <v>ACD1-MW</v>
      </c>
      <c r="K136" s="227">
        <v>0</v>
      </c>
      <c r="L136" s="30" t="str">
        <v>OFF</v>
      </c>
      <c r="M136" s="227">
        <v>0</v>
      </c>
      <c r="N136" s="30" t="str">
        <v>OFF</v>
      </c>
      <c r="O136" s="227">
        <v>0</v>
      </c>
      <c r="P136" s="30" t="str">
        <v>OFF</v>
      </c>
      <c r="Q136" s="227">
        <v>0</v>
      </c>
      <c r="R136" s="30" t="str">
        <v>ACD1-MW</v>
      </c>
      <c r="S136" s="227">
        <v>0</v>
      </c>
      <c r="T136" s="30" t="str">
        <v>ACD1-MW</v>
      </c>
      <c r="U136" s="227">
        <v>0</v>
      </c>
      <c r="V136" s="30" t="str">
        <v>ACD1-MW</v>
      </c>
    </row>
    <row r="137" spans="4:22" ht="21" customHeight="1" x14ac:dyDescent="0.45">
      <c r="D137" s="245" t="str">
        <v>KOHAN, JON</v>
      </c>
      <c r="E137" s="249" t="str">
        <v>0375410</v>
      </c>
      <c r="F137" s="250" t="str">
        <v>KEYSTONE - ACD</v>
      </c>
      <c r="G137" s="251" t="str">
        <v>HB ACD-2-BLUE</v>
      </c>
      <c r="H137" s="31">
        <v>0</v>
      </c>
      <c r="I137" s="227">
        <v>0</v>
      </c>
      <c r="J137" s="30" t="str">
        <v>OFF</v>
      </c>
      <c r="K137" s="227">
        <v>0</v>
      </c>
      <c r="L137" s="30" t="str">
        <v>OFF</v>
      </c>
      <c r="M137" s="227">
        <v>0</v>
      </c>
      <c r="N137" s="30" t="str">
        <v>OFF</v>
      </c>
      <c r="O137" s="227">
        <v>0</v>
      </c>
      <c r="P137" s="30" t="str">
        <v>OFF</v>
      </c>
      <c r="Q137" s="227" t="str">
        <v>V-SD</v>
      </c>
      <c r="R137" s="30" t="str">
        <v>V-SD</v>
      </c>
      <c r="S137" s="227">
        <v>0</v>
      </c>
      <c r="T137" s="30" t="str">
        <v>ACD2-HB</v>
      </c>
      <c r="U137" s="227">
        <v>0</v>
      </c>
      <c r="V137" s="30" t="str">
        <v>ACD2-HB</v>
      </c>
    </row>
    <row r="138" spans="4:22" ht="21" customHeight="1" x14ac:dyDescent="0.45">
      <c r="D138" s="245" t="str">
        <v>MASTERSON, VICKI</v>
      </c>
      <c r="E138" s="249" t="str">
        <v>0766538</v>
      </c>
      <c r="F138" s="250" t="str">
        <v>GREATLAKES - ACD</v>
      </c>
      <c r="G138" s="251" t="str">
        <v>DB ACD-1-GOLD</v>
      </c>
      <c r="H138" s="31">
        <v>0</v>
      </c>
      <c r="I138" s="227" t="str">
        <v>V-SD</v>
      </c>
      <c r="J138" s="30" t="str">
        <v>V-SD</v>
      </c>
      <c r="K138" s="227" t="str">
        <v>V-SD</v>
      </c>
      <c r="L138" s="30" t="str">
        <v>V-SD</v>
      </c>
      <c r="M138" s="227">
        <v>0</v>
      </c>
      <c r="N138" s="30" t="str">
        <v>ACD1-DB</v>
      </c>
      <c r="O138" s="227">
        <v>0</v>
      </c>
      <c r="P138" s="30" t="str">
        <v>ACD1-DB</v>
      </c>
      <c r="Q138" s="227">
        <v>0</v>
      </c>
      <c r="R138" s="30" t="str">
        <v>OFF</v>
      </c>
      <c r="S138" s="227">
        <v>0</v>
      </c>
      <c r="T138" s="30" t="str">
        <v>OFF</v>
      </c>
      <c r="U138" s="227">
        <v>0</v>
      </c>
      <c r="V138" s="30" t="str">
        <v>OFF</v>
      </c>
    </row>
    <row r="139" spans="4:22" ht="21" customHeight="1" x14ac:dyDescent="0.45">
      <c r="D139" s="245" t="str">
        <v>MCLAMB, JOHNNELL</v>
      </c>
      <c r="E139" s="249" t="str">
        <v>0768877</v>
      </c>
      <c r="F139" s="250" t="str">
        <v>KEYSTONE - ACD</v>
      </c>
      <c r="G139" s="251" t="str">
        <v>HB ACD-1-BLUE</v>
      </c>
      <c r="H139" s="31">
        <v>0</v>
      </c>
      <c r="I139" s="227">
        <v>0</v>
      </c>
      <c r="J139" s="30" t="str">
        <v>OFF</v>
      </c>
      <c r="K139" s="227">
        <v>0</v>
      </c>
      <c r="L139" s="30" t="str">
        <v>OFF</v>
      </c>
      <c r="M139" s="227">
        <v>0</v>
      </c>
      <c r="N139" s="30" t="str">
        <v>OFF</v>
      </c>
      <c r="O139" s="227">
        <v>0</v>
      </c>
      <c r="P139" s="30" t="str">
        <v>OFF</v>
      </c>
      <c r="Q139" s="227">
        <v>0</v>
      </c>
      <c r="R139" s="30" t="str">
        <v>ACD1-HB</v>
      </c>
      <c r="S139" s="227">
        <v>0</v>
      </c>
      <c r="T139" s="30" t="str">
        <v>ACD1-HB</v>
      </c>
      <c r="U139" s="227">
        <v>0</v>
      </c>
      <c r="V139" s="30" t="str">
        <v>ACD1-HB</v>
      </c>
    </row>
    <row r="140" spans="4:22" ht="21" customHeight="1" x14ac:dyDescent="0.45">
      <c r="D140" s="245" t="str">
        <v>MCQUILLEN, GARRETT</v>
      </c>
      <c r="E140" s="249" t="str">
        <v>0758150</v>
      </c>
      <c r="F140" s="250" t="str">
        <v>KEYSTONE - ACD</v>
      </c>
      <c r="G140" s="251" t="str">
        <v>PB ACD-1-GOLD</v>
      </c>
      <c r="H140" s="31">
        <v>0</v>
      </c>
      <c r="I140" s="227">
        <v>0</v>
      </c>
      <c r="J140" s="30" t="str">
        <v>ACD1-PB</v>
      </c>
      <c r="K140" s="227">
        <v>0</v>
      </c>
      <c r="L140" s="30" t="str">
        <v>ACD1-PB</v>
      </c>
      <c r="M140" s="227">
        <v>0</v>
      </c>
      <c r="N140" s="30" t="str">
        <v>ACD1-PB</v>
      </c>
      <c r="O140" s="227">
        <v>0</v>
      </c>
      <c r="P140" s="30" t="str">
        <v>ACD1-PB</v>
      </c>
      <c r="Q140" s="227" t="str">
        <v>OVERTIME</v>
      </c>
      <c r="R140" s="30" t="str">
        <v>ACD1-PB</v>
      </c>
      <c r="S140" s="227">
        <v>0</v>
      </c>
      <c r="T140" s="30" t="str">
        <v>OFF</v>
      </c>
      <c r="U140" s="227">
        <v>0</v>
      </c>
      <c r="V140" s="30" t="str">
        <v>OFF</v>
      </c>
    </row>
    <row r="141" spans="4:22" ht="21" customHeight="1" x14ac:dyDescent="0.45">
      <c r="D141" s="245" t="str">
        <v>PEACHY, JOHN</v>
      </c>
      <c r="E141" s="249" t="str">
        <v>0560457</v>
      </c>
      <c r="F141" s="250" t="str">
        <v>KEYSTONE - ACD</v>
      </c>
      <c r="G141" s="251" t="str">
        <v>HB ACD-2-GOLD</v>
      </c>
      <c r="H141" s="31">
        <v>0</v>
      </c>
      <c r="I141" s="227">
        <v>0</v>
      </c>
      <c r="J141" s="30" t="str">
        <v>ACD2-HB</v>
      </c>
      <c r="K141" s="227">
        <v>0</v>
      </c>
      <c r="L141" s="30" t="str">
        <v>ACD2-HB</v>
      </c>
      <c r="M141" s="227">
        <v>0</v>
      </c>
      <c r="N141" s="30" t="str">
        <v>ACD2-HB</v>
      </c>
      <c r="O141" s="227">
        <v>0</v>
      </c>
      <c r="P141" s="30" t="str">
        <v>ACD2-HB</v>
      </c>
      <c r="Q141" s="227" t="str">
        <v>OVERTIME</v>
      </c>
      <c r="R141" s="30" t="str">
        <v>ACD2-HB</v>
      </c>
      <c r="S141" s="227">
        <v>0</v>
      </c>
      <c r="T141" s="30" t="str">
        <v>OFF</v>
      </c>
      <c r="U141" s="227">
        <v>0</v>
      </c>
      <c r="V141" s="30" t="str">
        <v>OFF</v>
      </c>
    </row>
    <row r="142" spans="4:22" ht="21" customHeight="1" x14ac:dyDescent="0.45">
      <c r="D142" s="245" t="str">
        <v>RABARA, BILL</v>
      </c>
      <c r="E142" s="249" t="str">
        <v>0122081</v>
      </c>
      <c r="F142" s="250" t="str">
        <v>GREATLAKES - ACD</v>
      </c>
      <c r="G142" s="251" t="str">
        <v>DB ACD-2-GOLD</v>
      </c>
      <c r="H142" s="31">
        <v>0</v>
      </c>
      <c r="I142" s="227">
        <v>0</v>
      </c>
      <c r="J142" s="30" t="str">
        <v>ACD2-DB</v>
      </c>
      <c r="K142" s="227">
        <v>0</v>
      </c>
      <c r="L142" s="30" t="str">
        <v>ACD2-DB</v>
      </c>
      <c r="M142" s="227" t="str">
        <v>S-SD</v>
      </c>
      <c r="N142" s="30" t="str">
        <v>S-SD</v>
      </c>
      <c r="O142" s="227">
        <v>0</v>
      </c>
      <c r="P142" s="30" t="str">
        <v>ACD2-DB</v>
      </c>
      <c r="Q142" s="227">
        <v>0</v>
      </c>
      <c r="R142" s="30" t="str">
        <v>OFF</v>
      </c>
      <c r="S142" s="227">
        <v>0</v>
      </c>
      <c r="T142" s="30" t="str">
        <v>OFF</v>
      </c>
      <c r="U142" s="227">
        <v>0</v>
      </c>
      <c r="V142" s="30" t="str">
        <v>OFF</v>
      </c>
    </row>
    <row r="143" spans="4:22" ht="21" customHeight="1" x14ac:dyDescent="0.45">
      <c r="D143" s="245" t="str">
        <v>SPEAKS, JASON</v>
      </c>
      <c r="E143" s="249" t="str">
        <v>0971978</v>
      </c>
      <c r="F143" s="250" t="str">
        <v>MIDWEST - ACD</v>
      </c>
      <c r="G143" s="251" t="str">
        <v>MW ACD-2-GOLD</v>
      </c>
      <c r="H143" s="31">
        <v>0</v>
      </c>
      <c r="I143" s="227" t="str">
        <v>FMLA</v>
      </c>
      <c r="J143" s="30" t="str">
        <v>FMLA</v>
      </c>
      <c r="K143" s="227">
        <v>0</v>
      </c>
      <c r="L143" s="30" t="str">
        <v>ACD2-MW</v>
      </c>
      <c r="M143" s="227">
        <v>0</v>
      </c>
      <c r="N143" s="30" t="str">
        <v>ACD2-MW</v>
      </c>
      <c r="O143" s="227">
        <v>0</v>
      </c>
      <c r="P143" s="30" t="str">
        <v>ACD2-MW</v>
      </c>
      <c r="Q143" s="227">
        <v>0</v>
      </c>
      <c r="R143" s="30" t="str">
        <v>OFF</v>
      </c>
      <c r="S143" s="227">
        <v>0</v>
      </c>
      <c r="T143" s="30" t="str">
        <v>OFF</v>
      </c>
      <c r="U143" s="227">
        <v>0</v>
      </c>
      <c r="V143" s="30" t="str">
        <v>OFF</v>
      </c>
    </row>
    <row r="144" spans="4:22" ht="21" customHeight="1" x14ac:dyDescent="0.45">
      <c r="D144" s="245" t="str">
        <v>STACY, KEVIN</v>
      </c>
      <c r="E144" s="249" t="str">
        <v>0875483</v>
      </c>
      <c r="F144" s="250" t="str">
        <v>GREATLAKES - ACD</v>
      </c>
      <c r="G144" s="251" t="str">
        <v>LK ACD-1-GOLD</v>
      </c>
      <c r="H144" s="31">
        <v>0</v>
      </c>
      <c r="I144" s="227">
        <v>0</v>
      </c>
      <c r="J144" s="30" t="str">
        <v>ACD1-LK</v>
      </c>
      <c r="K144" s="227">
        <v>0</v>
      </c>
      <c r="L144" s="30" t="str">
        <v>ACD1-LK</v>
      </c>
      <c r="M144" s="227" t="str">
        <v>CB</v>
      </c>
      <c r="N144" s="30" t="str">
        <v>CB</v>
      </c>
      <c r="O144" s="227" t="str">
        <v>CB</v>
      </c>
      <c r="P144" s="30" t="str">
        <v>CB</v>
      </c>
      <c r="Q144" s="227">
        <v>0</v>
      </c>
      <c r="R144" s="30" t="str">
        <v>OFF</v>
      </c>
      <c r="S144" s="227">
        <v>0</v>
      </c>
      <c r="T144" s="30" t="str">
        <v>OFF</v>
      </c>
      <c r="U144" s="227">
        <v>0</v>
      </c>
      <c r="V144" s="30" t="str">
        <v>OFF</v>
      </c>
    </row>
    <row r="145" spans="4:22" ht="21" customHeight="1" x14ac:dyDescent="0.45">
      <c r="D145" s="245" t="str">
        <v>STAMETS, JEFF</v>
      </c>
      <c r="E145" s="249" t="str">
        <v>0161603</v>
      </c>
      <c r="F145" s="250" t="str">
        <v>GREATLAKES - ACD</v>
      </c>
      <c r="G145" s="251" t="str">
        <v>DB ACD-2-BLUE</v>
      </c>
      <c r="H145" s="31">
        <v>0</v>
      </c>
      <c r="I145" s="227">
        <v>0</v>
      </c>
      <c r="J145" s="30" t="str">
        <v>OFF</v>
      </c>
      <c r="K145" s="227">
        <v>0</v>
      </c>
      <c r="L145" s="30" t="str">
        <v>OFF</v>
      </c>
      <c r="M145" s="227">
        <v>0</v>
      </c>
      <c r="N145" s="30" t="str">
        <v>OFF</v>
      </c>
      <c r="O145" s="227">
        <v>0</v>
      </c>
      <c r="P145" s="30" t="str">
        <v>OFF</v>
      </c>
      <c r="Q145" s="227" t="str">
        <v>S-SD</v>
      </c>
      <c r="R145" s="30" t="str">
        <v>S-SD</v>
      </c>
      <c r="S145" s="227" t="str">
        <v>S-SD</v>
      </c>
      <c r="T145" s="30" t="str">
        <v>S-SD</v>
      </c>
      <c r="U145" s="227" t="str">
        <v>S-SD</v>
      </c>
      <c r="V145" s="30" t="str">
        <v>S-SD</v>
      </c>
    </row>
    <row r="146" spans="4:22" ht="21" customHeight="1" x14ac:dyDescent="0.45">
      <c r="D146" s="245" t="str">
        <v>TOOMEY, TJ</v>
      </c>
      <c r="E146" s="249" t="str">
        <v>0194825</v>
      </c>
      <c r="F146" s="250" t="str">
        <v>KEYSTONE - ACD</v>
      </c>
      <c r="G146" s="251" t="str">
        <v>PB ACD-1-BLUE</v>
      </c>
      <c r="H146" s="31">
        <v>0</v>
      </c>
      <c r="I146" s="227">
        <v>0</v>
      </c>
      <c r="J146" s="30" t="str">
        <v>OFF</v>
      </c>
      <c r="K146" s="227">
        <v>0</v>
      </c>
      <c r="L146" s="30" t="str">
        <v>OFF</v>
      </c>
      <c r="M146" s="227">
        <v>0</v>
      </c>
      <c r="N146" s="30" t="str">
        <v>OFF</v>
      </c>
      <c r="O146" s="227">
        <v>0</v>
      </c>
      <c r="P146" s="30" t="str">
        <v>OFF</v>
      </c>
      <c r="Q146" s="227" t="str">
        <v>S-APPT</v>
      </c>
      <c r="R146" s="30" t="str">
        <v>S-APPT</v>
      </c>
      <c r="S146" s="227">
        <v>0</v>
      </c>
      <c r="T146" s="30" t="str">
        <v>ACD1-PB</v>
      </c>
      <c r="U146" s="227">
        <v>0</v>
      </c>
      <c r="V146" s="30" t="str">
        <v>ACD1-PB</v>
      </c>
    </row>
    <row r="147" spans="4:22" ht="21" customHeight="1" x14ac:dyDescent="0.45">
      <c r="D147" s="245"/>
      <c r="E147" s="249"/>
      <c r="F147" s="250"/>
      <c r="G147" s="251"/>
      <c r="H147" s="31"/>
      <c r="I147" s="227"/>
      <c r="J147" s="30"/>
      <c r="K147" s="227"/>
      <c r="L147" s="30"/>
      <c r="M147" s="227"/>
      <c r="N147" s="30"/>
      <c r="O147" s="227"/>
      <c r="P147" s="30"/>
      <c r="Q147" s="227"/>
      <c r="R147" s="30"/>
      <c r="S147" s="227"/>
      <c r="T147" s="30"/>
      <c r="U147" s="227"/>
      <c r="V147" s="30"/>
    </row>
    <row r="148" spans="4:22" ht="21" customHeight="1" x14ac:dyDescent="0.45">
      <c r="D148" s="245"/>
      <c r="E148" s="249"/>
      <c r="F148" s="250"/>
      <c r="G148" s="251"/>
      <c r="H148" s="31"/>
      <c r="I148" s="227"/>
      <c r="J148" s="30"/>
      <c r="K148" s="227"/>
      <c r="L148" s="30"/>
      <c r="M148" s="227"/>
      <c r="N148" s="30"/>
      <c r="O148" s="227"/>
      <c r="P148" s="30"/>
      <c r="Q148" s="227"/>
      <c r="R148" s="30"/>
      <c r="S148" s="227"/>
      <c r="T148" s="30"/>
      <c r="U148" s="227"/>
      <c r="V148" s="30"/>
    </row>
    <row r="149" spans="4:22" ht="21" customHeight="1" thickBot="1" x14ac:dyDescent="0.5">
      <c r="D149" s="162"/>
      <c r="E149" s="252"/>
      <c r="F149" s="253"/>
      <c r="G149" s="254"/>
      <c r="H149" s="238"/>
      <c r="I149" s="239"/>
      <c r="J149" s="240"/>
      <c r="K149" s="239"/>
      <c r="L149" s="240"/>
      <c r="M149" s="239"/>
      <c r="N149" s="240"/>
      <c r="O149" s="239"/>
      <c r="P149" s="240"/>
      <c r="Q149" s="239"/>
      <c r="R149" s="240"/>
      <c r="S149" s="239"/>
      <c r="T149" s="240"/>
      <c r="U149" s="239"/>
      <c r="V149" s="240"/>
    </row>
    <row r="150" spans="4:22" ht="17.25" customHeight="1" x14ac:dyDescent="0.35">
      <c r="D150" s="452" t="s">
        <v>224</v>
      </c>
      <c r="E150" s="453"/>
      <c r="F150" s="453"/>
      <c r="G150" s="453"/>
      <c r="H150" s="453"/>
      <c r="I150" s="453"/>
      <c r="J150" s="453"/>
      <c r="K150" s="453"/>
      <c r="L150" s="453"/>
      <c r="M150" s="453"/>
      <c r="N150" s="453"/>
      <c r="O150" s="453"/>
      <c r="P150" s="453"/>
      <c r="Q150" s="453"/>
      <c r="R150" s="453"/>
      <c r="S150" s="453"/>
      <c r="T150" s="453"/>
      <c r="U150" s="453"/>
      <c r="V150" s="454"/>
    </row>
    <row r="151" spans="4:22" ht="17.25" customHeight="1" thickBot="1" x14ac:dyDescent="0.4">
      <c r="D151" s="455"/>
      <c r="E151" s="456"/>
      <c r="F151" s="456"/>
      <c r="G151" s="456"/>
      <c r="H151" s="456"/>
      <c r="I151" s="456"/>
      <c r="J151" s="456"/>
      <c r="K151" s="456"/>
      <c r="L151" s="456"/>
      <c r="M151" s="456"/>
      <c r="N151" s="456"/>
      <c r="O151" s="456"/>
      <c r="P151" s="456"/>
      <c r="Q151" s="456"/>
      <c r="R151" s="456"/>
      <c r="S151" s="456"/>
      <c r="T151" s="456"/>
      <c r="U151" s="456"/>
      <c r="V151" s="457"/>
    </row>
    <row r="152" spans="4:22" ht="21" customHeight="1" x14ac:dyDescent="0.45">
      <c r="D152" s="241" t="str" cm="1">
        <f t="array" ref="D152:V154">_xlfn._xlws.FILTER(Sheet1!A2:S333,Sheet1!T2:T333='NORTHERN REGION ROSTER'!AC2)</f>
        <v>DUNCAN, CRAIG</v>
      </c>
      <c r="E152" s="255" t="str">
        <v>0374752</v>
      </c>
      <c r="F152" s="256" t="str">
        <v>RELIEF ACD'S</v>
      </c>
      <c r="G152" s="257" t="str">
        <v>R-ACD-GOLD</v>
      </c>
      <c r="H152" s="222">
        <v>0</v>
      </c>
      <c r="I152" s="223">
        <v>0</v>
      </c>
      <c r="J152" s="224" t="str">
        <v>ACD1-DB</v>
      </c>
      <c r="K152" s="223">
        <v>0</v>
      </c>
      <c r="L152" s="224" t="str">
        <v>ACD1-DB</v>
      </c>
      <c r="M152" s="223">
        <v>0</v>
      </c>
      <c r="N152" s="224" t="str">
        <v>ACD1-LK</v>
      </c>
      <c r="O152" s="223">
        <v>0</v>
      </c>
      <c r="P152" s="224" t="str">
        <v>ACD1-LK</v>
      </c>
      <c r="Q152" s="223" t="str">
        <v>OVERTIME</v>
      </c>
      <c r="R152" s="224" t="str">
        <v>ACD2-DB</v>
      </c>
      <c r="S152" s="223" t="str">
        <v>OVERTIME</v>
      </c>
      <c r="T152" s="224" t="str">
        <v>ACD2-DB</v>
      </c>
      <c r="U152" s="223">
        <v>0</v>
      </c>
      <c r="V152" s="224" t="str">
        <v>OFF</v>
      </c>
    </row>
    <row r="153" spans="4:22" ht="21" customHeight="1" x14ac:dyDescent="0.45">
      <c r="D153" s="245" t="str">
        <v>PIETSCH, KYLE</v>
      </c>
      <c r="E153" s="249" t="str">
        <v>1019208</v>
      </c>
      <c r="F153" s="250" t="str">
        <v>RELIEF ACD'S</v>
      </c>
      <c r="G153" s="251" t="str">
        <v>R-ACD-GOLD</v>
      </c>
      <c r="H153" s="31">
        <v>0</v>
      </c>
      <c r="I153" s="227">
        <v>0</v>
      </c>
      <c r="J153" s="30" t="str">
        <v>ACD2-GU</v>
      </c>
      <c r="K153" s="227">
        <v>0</v>
      </c>
      <c r="L153" s="30" t="str">
        <v>ACD2-GU</v>
      </c>
      <c r="M153" s="227">
        <v>0</v>
      </c>
      <c r="N153" s="30" t="str">
        <v>ACD2-DB</v>
      </c>
      <c r="O153" s="227" t="str">
        <v>S-APPT</v>
      </c>
      <c r="P153" s="30" t="str">
        <v>S-APPT</v>
      </c>
      <c r="Q153" s="227">
        <v>0</v>
      </c>
      <c r="R153" s="30" t="str">
        <v>OFF</v>
      </c>
      <c r="S153" s="227">
        <v>0</v>
      </c>
      <c r="T153" s="30" t="str">
        <v>OFF</v>
      </c>
      <c r="U153" s="227">
        <v>0</v>
      </c>
      <c r="V153" s="30" t="str">
        <v>OFF</v>
      </c>
    </row>
    <row r="154" spans="4:22" ht="21" customHeight="1" x14ac:dyDescent="0.45">
      <c r="D154" s="245" t="str">
        <v>RUBERT, JIM</v>
      </c>
      <c r="E154" s="249" t="str">
        <v>0798819</v>
      </c>
      <c r="F154" s="250" t="str">
        <v>RELIEF ACD'S</v>
      </c>
      <c r="G154" s="251" t="str">
        <v>R-ACD-BLUE</v>
      </c>
      <c r="H154" s="31">
        <v>0</v>
      </c>
      <c r="I154" s="227">
        <v>0</v>
      </c>
      <c r="J154" s="30" t="str">
        <v>OFF</v>
      </c>
      <c r="K154" s="227">
        <v>0</v>
      </c>
      <c r="L154" s="30" t="str">
        <v>OFF</v>
      </c>
      <c r="M154" s="227">
        <v>0</v>
      </c>
      <c r="N154" s="30" t="str">
        <v>OFF</v>
      </c>
      <c r="O154" s="227">
        <v>0</v>
      </c>
      <c r="P154" s="30" t="str">
        <v>OFF</v>
      </c>
      <c r="Q154" s="227">
        <v>0</v>
      </c>
      <c r="R154" s="30" t="str">
        <v>ACD1-CO</v>
      </c>
      <c r="S154" s="227">
        <v>0</v>
      </c>
      <c r="T154" s="30" t="str">
        <v>ACD1-CO</v>
      </c>
      <c r="U154" s="227">
        <v>0</v>
      </c>
      <c r="V154" s="30" t="str">
        <v>ACD2-DB</v>
      </c>
    </row>
    <row r="155" spans="4:22" ht="21" customHeight="1" x14ac:dyDescent="0.45">
      <c r="D155" s="245"/>
      <c r="E155" s="249"/>
      <c r="F155" s="250"/>
      <c r="G155" s="251"/>
      <c r="H155" s="31"/>
      <c r="I155" s="227"/>
      <c r="J155" s="30"/>
      <c r="K155" s="227"/>
      <c r="L155" s="30"/>
      <c r="M155" s="227"/>
      <c r="N155" s="30"/>
      <c r="O155" s="227"/>
      <c r="P155" s="30"/>
      <c r="Q155" s="227"/>
      <c r="R155" s="30"/>
      <c r="S155" s="227"/>
      <c r="T155" s="30"/>
      <c r="U155" s="227"/>
      <c r="V155" s="30"/>
    </row>
    <row r="156" spans="4:22" ht="21" customHeight="1" thickBot="1" x14ac:dyDescent="0.5">
      <c r="D156" s="162"/>
      <c r="E156" s="252"/>
      <c r="F156" s="253"/>
      <c r="G156" s="254"/>
      <c r="H156" s="238"/>
      <c r="I156" s="239"/>
      <c r="J156" s="240"/>
      <c r="K156" s="239"/>
      <c r="L156" s="240"/>
      <c r="M156" s="239"/>
      <c r="N156" s="240"/>
      <c r="O156" s="239"/>
      <c r="P156" s="240"/>
      <c r="Q156" s="239"/>
      <c r="R156" s="240"/>
      <c r="S156" s="239"/>
      <c r="T156" s="240"/>
      <c r="U156" s="239"/>
      <c r="V156" s="240"/>
    </row>
    <row r="157" spans="4:22" ht="17.25" customHeight="1" x14ac:dyDescent="0.35">
      <c r="D157" s="464" t="s">
        <v>225</v>
      </c>
      <c r="E157" s="453"/>
      <c r="F157" s="453"/>
      <c r="G157" s="453"/>
      <c r="H157" s="453"/>
      <c r="I157" s="453"/>
      <c r="J157" s="453"/>
      <c r="K157" s="453"/>
      <c r="L157" s="453"/>
      <c r="M157" s="453"/>
      <c r="N157" s="453"/>
      <c r="O157" s="453"/>
      <c r="P157" s="453"/>
      <c r="Q157" s="453"/>
      <c r="R157" s="453"/>
      <c r="S157" s="453"/>
      <c r="T157" s="453"/>
      <c r="U157" s="453"/>
      <c r="V157" s="454"/>
    </row>
    <row r="158" spans="4:22" ht="17.25" customHeight="1" thickBot="1" x14ac:dyDescent="0.4">
      <c r="D158" s="455"/>
      <c r="E158" s="456"/>
      <c r="F158" s="456"/>
      <c r="G158" s="456"/>
      <c r="H158" s="456"/>
      <c r="I158" s="456"/>
      <c r="J158" s="456"/>
      <c r="K158" s="456"/>
      <c r="L158" s="456"/>
      <c r="M158" s="456"/>
      <c r="N158" s="456"/>
      <c r="O158" s="456"/>
      <c r="P158" s="456"/>
      <c r="Q158" s="456"/>
      <c r="R158" s="456"/>
      <c r="S158" s="456"/>
      <c r="T158" s="456"/>
      <c r="U158" s="456"/>
      <c r="V158" s="457"/>
    </row>
    <row r="159" spans="4:22" ht="21" customHeight="1" x14ac:dyDescent="0.45">
      <c r="D159" s="241" t="str" cm="1">
        <f t="array" ref="D159:V180">_xlfn._xlws.FILTER(Sheet1!A2:S333,Sheet1!T2:T333='NORTHERN REGION ROSTER'!AD2)</f>
        <v>ALLEN, RYAN</v>
      </c>
      <c r="E159" s="255" t="str">
        <v>1026388</v>
      </c>
      <c r="F159" s="256" t="str">
        <v>KEYSTONE -GAD</v>
      </c>
      <c r="G159" s="257" t="str">
        <v>EXTRA BOARD-KS-C</v>
      </c>
      <c r="H159" s="222">
        <v>0</v>
      </c>
      <c r="I159" s="223">
        <v>0</v>
      </c>
      <c r="J159" s="224" t="str">
        <v>HE-3</v>
      </c>
      <c r="K159" s="223" t="str">
        <v>S-SD</v>
      </c>
      <c r="L159" s="224" t="str">
        <v>S-SD</v>
      </c>
      <c r="M159" s="223" t="str">
        <v>CHECK NOTE</v>
      </c>
      <c r="N159" s="224" t="str">
        <v>HE-3</v>
      </c>
      <c r="O159" s="223" t="str">
        <v>V-SD</v>
      </c>
      <c r="P159" s="224" t="str">
        <v>V-SD</v>
      </c>
      <c r="Q159" s="223">
        <v>0</v>
      </c>
      <c r="R159" s="224" t="str">
        <v>OFF</v>
      </c>
      <c r="S159" s="223">
        <v>0</v>
      </c>
      <c r="T159" s="224" t="str">
        <v>OFF</v>
      </c>
      <c r="U159" s="223" t="str">
        <v>V-SD</v>
      </c>
      <c r="V159" s="224" t="str">
        <v>V-SD</v>
      </c>
    </row>
    <row r="160" spans="4:22" ht="21" customHeight="1" x14ac:dyDescent="0.45">
      <c r="D160" s="245" t="str">
        <v>BONNER, DEVIAN</v>
      </c>
      <c r="E160" s="249" t="str">
        <v>1030404</v>
      </c>
      <c r="F160" s="250" t="str">
        <v>GREATLAKES - GAD</v>
      </c>
      <c r="G160" s="251" t="str">
        <v>EXTRA BOARD-GL-C</v>
      </c>
      <c r="H160" s="31">
        <v>0</v>
      </c>
      <c r="I160" s="227">
        <v>0</v>
      </c>
      <c r="J160" s="30" t="str">
        <v>SA-1</v>
      </c>
      <c r="K160" s="227">
        <v>0</v>
      </c>
      <c r="L160" s="30" t="str">
        <v>SA-2</v>
      </c>
      <c r="M160" s="227">
        <v>0</v>
      </c>
      <c r="N160" s="30" t="str">
        <v>SA-2</v>
      </c>
      <c r="O160" s="227">
        <v>0</v>
      </c>
      <c r="P160" s="30" t="str">
        <v>SA-3</v>
      </c>
      <c r="Q160" s="227">
        <v>0</v>
      </c>
      <c r="R160" s="30" t="str">
        <v>OFF</v>
      </c>
      <c r="S160" s="227">
        <v>0</v>
      </c>
      <c r="T160" s="30" t="str">
        <v>OFF</v>
      </c>
      <c r="U160" s="227">
        <v>0</v>
      </c>
      <c r="V160" s="30" t="str">
        <v>MT-3</v>
      </c>
    </row>
    <row r="161" spans="4:22" ht="21" customHeight="1" x14ac:dyDescent="0.45">
      <c r="D161" s="245" t="str">
        <v>BREITKREUZ, DUSTIN</v>
      </c>
      <c r="E161" s="249" t="str">
        <v>1023892</v>
      </c>
      <c r="F161" s="250" t="str">
        <v>MIDWEST - GAD</v>
      </c>
      <c r="G161" s="251" t="str">
        <v>EXTRA BOARD-MW-C</v>
      </c>
      <c r="H161" s="31">
        <v>0</v>
      </c>
      <c r="I161" s="227">
        <v>0</v>
      </c>
      <c r="J161" s="30" t="str">
        <v>QC-2</v>
      </c>
      <c r="K161" s="227">
        <v>0</v>
      </c>
      <c r="L161" s="30" t="str">
        <v>QC-2</v>
      </c>
      <c r="M161" s="227">
        <v>0</v>
      </c>
      <c r="N161" s="30" t="str">
        <v>AVAILABLE</v>
      </c>
      <c r="O161" s="227">
        <v>0</v>
      </c>
      <c r="P161" s="30" t="str">
        <v>KY-2</v>
      </c>
      <c r="Q161" s="227">
        <v>0</v>
      </c>
      <c r="R161" s="30" t="str">
        <v>OFF</v>
      </c>
      <c r="S161" s="227">
        <v>0</v>
      </c>
      <c r="T161" s="30" t="str">
        <v>OFF</v>
      </c>
      <c r="U161" s="227">
        <v>0</v>
      </c>
      <c r="V161" s="30" t="str">
        <v>QC-2</v>
      </c>
    </row>
    <row r="162" spans="4:22" ht="21" customHeight="1" x14ac:dyDescent="0.45">
      <c r="D162" s="245" t="str">
        <v>DIPRIMA, JASON</v>
      </c>
      <c r="E162" s="249" t="str">
        <v>1027201</v>
      </c>
      <c r="F162" s="250" t="str">
        <v>MIDWEST - GAD</v>
      </c>
      <c r="G162" s="251" t="str">
        <v>EXTRA BOARD-MW-A</v>
      </c>
      <c r="H162" s="31">
        <v>0</v>
      </c>
      <c r="I162" s="227">
        <v>0</v>
      </c>
      <c r="J162" s="30" t="str">
        <v>OFF</v>
      </c>
      <c r="K162" s="227">
        <v>0</v>
      </c>
      <c r="L162" s="30" t="str">
        <v>OFF</v>
      </c>
      <c r="M162" s="227">
        <v>0</v>
      </c>
      <c r="N162" s="30" t="str">
        <v>LF-3</v>
      </c>
      <c r="O162" s="227">
        <v>0</v>
      </c>
      <c r="P162" s="30" t="str">
        <v>LF-3</v>
      </c>
      <c r="Q162" s="227">
        <v>0</v>
      </c>
      <c r="R162" s="30" t="str">
        <v>SW-3-POST</v>
      </c>
      <c r="S162" s="227">
        <v>0</v>
      </c>
      <c r="T162" s="30" t="str">
        <v>QC-3</v>
      </c>
      <c r="U162" s="227">
        <v>0</v>
      </c>
      <c r="V162" s="30" t="str">
        <v>SW-3-POST</v>
      </c>
    </row>
    <row r="163" spans="4:22" ht="21" customHeight="1" x14ac:dyDescent="0.45">
      <c r="D163" s="245" t="str">
        <v>FALLINGS-AMIS, JAMISON</v>
      </c>
      <c r="E163" s="249" t="str">
        <v>1028876</v>
      </c>
      <c r="F163" s="250" t="str">
        <v>MIDWEST - GAD</v>
      </c>
      <c r="G163" s="251" t="str">
        <v>EXTRA BOARD-MW-A</v>
      </c>
      <c r="H163" s="31">
        <v>0</v>
      </c>
      <c r="I163" s="227">
        <v>0</v>
      </c>
      <c r="J163" s="30" t="str">
        <v>OFF</v>
      </c>
      <c r="K163" s="227">
        <v>0</v>
      </c>
      <c r="L163" s="30" t="str">
        <v>OFF</v>
      </c>
      <c r="M163" s="227">
        <v>0</v>
      </c>
      <c r="N163" s="30" t="str">
        <v>AVAILABLE</v>
      </c>
      <c r="O163" s="227">
        <v>0</v>
      </c>
      <c r="P163" s="30" t="str">
        <v>AVAILABLE</v>
      </c>
      <c r="Q163" s="227">
        <v>0</v>
      </c>
      <c r="R163" s="30" t="str">
        <v>QC-1</v>
      </c>
      <c r="S163" s="227">
        <v>0</v>
      </c>
      <c r="T163" s="30" t="str">
        <v>SP-1</v>
      </c>
      <c r="U163" s="227">
        <v>0</v>
      </c>
      <c r="V163" s="30" t="str">
        <v>QC-3</v>
      </c>
    </row>
    <row r="164" spans="4:22" ht="21" customHeight="1" x14ac:dyDescent="0.45">
      <c r="D164" s="245" t="str">
        <v>FLEITES, FRANK</v>
      </c>
      <c r="E164" s="249" t="str">
        <v>1030369</v>
      </c>
      <c r="F164" s="250" t="str">
        <v>KEYSTONE -GAD</v>
      </c>
      <c r="G164" s="251" t="str">
        <v>EXTRA BOARD-KS-A</v>
      </c>
      <c r="H164" s="31" t="str">
        <v>CE-R</v>
      </c>
      <c r="I164" s="227" t="str">
        <v>HOLD DOWN</v>
      </c>
      <c r="J164" s="30" t="str">
        <v>CE-1</v>
      </c>
      <c r="K164" s="227" t="str">
        <v>HOLD DOWN</v>
      </c>
      <c r="L164" s="30" t="str">
        <v>CE-1</v>
      </c>
      <c r="M164" s="227" t="str">
        <v>HOLD DOWN</v>
      </c>
      <c r="N164" s="30" t="str">
        <v>CE-2</v>
      </c>
      <c r="O164" s="227" t="str">
        <v>HOLD DOWN</v>
      </c>
      <c r="P164" s="30" t="str">
        <v>CE-2</v>
      </c>
      <c r="Q164" s="227" t="str">
        <v>HOLD DOWN</v>
      </c>
      <c r="R164" s="30" t="str">
        <v>CE-3</v>
      </c>
      <c r="S164" s="227" t="str">
        <v>HOLD DOWN</v>
      </c>
      <c r="T164" s="30" t="str">
        <v>OFF</v>
      </c>
      <c r="U164" s="227" t="str">
        <v>HOLD DOWN</v>
      </c>
      <c r="V164" s="30" t="str">
        <v>OFF</v>
      </c>
    </row>
    <row r="165" spans="4:22" ht="21" customHeight="1" x14ac:dyDescent="0.45">
      <c r="D165" s="245" t="str">
        <v>GARRETT, DARREN</v>
      </c>
      <c r="E165" s="249" t="str">
        <v>1031679</v>
      </c>
      <c r="F165" s="250" t="str">
        <v>MIDWEST - GAD</v>
      </c>
      <c r="G165" s="251" t="str">
        <v>EXTRA BOARD-MW-C</v>
      </c>
      <c r="H165" s="31">
        <v>0</v>
      </c>
      <c r="I165" s="227">
        <v>0</v>
      </c>
      <c r="J165" s="30" t="str">
        <v>AVAILABLE</v>
      </c>
      <c r="K165" s="227">
        <v>0</v>
      </c>
      <c r="L165" s="30" t="str">
        <v>KC-1</v>
      </c>
      <c r="M165" s="227">
        <v>0</v>
      </c>
      <c r="N165" s="30" t="str">
        <v>KC-1</v>
      </c>
      <c r="O165" s="227">
        <v>0</v>
      </c>
      <c r="P165" s="30" t="str">
        <v>SO-2</v>
      </c>
      <c r="Q165" s="227">
        <v>0</v>
      </c>
      <c r="R165" s="30" t="str">
        <v>OFF</v>
      </c>
      <c r="S165" s="227">
        <v>0</v>
      </c>
      <c r="T165" s="30" t="str">
        <v>OFF</v>
      </c>
      <c r="U165" s="227">
        <v>0</v>
      </c>
      <c r="V165" s="30" t="str">
        <v>SO-2</v>
      </c>
    </row>
    <row r="166" spans="4:22" ht="21" customHeight="1" x14ac:dyDescent="0.45">
      <c r="D166" s="245" t="str">
        <v>GEE, ASHLEY</v>
      </c>
      <c r="E166" s="249" t="str">
        <v>1029340</v>
      </c>
      <c r="F166" s="250" t="str">
        <v>KEYSTONE -GAD</v>
      </c>
      <c r="G166" s="251" t="str">
        <v>EXTRA BOARD-KS-A</v>
      </c>
      <c r="H166" s="31">
        <v>0</v>
      </c>
      <c r="I166" s="227">
        <v>0</v>
      </c>
      <c r="J166" s="30" t="str">
        <v>OFF</v>
      </c>
      <c r="K166" s="227">
        <v>0</v>
      </c>
      <c r="L166" s="30" t="str">
        <v>OFF</v>
      </c>
      <c r="M166" s="227">
        <v>0</v>
      </c>
      <c r="N166" s="30" t="str">
        <v>CT-1-POST</v>
      </c>
      <c r="O166" s="227">
        <v>0</v>
      </c>
      <c r="P166" s="30" t="str">
        <v>CT-1-POST</v>
      </c>
      <c r="Q166" s="227">
        <v>0</v>
      </c>
      <c r="R166" s="30" t="str">
        <v>CT-1-POST</v>
      </c>
      <c r="S166" s="227">
        <v>0</v>
      </c>
      <c r="T166" s="30" t="str">
        <v>CT-1-POST</v>
      </c>
      <c r="U166" s="227">
        <v>0</v>
      </c>
      <c r="V166" s="30" t="str">
        <v>CT-1-POST</v>
      </c>
    </row>
    <row r="167" spans="4:22" ht="21" customHeight="1" x14ac:dyDescent="0.45">
      <c r="D167" s="245" t="str">
        <v>GRUBBS, TUJUANA</v>
      </c>
      <c r="E167" s="249" t="str">
        <v>1028259</v>
      </c>
      <c r="F167" s="250" t="str">
        <v>KEYSTONE -GAD</v>
      </c>
      <c r="G167" s="251" t="str">
        <v>EXTRA BOARD-KS-C</v>
      </c>
      <c r="H167" s="31">
        <v>0</v>
      </c>
      <c r="I167" s="227">
        <v>0</v>
      </c>
      <c r="J167" s="30" t="str">
        <v>DH-3</v>
      </c>
      <c r="K167" s="227">
        <v>0</v>
      </c>
      <c r="L167" s="30" t="str">
        <v>DH-3</v>
      </c>
      <c r="M167" s="227">
        <v>0</v>
      </c>
      <c r="N167" s="30" t="str">
        <v>DH-3</v>
      </c>
      <c r="O167" s="227">
        <v>0</v>
      </c>
      <c r="P167" s="30" t="str">
        <v>DT-3</v>
      </c>
      <c r="Q167" s="227">
        <v>0</v>
      </c>
      <c r="R167" s="30" t="str">
        <v>OFF</v>
      </c>
      <c r="S167" s="227">
        <v>0</v>
      </c>
      <c r="T167" s="30" t="str">
        <v>OFF</v>
      </c>
      <c r="U167" s="227">
        <v>0</v>
      </c>
      <c r="V167" s="30" t="str">
        <v>DT-1</v>
      </c>
    </row>
    <row r="168" spans="4:22" ht="21" customHeight="1" x14ac:dyDescent="0.45">
      <c r="D168" s="245" t="str">
        <v>HESSELTINE, BRAEDEN</v>
      </c>
      <c r="E168" s="249" t="str">
        <v>1024137</v>
      </c>
      <c r="F168" s="250" t="str">
        <v>GREATLAKES - GAD</v>
      </c>
      <c r="G168" s="251" t="str">
        <v>EXTRA BOARD-GL-C</v>
      </c>
      <c r="H168" s="31">
        <v>0</v>
      </c>
      <c r="I168" s="227">
        <v>0</v>
      </c>
      <c r="J168" s="30" t="str">
        <v>LF-2</v>
      </c>
      <c r="K168" s="227">
        <v>0</v>
      </c>
      <c r="L168" s="30" t="str">
        <v>LF-2</v>
      </c>
      <c r="M168" s="227">
        <v>0</v>
      </c>
      <c r="N168" s="30" t="str">
        <v>CG-3</v>
      </c>
      <c r="O168" s="227">
        <v>0</v>
      </c>
      <c r="P168" s="30" t="str">
        <v>AVAILABLE</v>
      </c>
      <c r="Q168" s="227">
        <v>0</v>
      </c>
      <c r="R168" s="30" t="str">
        <v>OFF</v>
      </c>
      <c r="S168" s="227">
        <v>0</v>
      </c>
      <c r="T168" s="30" t="str">
        <v>OFF</v>
      </c>
      <c r="U168" s="227">
        <v>0</v>
      </c>
      <c r="V168" s="30" t="str">
        <v>LF-3</v>
      </c>
    </row>
    <row r="169" spans="4:22" ht="21" customHeight="1" x14ac:dyDescent="0.45">
      <c r="D169" s="245" t="str">
        <v>JOHNSON, EMILY</v>
      </c>
      <c r="E169" s="249" t="str">
        <v>1014067</v>
      </c>
      <c r="F169" s="250" t="str">
        <v>GREATLAKES - GAD</v>
      </c>
      <c r="G169" s="251" t="str">
        <v>EXTRA BOARD-GL-B</v>
      </c>
      <c r="H169" s="31">
        <v>0</v>
      </c>
      <c r="I169" s="227">
        <v>0</v>
      </c>
      <c r="J169" s="30" t="str">
        <v>TT-3</v>
      </c>
      <c r="K169" s="227">
        <v>0</v>
      </c>
      <c r="L169" s="30" t="str">
        <v>TT-3</v>
      </c>
      <c r="M169" s="227">
        <v>0</v>
      </c>
      <c r="N169" s="30" t="str">
        <v>OFF</v>
      </c>
      <c r="O169" s="227">
        <v>0</v>
      </c>
      <c r="P169" s="30" t="str">
        <v>OFF</v>
      </c>
      <c r="Q169" s="227">
        <v>0</v>
      </c>
      <c r="R169" s="30" t="str">
        <v>EL-3</v>
      </c>
      <c r="S169" s="227" t="str">
        <v>S-SD</v>
      </c>
      <c r="T169" s="30" t="str">
        <v>S-SD</v>
      </c>
      <c r="U169" s="227" t="str">
        <v>CHECK NOTE</v>
      </c>
      <c r="V169" s="30" t="str">
        <v>EL-3</v>
      </c>
    </row>
    <row r="170" spans="4:22" ht="21" customHeight="1" x14ac:dyDescent="0.45">
      <c r="D170" s="245" t="str">
        <v>MCGOLDRICK, MATT</v>
      </c>
      <c r="E170" s="249" t="str">
        <v>1031115</v>
      </c>
      <c r="F170" s="250" t="str">
        <v>GREATLAKES - GAD</v>
      </c>
      <c r="G170" s="251" t="str">
        <v>EXTRA BOARD-GL-A</v>
      </c>
      <c r="H170" s="31">
        <v>0</v>
      </c>
      <c r="I170" s="227">
        <v>0</v>
      </c>
      <c r="J170" s="30" t="str">
        <v>OFF</v>
      </c>
      <c r="K170" s="227">
        <v>0</v>
      </c>
      <c r="L170" s="30" t="str">
        <v>OFF</v>
      </c>
      <c r="M170" s="227">
        <v>0</v>
      </c>
      <c r="N170" s="30" t="str">
        <v>CD-2</v>
      </c>
      <c r="O170" s="227">
        <v>0</v>
      </c>
      <c r="P170" s="30" t="str">
        <v>CD-3</v>
      </c>
      <c r="Q170" s="227">
        <v>0</v>
      </c>
      <c r="R170" s="30" t="str">
        <v>CD-3</v>
      </c>
      <c r="S170" s="227">
        <v>0</v>
      </c>
      <c r="T170" s="30" t="str">
        <v>AVAILABLE</v>
      </c>
      <c r="U170" s="227">
        <v>0</v>
      </c>
      <c r="V170" s="30" t="str">
        <v>CD-1</v>
      </c>
    </row>
    <row r="171" spans="4:22" ht="21" customHeight="1" x14ac:dyDescent="0.45">
      <c r="D171" s="245" t="str">
        <v>MCINTYRE, SHAE</v>
      </c>
      <c r="E171" s="249" t="str">
        <v>1028383</v>
      </c>
      <c r="F171" s="250" t="str">
        <v>GREATLAKES - GAD</v>
      </c>
      <c r="G171" s="251" t="str">
        <v>EXTRA BOARD-GL-C</v>
      </c>
      <c r="H171" s="31">
        <v>0</v>
      </c>
      <c r="I171" s="227" t="str">
        <v>FMLA</v>
      </c>
      <c r="J171" s="30" t="str">
        <v>FMLA</v>
      </c>
      <c r="K171" s="227" t="str">
        <v>FMLA</v>
      </c>
      <c r="L171" s="30" t="str">
        <v>FMLA</v>
      </c>
      <c r="M171" s="227" t="str">
        <v>FMLA</v>
      </c>
      <c r="N171" s="30" t="str">
        <v>FMLA</v>
      </c>
      <c r="O171" s="227" t="str">
        <v>FMLA</v>
      </c>
      <c r="P171" s="30" t="str">
        <v>FMLA</v>
      </c>
      <c r="Q171" s="227" t="str">
        <v>FMLA</v>
      </c>
      <c r="R171" s="30" t="str">
        <v>FMLA</v>
      </c>
      <c r="S171" s="227" t="str">
        <v>FMLA</v>
      </c>
      <c r="T171" s="30" t="str">
        <v>FMLA</v>
      </c>
      <c r="U171" s="227" t="str">
        <v>FMLA</v>
      </c>
      <c r="V171" s="30" t="str">
        <v>FMLA</v>
      </c>
    </row>
    <row r="172" spans="4:22" ht="21" customHeight="1" x14ac:dyDescent="0.45">
      <c r="D172" s="245" t="str">
        <v>MIMS, CHRISTOPHER</v>
      </c>
      <c r="E172" s="249" t="str">
        <v>1030366</v>
      </c>
      <c r="F172" s="250" t="str">
        <v>GREATLAKES - GAD</v>
      </c>
      <c r="G172" s="251" t="str">
        <v>EXTRA BOARD-GL-B</v>
      </c>
      <c r="H172" s="31">
        <v>0</v>
      </c>
      <c r="I172" s="227">
        <v>0</v>
      </c>
      <c r="J172" s="30" t="str">
        <v>RL-3</v>
      </c>
      <c r="K172" s="227">
        <v>0</v>
      </c>
      <c r="L172" s="30" t="str">
        <v>RL-3</v>
      </c>
      <c r="M172" s="227">
        <v>0</v>
      </c>
      <c r="N172" s="30" t="str">
        <v>OFF</v>
      </c>
      <c r="O172" s="227">
        <v>0</v>
      </c>
      <c r="P172" s="30" t="str">
        <v>OFF</v>
      </c>
      <c r="Q172" s="227">
        <v>0</v>
      </c>
      <c r="R172" s="30" t="str">
        <v>AVAILABLE</v>
      </c>
      <c r="S172" s="227">
        <v>0</v>
      </c>
      <c r="T172" s="30" t="str">
        <v>AVAILABLE</v>
      </c>
      <c r="U172" s="227">
        <v>0</v>
      </c>
      <c r="V172" s="30" t="str">
        <v>MT-2</v>
      </c>
    </row>
    <row r="173" spans="4:22" ht="21" customHeight="1" x14ac:dyDescent="0.45">
      <c r="D173" s="245" t="str">
        <v>REEVES, JULIAN</v>
      </c>
      <c r="E173" s="249" t="str">
        <v>1030405</v>
      </c>
      <c r="F173" s="250" t="str">
        <v>KEYSTONE -GAD</v>
      </c>
      <c r="G173" s="251" t="str">
        <v>EXTRA BOARD-KS-A</v>
      </c>
      <c r="H173" s="31">
        <v>0</v>
      </c>
      <c r="I173" s="227">
        <v>0</v>
      </c>
      <c r="J173" s="30" t="str">
        <v>OFF</v>
      </c>
      <c r="K173" s="227">
        <v>0</v>
      </c>
      <c r="L173" s="30" t="str">
        <v>OFF</v>
      </c>
      <c r="M173" s="227">
        <v>0</v>
      </c>
      <c r="N173" s="30" t="str">
        <v>AL-2</v>
      </c>
      <c r="O173" s="227">
        <v>0</v>
      </c>
      <c r="P173" s="30" t="str">
        <v>DH-3</v>
      </c>
      <c r="Q173" s="227" t="str">
        <v>S-SD</v>
      </c>
      <c r="R173" s="30" t="str">
        <v>S-SD</v>
      </c>
      <c r="S173" s="227">
        <v>0</v>
      </c>
      <c r="T173" s="30" t="str">
        <v>AVAILABLE</v>
      </c>
      <c r="U173" s="227">
        <v>0</v>
      </c>
      <c r="V173" s="30" t="str">
        <v>DH-3</v>
      </c>
    </row>
    <row r="174" spans="4:22" ht="21" customHeight="1" x14ac:dyDescent="0.45">
      <c r="D174" s="245" t="str">
        <v>REYNOLDS, RO</v>
      </c>
      <c r="E174" s="249" t="str">
        <v>1031687</v>
      </c>
      <c r="F174" s="250" t="str">
        <v>KEYSTONE -GAD</v>
      </c>
      <c r="G174" s="251" t="str">
        <v>EXTRA BOARD-KS-B</v>
      </c>
      <c r="H174" s="31">
        <v>0</v>
      </c>
      <c r="I174" s="227">
        <v>0</v>
      </c>
      <c r="J174" s="30" t="str">
        <v>CT-1</v>
      </c>
      <c r="K174" s="227">
        <v>0</v>
      </c>
      <c r="L174" s="30" t="str">
        <v>CT-1</v>
      </c>
      <c r="M174" s="227">
        <v>0</v>
      </c>
      <c r="N174" s="30" t="str">
        <v>OFF</v>
      </c>
      <c r="O174" s="227">
        <v>0</v>
      </c>
      <c r="P174" s="30" t="str">
        <v>OFF</v>
      </c>
      <c r="Q174" s="227">
        <v>0</v>
      </c>
      <c r="R174" s="30" t="str">
        <v>CT-3</v>
      </c>
      <c r="S174" s="227">
        <v>0</v>
      </c>
      <c r="T174" s="30" t="str">
        <v>PE-3</v>
      </c>
      <c r="U174" s="227">
        <v>0</v>
      </c>
      <c r="V174" s="30" t="str">
        <v>CE-3</v>
      </c>
    </row>
    <row r="175" spans="4:22" ht="21" customHeight="1" x14ac:dyDescent="0.45">
      <c r="D175" s="245" t="str">
        <v>SLANEY, MATTHEW</v>
      </c>
      <c r="E175" s="249" t="str">
        <v>1026431</v>
      </c>
      <c r="F175" s="250" t="str">
        <v>GREATLAKES - GAD</v>
      </c>
      <c r="G175" s="251" t="str">
        <v>EXTRA BOARD-GL-A</v>
      </c>
      <c r="H175" s="31">
        <v>0</v>
      </c>
      <c r="I175" s="227">
        <v>0</v>
      </c>
      <c r="J175" s="30" t="str">
        <v>OFF</v>
      </c>
      <c r="K175" s="227">
        <v>0</v>
      </c>
      <c r="L175" s="30" t="str">
        <v>OFF</v>
      </c>
      <c r="M175" s="227">
        <v>0</v>
      </c>
      <c r="N175" s="30" t="str">
        <v>HE-1</v>
      </c>
      <c r="O175" s="227">
        <v>0</v>
      </c>
      <c r="P175" s="30" t="str">
        <v>MV-1</v>
      </c>
      <c r="Q175" s="227">
        <v>0</v>
      </c>
      <c r="R175" s="30" t="str">
        <v>HE-3</v>
      </c>
      <c r="S175" s="227">
        <v>0</v>
      </c>
      <c r="T175" s="30" t="str">
        <v>EL-3</v>
      </c>
      <c r="U175" s="227">
        <v>0</v>
      </c>
      <c r="V175" s="30" t="str">
        <v>AVAILABLE</v>
      </c>
    </row>
    <row r="176" spans="4:22" ht="21" customHeight="1" x14ac:dyDescent="0.45">
      <c r="D176" s="245" t="str">
        <v>TAYLOR, JASMINE</v>
      </c>
      <c r="E176" s="249" t="str">
        <v>1026382</v>
      </c>
      <c r="F176" s="250" t="str">
        <v>GREATLAKES - GAD</v>
      </c>
      <c r="G176" s="251" t="str">
        <v>EXTRA BOARD-GL-A</v>
      </c>
      <c r="H176" s="31">
        <v>0</v>
      </c>
      <c r="I176" s="227">
        <v>0</v>
      </c>
      <c r="J176" s="30" t="str">
        <v>OFF</v>
      </c>
      <c r="K176" s="227" t="str">
        <v>OVERTIME</v>
      </c>
      <c r="L176" s="30" t="str">
        <v>KN-2</v>
      </c>
      <c r="M176" s="227">
        <v>0</v>
      </c>
      <c r="N176" s="30" t="str">
        <v>SA-3</v>
      </c>
      <c r="O176" s="227">
        <v>0</v>
      </c>
      <c r="P176" s="30" t="str">
        <v>KN-3</v>
      </c>
      <c r="Q176" s="227">
        <v>0</v>
      </c>
      <c r="R176" s="30" t="str">
        <v>SA-3</v>
      </c>
      <c r="S176" s="227">
        <v>0</v>
      </c>
      <c r="T176" s="30" t="str">
        <v>AVAILABLE</v>
      </c>
      <c r="U176" s="227">
        <v>0</v>
      </c>
      <c r="V176" s="30" t="str">
        <v>SA-1</v>
      </c>
    </row>
    <row r="177" spans="4:22" ht="21" customHeight="1" x14ac:dyDescent="0.45">
      <c r="D177" s="245" t="str">
        <v>TEKLU, BETH</v>
      </c>
      <c r="E177" s="249" t="str">
        <v>1031123</v>
      </c>
      <c r="F177" s="250" t="str">
        <v>KEYSTONE -GAD</v>
      </c>
      <c r="G177" s="251" t="str">
        <v>EXTRA BOARD-KS-C</v>
      </c>
      <c r="H177" s="31">
        <v>0</v>
      </c>
      <c r="I177" s="227">
        <v>0</v>
      </c>
      <c r="J177" s="30" t="str">
        <v>PE-2</v>
      </c>
      <c r="K177" s="227">
        <v>0</v>
      </c>
      <c r="L177" s="30" t="str">
        <v>PE-3</v>
      </c>
      <c r="M177" s="227">
        <v>0</v>
      </c>
      <c r="N177" s="30" t="str">
        <v>PE-3</v>
      </c>
      <c r="O177" s="227">
        <v>0</v>
      </c>
      <c r="P177" s="30" t="str">
        <v>AVAILABLE</v>
      </c>
      <c r="Q177" s="227">
        <v>0</v>
      </c>
      <c r="R177" s="30" t="str">
        <v>OFF</v>
      </c>
      <c r="S177" s="227">
        <v>0</v>
      </c>
      <c r="T177" s="30" t="str">
        <v>OFF</v>
      </c>
      <c r="U177" s="227">
        <v>0</v>
      </c>
      <c r="V177" s="30" t="str">
        <v>AVAILABLE</v>
      </c>
    </row>
    <row r="178" spans="4:22" ht="21" customHeight="1" x14ac:dyDescent="0.45">
      <c r="D178" s="245" t="str">
        <v>TUCKER, JUSTIN</v>
      </c>
      <c r="E178" s="249" t="str">
        <v>1000910</v>
      </c>
      <c r="F178" s="250" t="str">
        <v>KEYSTONE -GAD</v>
      </c>
      <c r="G178" s="251" t="str">
        <v>EXTRA BOARD-KS-B</v>
      </c>
      <c r="H178" s="31">
        <v>0</v>
      </c>
      <c r="I178" s="227">
        <v>0</v>
      </c>
      <c r="J178" s="30" t="str">
        <v>RL-1-POST</v>
      </c>
      <c r="K178" s="227">
        <v>0</v>
      </c>
      <c r="L178" s="30" t="str">
        <v>HE-1</v>
      </c>
      <c r="M178" s="227">
        <v>0</v>
      </c>
      <c r="N178" s="30" t="str">
        <v>OFF</v>
      </c>
      <c r="O178" s="227">
        <v>0</v>
      </c>
      <c r="P178" s="30" t="str">
        <v>OFF</v>
      </c>
      <c r="Q178" s="227" t="str">
        <v>DONE</v>
      </c>
      <c r="R178" s="30" t="str">
        <v>AL-1</v>
      </c>
      <c r="S178" s="227">
        <v>0</v>
      </c>
      <c r="T178" s="30" t="str">
        <v>AL-1</v>
      </c>
      <c r="U178" s="227">
        <v>0</v>
      </c>
      <c r="V178" s="30" t="str">
        <v>RL-2-POST</v>
      </c>
    </row>
    <row r="179" spans="4:22" ht="21" customHeight="1" x14ac:dyDescent="0.45">
      <c r="D179" s="245" t="str">
        <v>WAGUESPACK, SAMMY</v>
      </c>
      <c r="E179" s="249" t="str">
        <v>1025503</v>
      </c>
      <c r="F179" s="250" t="str">
        <v>GREATLAKES - GAD</v>
      </c>
      <c r="G179" s="251" t="str">
        <v>EXTRA BOARD-GL-C</v>
      </c>
      <c r="H179" s="31">
        <v>0</v>
      </c>
      <c r="I179" s="227">
        <v>0</v>
      </c>
      <c r="J179" s="30" t="str">
        <v>CG-1</v>
      </c>
      <c r="K179" s="227">
        <v>0</v>
      </c>
      <c r="L179" s="30" t="str">
        <v>SO-2</v>
      </c>
      <c r="M179" s="227">
        <v>0</v>
      </c>
      <c r="N179" s="30" t="str">
        <v>TT-3</v>
      </c>
      <c r="O179" s="227">
        <v>0</v>
      </c>
      <c r="P179" s="30" t="str">
        <v>TT-3</v>
      </c>
      <c r="Q179" s="227">
        <v>0</v>
      </c>
      <c r="R179" s="30" t="str">
        <v>OFF</v>
      </c>
      <c r="S179" s="227">
        <v>0</v>
      </c>
      <c r="T179" s="30" t="str">
        <v>OFF</v>
      </c>
      <c r="U179" s="227">
        <v>0</v>
      </c>
      <c r="V179" s="30" t="str">
        <v>MT-1-POST</v>
      </c>
    </row>
    <row r="180" spans="4:22" ht="21" customHeight="1" x14ac:dyDescent="0.45">
      <c r="D180" s="245" t="str">
        <v>WASHINGTON, JOHN</v>
      </c>
      <c r="E180" s="249" t="str">
        <v>1031683</v>
      </c>
      <c r="F180" s="250" t="str">
        <v>MIDWEST - GAD</v>
      </c>
      <c r="G180" s="251" t="str">
        <v>EXTRA BOARD-MW-C</v>
      </c>
      <c r="H180" s="31">
        <v>0</v>
      </c>
      <c r="I180" s="227">
        <v>0</v>
      </c>
      <c r="J180" s="30" t="str">
        <v>SP-3</v>
      </c>
      <c r="K180" s="227">
        <v>0</v>
      </c>
      <c r="L180" s="30" t="str">
        <v>AVAILABLE</v>
      </c>
      <c r="M180" s="227">
        <v>0</v>
      </c>
      <c r="N180" s="30" t="str">
        <v>SW-1</v>
      </c>
      <c r="O180" s="227">
        <v>0</v>
      </c>
      <c r="P180" s="30" t="str">
        <v>AVAILABLE</v>
      </c>
      <c r="Q180" s="227" t="str">
        <v>OVERTIME</v>
      </c>
      <c r="R180" s="30" t="str">
        <v>SO-2</v>
      </c>
      <c r="S180" s="227" t="str">
        <v>OVERTIME</v>
      </c>
      <c r="T180" s="30" t="str">
        <v>SO-2</v>
      </c>
      <c r="U180" s="227">
        <v>0</v>
      </c>
      <c r="V180" s="30" t="str">
        <v>AVAILABLE</v>
      </c>
    </row>
    <row r="181" spans="4:22" ht="21" customHeight="1" x14ac:dyDescent="0.45">
      <c r="D181" s="245"/>
      <c r="E181" s="249"/>
      <c r="F181" s="250"/>
      <c r="G181" s="251"/>
      <c r="H181" s="31"/>
      <c r="I181" s="227"/>
      <c r="J181" s="30"/>
      <c r="K181" s="227"/>
      <c r="L181" s="30"/>
      <c r="M181" s="227"/>
      <c r="N181" s="30"/>
      <c r="O181" s="227"/>
      <c r="P181" s="30"/>
      <c r="Q181" s="227"/>
      <c r="R181" s="30"/>
      <c r="S181" s="227"/>
      <c r="T181" s="30"/>
      <c r="U181" s="227"/>
      <c r="V181" s="30"/>
    </row>
    <row r="182" spans="4:22" ht="21" customHeight="1" x14ac:dyDescent="0.45">
      <c r="D182" s="245"/>
      <c r="E182" s="249"/>
      <c r="F182" s="250"/>
      <c r="G182" s="251"/>
      <c r="H182" s="31"/>
      <c r="I182" s="227"/>
      <c r="J182" s="30"/>
      <c r="K182" s="227"/>
      <c r="L182" s="30"/>
      <c r="M182" s="227"/>
      <c r="N182" s="30"/>
      <c r="O182" s="227"/>
      <c r="P182" s="30"/>
      <c r="Q182" s="227"/>
      <c r="R182" s="30"/>
      <c r="S182" s="227"/>
      <c r="T182" s="30"/>
      <c r="U182" s="227"/>
      <c r="V182" s="30"/>
    </row>
    <row r="183" spans="4:22" ht="21" customHeight="1" x14ac:dyDescent="0.45">
      <c r="D183" s="245"/>
      <c r="E183" s="249"/>
      <c r="F183" s="250"/>
      <c r="G183" s="251"/>
      <c r="H183" s="31"/>
      <c r="I183" s="227"/>
      <c r="J183" s="30"/>
      <c r="K183" s="227"/>
      <c r="L183" s="30"/>
      <c r="M183" s="227"/>
      <c r="N183" s="30"/>
      <c r="O183" s="227"/>
      <c r="P183" s="30"/>
      <c r="Q183" s="227"/>
      <c r="R183" s="30"/>
      <c r="S183" s="227"/>
      <c r="T183" s="30"/>
      <c r="U183" s="227"/>
      <c r="V183" s="30"/>
    </row>
    <row r="184" spans="4:22" ht="21" customHeight="1" x14ac:dyDescent="0.45">
      <c r="D184" s="245"/>
      <c r="E184" s="249"/>
      <c r="F184" s="250"/>
      <c r="G184" s="251"/>
      <c r="H184" s="31"/>
      <c r="I184" s="227"/>
      <c r="J184" s="30"/>
      <c r="K184" s="227"/>
      <c r="L184" s="30"/>
      <c r="M184" s="227"/>
      <c r="N184" s="30"/>
      <c r="O184" s="227"/>
      <c r="P184" s="30"/>
      <c r="Q184" s="227"/>
      <c r="R184" s="30"/>
      <c r="S184" s="227"/>
      <c r="T184" s="30"/>
      <c r="U184" s="227"/>
      <c r="V184" s="30"/>
    </row>
    <row r="185" spans="4:22" ht="21" customHeight="1" x14ac:dyDescent="0.45">
      <c r="D185" s="245"/>
      <c r="E185" s="249"/>
      <c r="F185" s="250"/>
      <c r="G185" s="251"/>
      <c r="H185" s="31"/>
      <c r="I185" s="227"/>
      <c r="J185" s="30"/>
      <c r="K185" s="227"/>
      <c r="L185" s="30"/>
      <c r="M185" s="227"/>
      <c r="N185" s="30"/>
      <c r="O185" s="227"/>
      <c r="P185" s="30"/>
      <c r="Q185" s="227"/>
      <c r="R185" s="30"/>
      <c r="S185" s="227"/>
      <c r="T185" s="30"/>
      <c r="U185" s="227"/>
      <c r="V185" s="30"/>
    </row>
    <row r="186" spans="4:22" ht="21" customHeight="1" x14ac:dyDescent="0.45">
      <c r="D186" s="245"/>
      <c r="E186" s="249"/>
      <c r="F186" s="250"/>
      <c r="G186" s="251"/>
      <c r="H186" s="31"/>
      <c r="I186" s="227"/>
      <c r="J186" s="30"/>
      <c r="K186" s="227"/>
      <c r="L186" s="30"/>
      <c r="M186" s="227"/>
      <c r="N186" s="30"/>
      <c r="O186" s="227"/>
      <c r="P186" s="30"/>
      <c r="Q186" s="227"/>
      <c r="R186" s="30"/>
      <c r="S186" s="227"/>
      <c r="T186" s="30"/>
      <c r="U186" s="227"/>
      <c r="V186" s="30"/>
    </row>
    <row r="187" spans="4:22" ht="21" customHeight="1" x14ac:dyDescent="0.45">
      <c r="D187" s="245"/>
      <c r="E187" s="249"/>
      <c r="F187" s="250"/>
      <c r="G187" s="251"/>
      <c r="H187" s="31"/>
      <c r="I187" s="227"/>
      <c r="J187" s="30"/>
      <c r="K187" s="227"/>
      <c r="L187" s="30"/>
      <c r="M187" s="227"/>
      <c r="N187" s="30"/>
      <c r="O187" s="227"/>
      <c r="P187" s="30"/>
      <c r="Q187" s="227"/>
      <c r="R187" s="30"/>
      <c r="S187" s="227"/>
      <c r="T187" s="30"/>
      <c r="U187" s="227"/>
      <c r="V187" s="30"/>
    </row>
    <row r="188" spans="4:22" ht="21" customHeight="1" x14ac:dyDescent="0.45">
      <c r="D188" s="245"/>
      <c r="E188" s="249"/>
      <c r="F188" s="250"/>
      <c r="G188" s="251"/>
      <c r="H188" s="31"/>
      <c r="I188" s="227"/>
      <c r="J188" s="30"/>
      <c r="K188" s="227"/>
      <c r="L188" s="30"/>
      <c r="M188" s="227"/>
      <c r="N188" s="30"/>
      <c r="O188" s="227"/>
      <c r="P188" s="30"/>
      <c r="Q188" s="227"/>
      <c r="R188" s="30"/>
      <c r="S188" s="227"/>
      <c r="T188" s="30"/>
      <c r="U188" s="227"/>
      <c r="V188" s="30"/>
    </row>
    <row r="189" spans="4:22" ht="21" customHeight="1" x14ac:dyDescent="0.45">
      <c r="D189" s="245"/>
      <c r="E189" s="249"/>
      <c r="F189" s="250"/>
      <c r="G189" s="251"/>
      <c r="H189" s="31"/>
      <c r="I189" s="227"/>
      <c r="J189" s="30"/>
      <c r="K189" s="227"/>
      <c r="L189" s="30"/>
      <c r="M189" s="227"/>
      <c r="N189" s="30"/>
      <c r="O189" s="227"/>
      <c r="P189" s="30"/>
      <c r="Q189" s="227"/>
      <c r="R189" s="30"/>
      <c r="S189" s="227"/>
      <c r="T189" s="30"/>
      <c r="U189" s="227"/>
      <c r="V189" s="30"/>
    </row>
    <row r="190" spans="4:22" ht="21" customHeight="1" x14ac:dyDescent="0.45">
      <c r="D190" s="245"/>
      <c r="E190" s="249"/>
      <c r="F190" s="250"/>
      <c r="G190" s="251"/>
      <c r="H190" s="31"/>
      <c r="I190" s="227"/>
      <c r="J190" s="30"/>
      <c r="K190" s="227"/>
      <c r="L190" s="30"/>
      <c r="M190" s="227"/>
      <c r="N190" s="30"/>
      <c r="O190" s="227"/>
      <c r="P190" s="30"/>
      <c r="Q190" s="227"/>
      <c r="R190" s="30"/>
      <c r="S190" s="227"/>
      <c r="T190" s="30"/>
      <c r="U190" s="227"/>
      <c r="V190" s="30"/>
    </row>
    <row r="191" spans="4:22" ht="21" customHeight="1" x14ac:dyDescent="0.45">
      <c r="D191" s="245"/>
      <c r="E191" s="249"/>
      <c r="F191" s="250"/>
      <c r="G191" s="251"/>
      <c r="H191" s="31"/>
      <c r="I191" s="227"/>
      <c r="J191" s="30"/>
      <c r="K191" s="227"/>
      <c r="L191" s="30"/>
      <c r="M191" s="227"/>
      <c r="N191" s="30"/>
      <c r="O191" s="227"/>
      <c r="P191" s="30"/>
      <c r="Q191" s="227"/>
      <c r="R191" s="30"/>
      <c r="S191" s="227"/>
      <c r="T191" s="30"/>
      <c r="U191" s="227"/>
      <c r="V191" s="30"/>
    </row>
    <row r="192" spans="4:22" ht="21" customHeight="1" x14ac:dyDescent="0.45">
      <c r="D192" s="245"/>
      <c r="E192" s="249"/>
      <c r="F192" s="250"/>
      <c r="G192" s="251"/>
      <c r="H192" s="31"/>
      <c r="I192" s="227"/>
      <c r="J192" s="30"/>
      <c r="K192" s="227"/>
      <c r="L192" s="30"/>
      <c r="M192" s="227"/>
      <c r="N192" s="30"/>
      <c r="O192" s="227"/>
      <c r="P192" s="30"/>
      <c r="Q192" s="227"/>
      <c r="R192" s="30"/>
      <c r="S192" s="227"/>
      <c r="T192" s="30"/>
      <c r="U192" s="227"/>
      <c r="V192" s="30"/>
    </row>
    <row r="193" spans="4:22" ht="21" customHeight="1" x14ac:dyDescent="0.45">
      <c r="D193" s="245"/>
      <c r="E193" s="249"/>
      <c r="F193" s="250"/>
      <c r="G193" s="251"/>
      <c r="H193" s="31"/>
      <c r="I193" s="227"/>
      <c r="J193" s="30"/>
      <c r="K193" s="227"/>
      <c r="L193" s="30"/>
      <c r="M193" s="227"/>
      <c r="N193" s="30"/>
      <c r="O193" s="227"/>
      <c r="P193" s="30"/>
      <c r="Q193" s="227"/>
      <c r="R193" s="30"/>
      <c r="S193" s="227"/>
      <c r="T193" s="30"/>
      <c r="U193" s="227"/>
      <c r="V193" s="30"/>
    </row>
    <row r="194" spans="4:22" ht="21" customHeight="1" x14ac:dyDescent="0.45">
      <c r="D194" s="245"/>
      <c r="E194" s="249"/>
      <c r="F194" s="250"/>
      <c r="G194" s="251"/>
      <c r="H194" s="31"/>
      <c r="I194" s="227"/>
      <c r="J194" s="30"/>
      <c r="K194" s="227"/>
      <c r="L194" s="30"/>
      <c r="M194" s="227"/>
      <c r="N194" s="30"/>
      <c r="O194" s="227"/>
      <c r="P194" s="30"/>
      <c r="Q194" s="227"/>
      <c r="R194" s="30"/>
      <c r="S194" s="227"/>
      <c r="T194" s="30"/>
      <c r="U194" s="227"/>
      <c r="V194" s="30"/>
    </row>
    <row r="195" spans="4:22" ht="21" customHeight="1" x14ac:dyDescent="0.45">
      <c r="D195" s="245"/>
      <c r="E195" s="249"/>
      <c r="F195" s="250"/>
      <c r="G195" s="251"/>
      <c r="H195" s="31"/>
      <c r="I195" s="227"/>
      <c r="J195" s="30"/>
      <c r="K195" s="227"/>
      <c r="L195" s="30"/>
      <c r="M195" s="227"/>
      <c r="N195" s="30"/>
      <c r="O195" s="227"/>
      <c r="P195" s="30"/>
      <c r="Q195" s="227"/>
      <c r="R195" s="30"/>
      <c r="S195" s="227"/>
      <c r="T195" s="30"/>
      <c r="U195" s="227"/>
      <c r="V195" s="30"/>
    </row>
    <row r="196" spans="4:22" ht="21" customHeight="1" x14ac:dyDescent="0.45">
      <c r="D196" s="245"/>
      <c r="E196" s="249"/>
      <c r="F196" s="250"/>
      <c r="G196" s="251"/>
      <c r="H196" s="31"/>
      <c r="I196" s="227"/>
      <c r="J196" s="30"/>
      <c r="K196" s="227"/>
      <c r="L196" s="30"/>
      <c r="M196" s="227"/>
      <c r="N196" s="30"/>
      <c r="O196" s="227"/>
      <c r="P196" s="30"/>
      <c r="Q196" s="227"/>
      <c r="R196" s="30"/>
      <c r="S196" s="227"/>
      <c r="T196" s="30"/>
      <c r="U196" s="227"/>
      <c r="V196" s="30"/>
    </row>
    <row r="197" spans="4:22" ht="21" customHeight="1" x14ac:dyDescent="0.45">
      <c r="D197" s="245"/>
      <c r="E197" s="249"/>
      <c r="F197" s="250"/>
      <c r="G197" s="251"/>
      <c r="H197" s="31"/>
      <c r="I197" s="227"/>
      <c r="J197" s="30"/>
      <c r="K197" s="227"/>
      <c r="L197" s="30"/>
      <c r="M197" s="227"/>
      <c r="N197" s="30"/>
      <c r="O197" s="227"/>
      <c r="P197" s="30"/>
      <c r="Q197" s="227"/>
      <c r="R197" s="30"/>
      <c r="S197" s="227"/>
      <c r="T197" s="30"/>
      <c r="U197" s="227"/>
      <c r="V197" s="30"/>
    </row>
    <row r="198" spans="4:22" ht="21" customHeight="1" x14ac:dyDescent="0.45">
      <c r="D198" s="245"/>
      <c r="E198" s="249"/>
      <c r="F198" s="250"/>
      <c r="G198" s="251"/>
      <c r="H198" s="31"/>
      <c r="I198" s="227"/>
      <c r="J198" s="30"/>
      <c r="K198" s="227"/>
      <c r="L198" s="30"/>
      <c r="M198" s="227"/>
      <c r="N198" s="30"/>
      <c r="O198" s="227"/>
      <c r="P198" s="30"/>
      <c r="Q198" s="227"/>
      <c r="R198" s="30"/>
      <c r="S198" s="227"/>
      <c r="T198" s="30"/>
      <c r="U198" s="227"/>
      <c r="V198" s="30"/>
    </row>
    <row r="199" spans="4:22" ht="21" customHeight="1" x14ac:dyDescent="0.45">
      <c r="D199" s="245"/>
      <c r="E199" s="249"/>
      <c r="F199" s="250"/>
      <c r="G199" s="251"/>
      <c r="H199" s="31"/>
      <c r="I199" s="227"/>
      <c r="J199" s="30"/>
      <c r="K199" s="227"/>
      <c r="L199" s="30"/>
      <c r="M199" s="227"/>
      <c r="N199" s="30"/>
      <c r="O199" s="227"/>
      <c r="P199" s="30"/>
      <c r="Q199" s="227"/>
      <c r="R199" s="30"/>
      <c r="S199" s="227"/>
      <c r="T199" s="30"/>
      <c r="U199" s="227"/>
      <c r="V199" s="30"/>
    </row>
    <row r="200" spans="4:22" ht="21" customHeight="1" x14ac:dyDescent="0.45">
      <c r="D200" s="245"/>
      <c r="E200" s="249"/>
      <c r="F200" s="250"/>
      <c r="G200" s="251"/>
      <c r="H200" s="31"/>
      <c r="I200" s="227"/>
      <c r="J200" s="30"/>
      <c r="K200" s="227"/>
      <c r="L200" s="30"/>
      <c r="M200" s="227"/>
      <c r="N200" s="30"/>
      <c r="O200" s="227"/>
      <c r="P200" s="30"/>
      <c r="Q200" s="227"/>
      <c r="R200" s="30"/>
      <c r="S200" s="227"/>
      <c r="T200" s="30"/>
      <c r="U200" s="227"/>
      <c r="V200" s="30"/>
    </row>
    <row r="201" spans="4:22" ht="21" customHeight="1" x14ac:dyDescent="0.45">
      <c r="D201" s="245"/>
      <c r="E201" s="249"/>
      <c r="F201" s="250"/>
      <c r="G201" s="251"/>
      <c r="H201" s="31"/>
      <c r="I201" s="227"/>
      <c r="J201" s="30"/>
      <c r="K201" s="227"/>
      <c r="L201" s="30"/>
      <c r="M201" s="227"/>
      <c r="N201" s="30"/>
      <c r="O201" s="227"/>
      <c r="P201" s="30"/>
      <c r="Q201" s="227"/>
      <c r="R201" s="30"/>
      <c r="S201" s="227"/>
      <c r="T201" s="30"/>
      <c r="U201" s="227"/>
      <c r="V201" s="30"/>
    </row>
    <row r="202" spans="4:22" ht="21" customHeight="1" x14ac:dyDescent="0.45">
      <c r="D202" s="245"/>
      <c r="E202" s="249"/>
      <c r="F202" s="250"/>
      <c r="G202" s="251"/>
      <c r="H202" s="31"/>
      <c r="I202" s="227"/>
      <c r="J202" s="30"/>
      <c r="K202" s="227"/>
      <c r="L202" s="30"/>
      <c r="M202" s="227"/>
      <c r="N202" s="30"/>
      <c r="O202" s="227"/>
      <c r="P202" s="30"/>
      <c r="Q202" s="227"/>
      <c r="R202" s="30"/>
      <c r="S202" s="227"/>
      <c r="T202" s="30"/>
      <c r="U202" s="227"/>
      <c r="V202" s="30"/>
    </row>
    <row r="203" spans="4:22" ht="21" customHeight="1" x14ac:dyDescent="0.45">
      <c r="D203" s="245"/>
      <c r="E203" s="249"/>
      <c r="F203" s="250"/>
      <c r="G203" s="251"/>
      <c r="H203" s="31"/>
      <c r="I203" s="227"/>
      <c r="J203" s="30"/>
      <c r="K203" s="227"/>
      <c r="L203" s="30"/>
      <c r="M203" s="227"/>
      <c r="N203" s="30"/>
      <c r="O203" s="227"/>
      <c r="P203" s="30"/>
      <c r="Q203" s="227"/>
      <c r="R203" s="30"/>
      <c r="S203" s="227"/>
      <c r="T203" s="30"/>
      <c r="U203" s="227"/>
      <c r="V203" s="30"/>
    </row>
    <row r="204" spans="4:22" ht="21" customHeight="1" x14ac:dyDescent="0.45">
      <c r="D204" s="245"/>
      <c r="E204" s="249"/>
      <c r="F204" s="250"/>
      <c r="G204" s="251"/>
      <c r="H204" s="31"/>
      <c r="I204" s="227"/>
      <c r="J204" s="30"/>
      <c r="K204" s="227"/>
      <c r="L204" s="30"/>
      <c r="M204" s="227"/>
      <c r="N204" s="30"/>
      <c r="O204" s="227"/>
      <c r="P204" s="30"/>
      <c r="Q204" s="227"/>
      <c r="R204" s="30"/>
      <c r="S204" s="227"/>
      <c r="T204" s="30"/>
      <c r="U204" s="227"/>
      <c r="V204" s="30"/>
    </row>
    <row r="205" spans="4:22" ht="21" customHeight="1" x14ac:dyDescent="0.45">
      <c r="D205" s="245"/>
      <c r="E205" s="249"/>
      <c r="F205" s="250"/>
      <c r="G205" s="251"/>
      <c r="H205" s="31"/>
      <c r="I205" s="227"/>
      <c r="J205" s="30"/>
      <c r="K205" s="227"/>
      <c r="L205" s="30"/>
      <c r="M205" s="227"/>
      <c r="N205" s="30"/>
      <c r="O205" s="227"/>
      <c r="P205" s="30"/>
      <c r="Q205" s="227"/>
      <c r="R205" s="30"/>
      <c r="S205" s="227"/>
      <c r="T205" s="30"/>
      <c r="U205" s="227"/>
      <c r="V205" s="30"/>
    </row>
    <row r="206" spans="4:22" ht="21" customHeight="1" x14ac:dyDescent="0.45">
      <c r="D206" s="245"/>
      <c r="E206" s="249"/>
      <c r="F206" s="250"/>
      <c r="G206" s="251"/>
      <c r="H206" s="31"/>
      <c r="I206" s="227"/>
      <c r="J206" s="30"/>
      <c r="K206" s="227"/>
      <c r="L206" s="30"/>
      <c r="M206" s="227"/>
      <c r="N206" s="30"/>
      <c r="O206" s="227"/>
      <c r="P206" s="30"/>
      <c r="Q206" s="227"/>
      <c r="R206" s="30"/>
      <c r="S206" s="227"/>
      <c r="T206" s="30"/>
      <c r="U206" s="227"/>
      <c r="V206" s="30"/>
    </row>
    <row r="207" spans="4:22" ht="21" customHeight="1" x14ac:dyDescent="0.45">
      <c r="D207" s="245"/>
      <c r="E207" s="249"/>
      <c r="F207" s="250"/>
      <c r="G207" s="251"/>
      <c r="H207" s="31"/>
      <c r="I207" s="227"/>
      <c r="J207" s="30"/>
      <c r="K207" s="227"/>
      <c r="L207" s="30"/>
      <c r="M207" s="227"/>
      <c r="N207" s="30"/>
      <c r="O207" s="227"/>
      <c r="P207" s="30"/>
      <c r="Q207" s="227"/>
      <c r="R207" s="30"/>
      <c r="S207" s="227"/>
      <c r="T207" s="30"/>
      <c r="U207" s="227"/>
      <c r="V207" s="30"/>
    </row>
    <row r="208" spans="4:22" ht="21" customHeight="1" x14ac:dyDescent="0.45">
      <c r="D208" s="245"/>
      <c r="E208" s="249"/>
      <c r="F208" s="250"/>
      <c r="G208" s="251"/>
      <c r="H208" s="31"/>
      <c r="I208" s="227"/>
      <c r="J208" s="30"/>
      <c r="K208" s="227"/>
      <c r="L208" s="30"/>
      <c r="M208" s="227"/>
      <c r="N208" s="30"/>
      <c r="O208" s="227"/>
      <c r="P208" s="30"/>
      <c r="Q208" s="227"/>
      <c r="R208" s="30"/>
      <c r="S208" s="227"/>
      <c r="T208" s="30"/>
      <c r="U208" s="227"/>
      <c r="V208" s="30"/>
    </row>
    <row r="209" spans="4:22" ht="21" customHeight="1" x14ac:dyDescent="0.45">
      <c r="D209" s="245"/>
      <c r="E209" s="249"/>
      <c r="F209" s="250"/>
      <c r="G209" s="251"/>
      <c r="H209" s="31"/>
      <c r="I209" s="227"/>
      <c r="J209" s="30"/>
      <c r="K209" s="227"/>
      <c r="L209" s="30"/>
      <c r="M209" s="227"/>
      <c r="N209" s="30"/>
      <c r="O209" s="227"/>
      <c r="P209" s="30"/>
      <c r="Q209" s="227"/>
      <c r="R209" s="30"/>
      <c r="S209" s="227"/>
      <c r="T209" s="30"/>
      <c r="U209" s="227"/>
      <c r="V209" s="30"/>
    </row>
    <row r="210" spans="4:22" ht="21" customHeight="1" x14ac:dyDescent="0.45">
      <c r="D210" s="245"/>
      <c r="E210" s="249"/>
      <c r="F210" s="250"/>
      <c r="G210" s="251"/>
      <c r="H210" s="31"/>
      <c r="I210" s="227"/>
      <c r="J210" s="30"/>
      <c r="K210" s="227"/>
      <c r="L210" s="30"/>
      <c r="M210" s="227"/>
      <c r="N210" s="30"/>
      <c r="O210" s="227"/>
      <c r="P210" s="30"/>
      <c r="Q210" s="227"/>
      <c r="R210" s="30"/>
      <c r="S210" s="227"/>
      <c r="T210" s="30"/>
      <c r="U210" s="227"/>
      <c r="V210" s="30"/>
    </row>
    <row r="211" spans="4:22" ht="21" customHeight="1" thickBot="1" x14ac:dyDescent="0.5">
      <c r="D211" s="258"/>
      <c r="E211" s="259"/>
      <c r="F211" s="260"/>
      <c r="G211" s="261"/>
      <c r="H211" s="38"/>
      <c r="I211" s="262"/>
      <c r="J211" s="263"/>
      <c r="K211" s="262"/>
      <c r="L211" s="263"/>
      <c r="M211" s="262"/>
      <c r="N211" s="263"/>
      <c r="O211" s="262"/>
      <c r="P211" s="263"/>
      <c r="Q211" s="262"/>
      <c r="R211" s="263"/>
      <c r="S211" s="262"/>
      <c r="T211" s="263"/>
      <c r="U211" s="262"/>
      <c r="V211" s="263"/>
    </row>
    <row r="212" spans="4:22" ht="17.25" customHeight="1" x14ac:dyDescent="0.35">
      <c r="D212" s="445" t="s">
        <v>226</v>
      </c>
      <c r="E212" s="446"/>
      <c r="F212" s="446"/>
      <c r="G212" s="446"/>
      <c r="H212" s="446"/>
      <c r="I212" s="446"/>
      <c r="J212" s="446"/>
      <c r="K212" s="446"/>
      <c r="L212" s="446"/>
      <c r="M212" s="446"/>
      <c r="N212" s="446"/>
      <c r="O212" s="446"/>
      <c r="P212" s="446"/>
      <c r="Q212" s="446"/>
      <c r="R212" s="446"/>
      <c r="S212" s="446"/>
      <c r="T212" s="446"/>
      <c r="U212" s="446"/>
      <c r="V212" s="447"/>
    </row>
    <row r="213" spans="4:22" ht="17.25" customHeight="1" thickBot="1" x14ac:dyDescent="0.4">
      <c r="D213" s="448"/>
      <c r="E213" s="449"/>
      <c r="F213" s="449"/>
      <c r="G213" s="449"/>
      <c r="H213" s="449"/>
      <c r="I213" s="449"/>
      <c r="J213" s="449"/>
      <c r="K213" s="449"/>
      <c r="L213" s="449"/>
      <c r="M213" s="449"/>
      <c r="N213" s="449"/>
      <c r="O213" s="449"/>
      <c r="P213" s="449"/>
      <c r="Q213" s="449"/>
      <c r="R213" s="449"/>
      <c r="S213" s="449"/>
      <c r="T213" s="449"/>
      <c r="U213" s="449"/>
      <c r="V213" s="450"/>
    </row>
    <row r="214" spans="4:22" ht="21" customHeight="1" x14ac:dyDescent="0.35">
      <c r="D214" s="264" t="str" cm="1">
        <f t="array" ref="D214:V221">_xlfn._xlws.FILTER(Sheet1!A2:S333,Sheet1!T2:T333='NORTHERN REGION ROSTER'!AC4)</f>
        <v>GILREATH, AUSTIN</v>
      </c>
      <c r="E214" s="265" t="str">
        <v>1034341</v>
      </c>
      <c r="F214" s="266" t="str">
        <v>KEYSTONE - TRAINEE</v>
      </c>
      <c r="G214" s="267" t="str">
        <v>KY TRAINEE</v>
      </c>
      <c r="H214" s="342">
        <v>0</v>
      </c>
      <c r="I214" s="274">
        <v>0</v>
      </c>
      <c r="J214" s="275" t="str">
        <v>OFF</v>
      </c>
      <c r="K214" s="274">
        <v>0</v>
      </c>
      <c r="L214" s="275" t="str">
        <v>PE-3-POST</v>
      </c>
      <c r="M214" s="274">
        <v>0</v>
      </c>
      <c r="N214" s="275" t="str">
        <v>PE-3-POST</v>
      </c>
      <c r="O214" s="274">
        <v>0</v>
      </c>
      <c r="P214" s="275" t="str">
        <v>PE-3-POST</v>
      </c>
      <c r="Q214" s="274">
        <v>0</v>
      </c>
      <c r="R214" s="275" t="str">
        <v>OFF</v>
      </c>
      <c r="S214" s="274">
        <v>0</v>
      </c>
      <c r="T214" s="275" t="str">
        <v>PE-3-POST</v>
      </c>
      <c r="U214" s="274">
        <v>0</v>
      </c>
      <c r="V214" s="275" t="str">
        <v>PE-3-POST</v>
      </c>
    </row>
    <row r="215" spans="4:22" ht="21" customHeight="1" x14ac:dyDescent="0.35">
      <c r="D215" s="269" t="str">
        <v>IUSCEAC, MARC</v>
      </c>
      <c r="E215" s="270" t="str">
        <v>1029927</v>
      </c>
      <c r="F215" s="271" t="str">
        <v>MIDWEST - TRAINEE</v>
      </c>
      <c r="G215" s="272" t="str">
        <v>MW TRAINEE</v>
      </c>
      <c r="H215" s="343">
        <v>0</v>
      </c>
      <c r="I215" s="276">
        <v>0</v>
      </c>
      <c r="J215" s="30" t="str">
        <v>CN-3-POST</v>
      </c>
      <c r="K215" s="276">
        <v>0</v>
      </c>
      <c r="L215" s="30" t="str">
        <v>CN-3-POST</v>
      </c>
      <c r="M215" s="276">
        <v>0</v>
      </c>
      <c r="N215" s="30" t="str">
        <v>CN-3-POST</v>
      </c>
      <c r="O215" s="276">
        <v>0</v>
      </c>
      <c r="P215" s="30" t="str">
        <v>CN-3-POST</v>
      </c>
      <c r="Q215" s="276">
        <v>0</v>
      </c>
      <c r="R215" s="30" t="str">
        <v>OFF</v>
      </c>
      <c r="S215" s="276">
        <v>0</v>
      </c>
      <c r="T215" s="30" t="str">
        <v>OFF</v>
      </c>
      <c r="U215" s="276">
        <v>0</v>
      </c>
      <c r="V215" s="30" t="str">
        <v>CN-3-POST</v>
      </c>
    </row>
    <row r="216" spans="4:22" ht="21" customHeight="1" x14ac:dyDescent="0.35">
      <c r="D216" s="269" t="str">
        <v>JAMES, BRAD</v>
      </c>
      <c r="E216" s="270" t="str">
        <v>1034348</v>
      </c>
      <c r="F216" s="271" t="str">
        <v>GREATLAKES - TRAINEE</v>
      </c>
      <c r="G216" s="272" t="str">
        <v>GL TRAINEE</v>
      </c>
      <c r="H216" s="343">
        <v>0</v>
      </c>
      <c r="I216" s="276">
        <v>0</v>
      </c>
      <c r="J216" s="30" t="str">
        <v>CD-3-POST</v>
      </c>
      <c r="K216" s="276">
        <v>0</v>
      </c>
      <c r="L216" s="30" t="str">
        <v>CD-3-POST</v>
      </c>
      <c r="M216" s="276">
        <v>0</v>
      </c>
      <c r="N216" s="30" t="str">
        <v>OFF</v>
      </c>
      <c r="O216" s="276">
        <v>0</v>
      </c>
      <c r="P216" s="30" t="str">
        <v>OFF</v>
      </c>
      <c r="Q216" s="276">
        <v>0</v>
      </c>
      <c r="R216" s="30" t="str">
        <v>CD-3-POST</v>
      </c>
      <c r="S216" s="276">
        <v>0</v>
      </c>
      <c r="T216" s="30" t="str">
        <v>CD-3-POST</v>
      </c>
      <c r="U216" s="276">
        <v>0</v>
      </c>
      <c r="V216" s="30" t="str">
        <v>CD-3-POST</v>
      </c>
    </row>
    <row r="217" spans="4:22" ht="21" customHeight="1" x14ac:dyDescent="0.35">
      <c r="D217" s="269" t="str">
        <v>LUMPKIN, MADISON</v>
      </c>
      <c r="E217" s="270" t="str">
        <v>1034345</v>
      </c>
      <c r="F217" s="271" t="str">
        <v>GREATLAKES - TRAINEE</v>
      </c>
      <c r="G217" s="272" t="str">
        <v>GL TRAINEE</v>
      </c>
      <c r="H217" s="343">
        <v>0</v>
      </c>
      <c r="I217" s="276">
        <v>0</v>
      </c>
      <c r="J217" s="30" t="str">
        <v>CE-3-POST</v>
      </c>
      <c r="K217" s="276">
        <v>0</v>
      </c>
      <c r="L217" s="30" t="str">
        <v>OFF</v>
      </c>
      <c r="M217" s="276">
        <v>0</v>
      </c>
      <c r="N217" s="30" t="str">
        <v>CE-3-POST</v>
      </c>
      <c r="O217" s="276">
        <v>0</v>
      </c>
      <c r="P217" s="30" t="str">
        <v>CE-3-POST</v>
      </c>
      <c r="Q217" s="276">
        <v>0</v>
      </c>
      <c r="R217" s="30" t="str">
        <v>CE-3-POST</v>
      </c>
      <c r="S217" s="276">
        <v>0</v>
      </c>
      <c r="T217" s="30" t="str">
        <v>OFF</v>
      </c>
      <c r="U217" s="276">
        <v>0</v>
      </c>
      <c r="V217" s="30" t="str">
        <v>CE-3-POST</v>
      </c>
    </row>
    <row r="218" spans="4:22" ht="21" customHeight="1" x14ac:dyDescent="0.35">
      <c r="D218" s="269" t="str">
        <v>NARBEN, GODWIN</v>
      </c>
      <c r="E218" s="270" t="str">
        <v>1034349</v>
      </c>
      <c r="F218" s="271" t="str">
        <v>GREATLAKES - TRAINEE</v>
      </c>
      <c r="G218" s="272" t="str">
        <v>GL TRAINEE</v>
      </c>
      <c r="H218" s="343">
        <v>0</v>
      </c>
      <c r="I218" s="276">
        <v>0</v>
      </c>
      <c r="J218" s="30" t="str">
        <v>OFF</v>
      </c>
      <c r="K218" s="276">
        <v>0</v>
      </c>
      <c r="L218" s="30" t="str">
        <v>SA-2-POST</v>
      </c>
      <c r="M218" s="276">
        <v>0</v>
      </c>
      <c r="N218" s="30" t="str">
        <v>SA-2-POST</v>
      </c>
      <c r="O218" s="276">
        <v>0</v>
      </c>
      <c r="P218" s="30" t="str">
        <v>SA-2-POST</v>
      </c>
      <c r="Q218" s="276">
        <v>0</v>
      </c>
      <c r="R218" s="30" t="str">
        <v>KN-3-POST</v>
      </c>
      <c r="S218" s="276">
        <v>0</v>
      </c>
      <c r="T218" s="30" t="str">
        <v>KN-3-POST</v>
      </c>
      <c r="U218" s="276">
        <v>0</v>
      </c>
      <c r="V218" s="30" t="str">
        <v>OFF</v>
      </c>
    </row>
    <row r="219" spans="4:22" ht="21" customHeight="1" x14ac:dyDescent="0.35">
      <c r="D219" s="269" t="str">
        <v>ROSSER, JARREL</v>
      </c>
      <c r="E219" s="270" t="str">
        <v>1034344</v>
      </c>
      <c r="F219" s="271" t="str">
        <v>MIDWEST - TRAINEE</v>
      </c>
      <c r="G219" s="272" t="str">
        <v>MW TRAINEE</v>
      </c>
      <c r="H219" s="343">
        <v>0</v>
      </c>
      <c r="I219" s="276">
        <v>0</v>
      </c>
      <c r="J219" s="30" t="str">
        <v>OFF</v>
      </c>
      <c r="K219" s="276">
        <v>0</v>
      </c>
      <c r="L219" s="30" t="str">
        <v>OFF</v>
      </c>
      <c r="M219" s="276">
        <v>0</v>
      </c>
      <c r="N219" s="30" t="str">
        <v>LF-1-POST</v>
      </c>
      <c r="O219" s="276">
        <v>0</v>
      </c>
      <c r="P219" s="30" t="str">
        <v>LF-1-POST</v>
      </c>
      <c r="Q219" s="276">
        <v>0</v>
      </c>
      <c r="R219" s="30" t="str">
        <v>LF-1-POST</v>
      </c>
      <c r="S219" s="276">
        <v>0</v>
      </c>
      <c r="T219" s="30" t="str">
        <v>LF-1-POST</v>
      </c>
      <c r="U219" s="276">
        <v>0</v>
      </c>
      <c r="V219" s="30" t="str">
        <v>LF-1-POST</v>
      </c>
    </row>
    <row r="220" spans="4:22" ht="21" customHeight="1" x14ac:dyDescent="0.35">
      <c r="D220" s="269" t="str">
        <v>STEELE, DAKOTA</v>
      </c>
      <c r="E220" s="270" t="str">
        <v>1009803</v>
      </c>
      <c r="F220" s="271" t="str">
        <v>MIDWEST - TRAINEE</v>
      </c>
      <c r="G220" s="272" t="str">
        <v>MW TRAINEE</v>
      </c>
      <c r="H220" s="343">
        <v>0</v>
      </c>
      <c r="I220" s="276">
        <v>0</v>
      </c>
      <c r="J220" s="30" t="str">
        <v>OFF</v>
      </c>
      <c r="K220" s="276">
        <v>0</v>
      </c>
      <c r="L220" s="30" t="str">
        <v>KY-3-POST</v>
      </c>
      <c r="M220" s="276">
        <v>0</v>
      </c>
      <c r="N220" s="30" t="str">
        <v>KY-3-POST</v>
      </c>
      <c r="O220" s="276">
        <v>0</v>
      </c>
      <c r="P220" s="30" t="str">
        <v>KY-3-POST</v>
      </c>
      <c r="Q220" s="276">
        <v>0</v>
      </c>
      <c r="R220" s="30" t="str">
        <v>OFF</v>
      </c>
      <c r="S220" s="276">
        <v>0</v>
      </c>
      <c r="T220" s="30" t="str">
        <v>KY-2-POST</v>
      </c>
      <c r="U220" s="276">
        <v>0</v>
      </c>
      <c r="V220" s="30" t="str">
        <v>KY-2-POST</v>
      </c>
    </row>
    <row r="221" spans="4:22" ht="21" customHeight="1" x14ac:dyDescent="0.35">
      <c r="D221" s="269" t="str">
        <v>WAVER, ANDREW</v>
      </c>
      <c r="E221" s="270" t="str">
        <v>1024135</v>
      </c>
      <c r="F221" s="271" t="str">
        <v>GREATLAKES - TRAINEE</v>
      </c>
      <c r="G221" s="272" t="str">
        <v>GL TRAINEE</v>
      </c>
      <c r="H221" s="343">
        <v>0</v>
      </c>
      <c r="I221" s="276">
        <v>0</v>
      </c>
      <c r="J221" s="30" t="str">
        <v>CG-1-POST</v>
      </c>
      <c r="K221" s="276">
        <v>0</v>
      </c>
      <c r="L221" s="30" t="str">
        <v>OFF</v>
      </c>
      <c r="M221" s="276">
        <v>0</v>
      </c>
      <c r="N221" s="30" t="str">
        <v>OFF</v>
      </c>
      <c r="O221" s="276">
        <v>0</v>
      </c>
      <c r="P221" s="30" t="str">
        <v>CG-2-POST</v>
      </c>
      <c r="Q221" s="276">
        <v>0</v>
      </c>
      <c r="R221" s="30" t="str">
        <v>CG-2-POST</v>
      </c>
      <c r="S221" s="276">
        <v>0</v>
      </c>
      <c r="T221" s="30" t="str">
        <v>CG-2-POST</v>
      </c>
      <c r="U221" s="276">
        <v>0</v>
      </c>
      <c r="V221" s="30" t="str">
        <v>CG-2-POST</v>
      </c>
    </row>
    <row r="222" spans="4:22" ht="21" customHeight="1" x14ac:dyDescent="0.35">
      <c r="D222" s="269"/>
      <c r="E222" s="270"/>
      <c r="F222" s="271"/>
      <c r="G222" s="272"/>
      <c r="H222" s="343"/>
      <c r="I222" s="276"/>
      <c r="J222" s="30"/>
      <c r="K222" s="276"/>
      <c r="L222" s="30"/>
      <c r="M222" s="276"/>
      <c r="N222" s="30"/>
      <c r="O222" s="276"/>
      <c r="P222" s="30"/>
      <c r="Q222" s="276"/>
      <c r="R222" s="30"/>
      <c r="S222" s="276"/>
      <c r="T222" s="30"/>
      <c r="U222" s="276"/>
      <c r="V222" s="30"/>
    </row>
    <row r="223" spans="4:22" ht="21" customHeight="1" x14ac:dyDescent="0.35">
      <c r="D223" s="269"/>
      <c r="E223" s="270"/>
      <c r="F223" s="271"/>
      <c r="G223" s="272"/>
      <c r="H223" s="343"/>
      <c r="I223" s="276"/>
      <c r="J223" s="30"/>
      <c r="K223" s="276"/>
      <c r="L223" s="30"/>
      <c r="M223" s="276"/>
      <c r="N223" s="30"/>
      <c r="O223" s="276"/>
      <c r="P223" s="30"/>
      <c r="Q223" s="276"/>
      <c r="R223" s="30"/>
      <c r="S223" s="276"/>
      <c r="T223" s="30"/>
      <c r="U223" s="276"/>
      <c r="V223" s="30"/>
    </row>
    <row r="224" spans="4:22" ht="21" customHeight="1" x14ac:dyDescent="0.35">
      <c r="D224" s="269"/>
      <c r="E224" s="270"/>
      <c r="F224" s="271"/>
      <c r="G224" s="272"/>
      <c r="H224" s="343"/>
      <c r="I224" s="276"/>
      <c r="J224" s="30"/>
      <c r="K224" s="276"/>
      <c r="L224" s="30"/>
      <c r="M224" s="276"/>
      <c r="N224" s="30"/>
      <c r="O224" s="276"/>
      <c r="P224" s="30"/>
      <c r="Q224" s="276"/>
      <c r="R224" s="30"/>
      <c r="S224" s="276"/>
      <c r="T224" s="30"/>
      <c r="U224" s="276"/>
      <c r="V224" s="30"/>
    </row>
    <row r="225" spans="4:22" ht="21" customHeight="1" x14ac:dyDescent="0.35">
      <c r="D225" s="269"/>
      <c r="E225" s="270"/>
      <c r="F225" s="271"/>
      <c r="G225" s="272"/>
      <c r="H225" s="343"/>
      <c r="I225" s="276"/>
      <c r="J225" s="30"/>
      <c r="K225" s="276"/>
      <c r="L225" s="30"/>
      <c r="M225" s="276"/>
      <c r="N225" s="30"/>
      <c r="O225" s="276"/>
      <c r="P225" s="30"/>
      <c r="Q225" s="276"/>
      <c r="R225" s="30"/>
      <c r="S225" s="276"/>
      <c r="T225" s="30"/>
      <c r="U225" s="276"/>
      <c r="V225" s="30"/>
    </row>
    <row r="226" spans="4:22" ht="21" customHeight="1" x14ac:dyDescent="0.35">
      <c r="D226" s="269"/>
      <c r="E226" s="270"/>
      <c r="F226" s="271"/>
      <c r="G226" s="272"/>
      <c r="H226" s="343"/>
      <c r="I226" s="276"/>
      <c r="J226" s="30"/>
      <c r="K226" s="276"/>
      <c r="L226" s="30"/>
      <c r="M226" s="276"/>
      <c r="N226" s="30"/>
      <c r="O226" s="276"/>
      <c r="P226" s="30"/>
      <c r="Q226" s="276"/>
      <c r="R226" s="30"/>
      <c r="S226" s="276"/>
      <c r="T226" s="30"/>
      <c r="U226" s="276"/>
      <c r="V226" s="30"/>
    </row>
    <row r="227" spans="4:22" ht="21" customHeight="1" x14ac:dyDescent="0.35">
      <c r="D227" s="269"/>
      <c r="E227" s="270"/>
      <c r="F227" s="271"/>
      <c r="G227" s="272"/>
      <c r="H227" s="343"/>
      <c r="I227" s="276"/>
      <c r="J227" s="30"/>
      <c r="K227" s="276"/>
      <c r="L227" s="30"/>
      <c r="M227" s="276"/>
      <c r="N227" s="30"/>
      <c r="O227" s="276"/>
      <c r="P227" s="30"/>
      <c r="Q227" s="276"/>
      <c r="R227" s="30"/>
      <c r="S227" s="276"/>
      <c r="T227" s="30"/>
      <c r="U227" s="276"/>
      <c r="V227" s="30"/>
    </row>
    <row r="228" spans="4:22" ht="21" customHeight="1" x14ac:dyDescent="0.35">
      <c r="D228" s="269"/>
      <c r="E228" s="270"/>
      <c r="F228" s="271"/>
      <c r="G228" s="272"/>
      <c r="H228" s="343"/>
      <c r="I228" s="276"/>
      <c r="J228" s="30"/>
      <c r="K228" s="276"/>
      <c r="L228" s="30"/>
      <c r="M228" s="276"/>
      <c r="N228" s="30"/>
      <c r="O228" s="276"/>
      <c r="P228" s="30"/>
      <c r="Q228" s="276"/>
      <c r="R228" s="30"/>
      <c r="S228" s="276"/>
      <c r="T228" s="30"/>
      <c r="U228" s="276"/>
      <c r="V228" s="30"/>
    </row>
    <row r="229" spans="4:22" ht="21" customHeight="1" x14ac:dyDescent="0.35">
      <c r="D229" s="269"/>
      <c r="E229" s="270"/>
      <c r="F229" s="271"/>
      <c r="G229" s="272"/>
      <c r="H229" s="343"/>
      <c r="I229" s="276"/>
      <c r="J229" s="30"/>
      <c r="K229" s="276"/>
      <c r="L229" s="30"/>
      <c r="M229" s="276"/>
      <c r="N229" s="30"/>
      <c r="O229" s="276"/>
      <c r="P229" s="30"/>
      <c r="Q229" s="276"/>
      <c r="R229" s="30"/>
      <c r="S229" s="276"/>
      <c r="T229" s="30"/>
      <c r="U229" s="276"/>
      <c r="V229" s="30"/>
    </row>
    <row r="230" spans="4:22" ht="21" customHeight="1" x14ac:dyDescent="0.35">
      <c r="D230" s="269"/>
      <c r="E230" s="270"/>
      <c r="F230" s="271"/>
      <c r="G230" s="272"/>
      <c r="H230" s="343"/>
      <c r="I230" s="276"/>
      <c r="J230" s="30"/>
      <c r="K230" s="276"/>
      <c r="L230" s="30"/>
      <c r="M230" s="276"/>
      <c r="N230" s="30"/>
      <c r="O230" s="276"/>
      <c r="P230" s="30"/>
      <c r="Q230" s="276"/>
      <c r="R230" s="30"/>
      <c r="S230" s="276"/>
      <c r="T230" s="30"/>
      <c r="U230" s="276"/>
      <c r="V230" s="30"/>
    </row>
    <row r="231" spans="4:22" ht="21" customHeight="1" x14ac:dyDescent="0.35">
      <c r="D231" s="269"/>
      <c r="E231" s="270"/>
      <c r="F231" s="271"/>
      <c r="G231" s="272"/>
      <c r="H231" s="343"/>
      <c r="I231" s="276"/>
      <c r="J231" s="30"/>
      <c r="K231" s="276"/>
      <c r="L231" s="30"/>
      <c r="M231" s="276"/>
      <c r="N231" s="30"/>
      <c r="O231" s="276"/>
      <c r="P231" s="30"/>
      <c r="Q231" s="276"/>
      <c r="R231" s="30"/>
      <c r="S231" s="276"/>
      <c r="T231" s="30"/>
      <c r="U231" s="276"/>
      <c r="V231" s="30"/>
    </row>
    <row r="232" spans="4:22" ht="21" customHeight="1" x14ac:dyDescent="0.35">
      <c r="D232" s="269"/>
      <c r="E232" s="270"/>
      <c r="F232" s="271"/>
      <c r="G232" s="272"/>
      <c r="H232" s="343"/>
      <c r="I232" s="276"/>
      <c r="J232" s="30"/>
      <c r="K232" s="276"/>
      <c r="L232" s="30"/>
      <c r="M232" s="276"/>
      <c r="N232" s="30"/>
      <c r="O232" s="276"/>
      <c r="P232" s="30"/>
      <c r="Q232" s="276"/>
      <c r="R232" s="30"/>
      <c r="S232" s="276"/>
      <c r="T232" s="30"/>
      <c r="U232" s="276"/>
      <c r="V232" s="30"/>
    </row>
    <row r="233" spans="4:22" ht="21" customHeight="1" x14ac:dyDescent="0.35">
      <c r="D233" s="269"/>
      <c r="E233" s="270"/>
      <c r="F233" s="271"/>
      <c r="G233" s="272"/>
      <c r="H233" s="343"/>
      <c r="I233" s="276"/>
      <c r="J233" s="30"/>
      <c r="K233" s="276"/>
      <c r="L233" s="30"/>
      <c r="M233" s="276"/>
      <c r="N233" s="30"/>
      <c r="O233" s="276"/>
      <c r="P233" s="30"/>
      <c r="Q233" s="276"/>
      <c r="R233" s="30"/>
      <c r="S233" s="276"/>
      <c r="T233" s="30"/>
      <c r="U233" s="276"/>
      <c r="V233" s="30"/>
    </row>
    <row r="234" spans="4:22" ht="21" customHeight="1" thickBot="1" x14ac:dyDescent="0.4">
      <c r="D234" s="277"/>
      <c r="E234" s="278"/>
      <c r="F234" s="279"/>
      <c r="G234" s="280"/>
      <c r="H234" s="344"/>
      <c r="I234" s="282"/>
      <c r="J234" s="263"/>
      <c r="K234" s="282"/>
      <c r="L234" s="263"/>
      <c r="M234" s="282"/>
      <c r="N234" s="263"/>
      <c r="O234" s="282"/>
      <c r="P234" s="263"/>
      <c r="Q234" s="282"/>
      <c r="R234" s="263"/>
      <c r="S234" s="282"/>
      <c r="T234" s="263"/>
      <c r="U234" s="282"/>
      <c r="V234" s="263"/>
    </row>
    <row r="235" spans="4:22" ht="24" customHeight="1" x14ac:dyDescent="0.35">
      <c r="D235" s="204"/>
      <c r="E235" s="283"/>
      <c r="F235" s="284"/>
      <c r="G235" s="285"/>
      <c r="H235" s="79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</row>
    <row r="236" spans="4:22" ht="24" customHeight="1" x14ac:dyDescent="0.35">
      <c r="D236" s="204"/>
      <c r="E236" s="283"/>
      <c r="F236" s="284"/>
      <c r="G236" s="285"/>
      <c r="H236" s="79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</row>
    <row r="237" spans="4:22" ht="24" customHeight="1" x14ac:dyDescent="0.35">
      <c r="D237" s="204"/>
      <c r="E237" s="283"/>
      <c r="F237" s="284"/>
      <c r="G237" s="285"/>
      <c r="H237" s="79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</row>
    <row r="238" spans="4:22" ht="24" customHeight="1" x14ac:dyDescent="0.35">
      <c r="D238" s="204"/>
      <c r="E238" s="283"/>
      <c r="F238" s="284"/>
      <c r="G238" s="285"/>
      <c r="H238" s="79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</row>
    <row r="239" spans="4:22" ht="24" customHeight="1" x14ac:dyDescent="0.35">
      <c r="D239" s="204"/>
      <c r="E239" s="283"/>
      <c r="F239" s="284"/>
      <c r="G239" s="285"/>
      <c r="H239" s="79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</row>
    <row r="240" spans="4:22" ht="24" customHeight="1" x14ac:dyDescent="0.35">
      <c r="D240" s="204"/>
      <c r="E240" s="283"/>
      <c r="F240" s="284"/>
      <c r="G240" s="285"/>
      <c r="H240" s="79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</row>
    <row r="241" spans="4:22" ht="24" customHeight="1" x14ac:dyDescent="0.35">
      <c r="D241" s="204"/>
      <c r="E241" s="283"/>
      <c r="F241" s="284"/>
      <c r="G241" s="285"/>
      <c r="H241" s="79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</row>
    <row r="242" spans="4:22" ht="24" customHeight="1" x14ac:dyDescent="0.35">
      <c r="D242" s="204"/>
      <c r="E242" s="283"/>
      <c r="F242" s="284"/>
      <c r="G242" s="285"/>
      <c r="H242" s="79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</row>
    <row r="243" spans="4:22" ht="24" customHeight="1" x14ac:dyDescent="0.35">
      <c r="D243" s="204"/>
      <c r="E243" s="283"/>
      <c r="F243" s="284"/>
      <c r="G243" s="285"/>
      <c r="H243" s="79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</row>
    <row r="244" spans="4:22" ht="24" customHeight="1" x14ac:dyDescent="0.35">
      <c r="D244" s="204"/>
      <c r="E244" s="283"/>
      <c r="F244" s="284"/>
      <c r="G244" s="285"/>
      <c r="H244" s="79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</row>
    <row r="245" spans="4:22" ht="24" customHeight="1" x14ac:dyDescent="0.35">
      <c r="D245" s="204"/>
      <c r="E245" s="283"/>
      <c r="F245" s="284"/>
      <c r="G245" s="285"/>
      <c r="H245" s="79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</row>
    <row r="246" spans="4:22" ht="24" customHeight="1" x14ac:dyDescent="0.35">
      <c r="D246" s="204"/>
      <c r="E246" s="283"/>
      <c r="F246" s="284"/>
      <c r="G246" s="285"/>
      <c r="H246" s="79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</row>
    <row r="247" spans="4:22" ht="24" customHeight="1" x14ac:dyDescent="0.35">
      <c r="D247" s="204"/>
      <c r="E247" s="283"/>
      <c r="F247" s="284"/>
      <c r="G247" s="285"/>
      <c r="H247" s="79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</row>
    <row r="248" spans="4:22" ht="24" customHeight="1" x14ac:dyDescent="0.35">
      <c r="D248" s="204"/>
      <c r="E248" s="283"/>
      <c r="F248" s="284"/>
      <c r="G248" s="285"/>
      <c r="H248" s="79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</row>
    <row r="249" spans="4:22" ht="24" customHeight="1" x14ac:dyDescent="0.35">
      <c r="D249" s="204"/>
      <c r="E249" s="283"/>
      <c r="F249" s="284"/>
      <c r="G249" s="285"/>
      <c r="H249" s="79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</row>
    <row r="250" spans="4:22" ht="24" customHeight="1" x14ac:dyDescent="0.35">
      <c r="D250" s="204"/>
      <c r="E250" s="283"/>
      <c r="F250" s="284"/>
      <c r="G250" s="285"/>
      <c r="H250" s="79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</row>
    <row r="251" spans="4:22" ht="24" customHeight="1" x14ac:dyDescent="0.35">
      <c r="D251" s="204"/>
      <c r="E251" s="283"/>
      <c r="F251" s="284"/>
      <c r="G251" s="285"/>
      <c r="H251" s="79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</row>
    <row r="252" spans="4:22" ht="24" customHeight="1" x14ac:dyDescent="0.35">
      <c r="D252" s="204"/>
      <c r="E252" s="283"/>
      <c r="F252" s="284"/>
      <c r="G252" s="285"/>
      <c r="H252" s="79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</row>
    <row r="253" spans="4:22" ht="24" customHeight="1" x14ac:dyDescent="0.35">
      <c r="D253" s="204"/>
      <c r="E253" s="283"/>
      <c r="F253" s="284"/>
      <c r="G253" s="285"/>
      <c r="H253" s="79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</row>
    <row r="254" spans="4:22" ht="24" customHeight="1" x14ac:dyDescent="0.35">
      <c r="D254" s="204"/>
      <c r="E254" s="283"/>
      <c r="F254" s="284"/>
      <c r="G254" s="285"/>
      <c r="H254" s="79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</row>
    <row r="255" spans="4:22" ht="24" customHeight="1" x14ac:dyDescent="0.35">
      <c r="D255" s="204"/>
      <c r="E255" s="283"/>
      <c r="F255" s="284"/>
      <c r="G255" s="285"/>
      <c r="H255" s="79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</row>
    <row r="256" spans="4:22" ht="24" customHeight="1" x14ac:dyDescent="0.35">
      <c r="D256" s="204"/>
      <c r="E256" s="283"/>
      <c r="F256" s="284"/>
      <c r="G256" s="285"/>
      <c r="H256" s="79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</row>
    <row r="257" spans="4:22" ht="24" customHeight="1" x14ac:dyDescent="0.35">
      <c r="D257" s="204"/>
      <c r="E257" s="283"/>
      <c r="F257" s="284"/>
      <c r="G257" s="285"/>
      <c r="H257" s="79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</row>
    <row r="258" spans="4:22" ht="24" customHeight="1" x14ac:dyDescent="0.35">
      <c r="D258" s="204"/>
      <c r="E258" s="283"/>
      <c r="F258" s="284"/>
      <c r="G258" s="285"/>
      <c r="H258" s="79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</row>
    <row r="259" spans="4:22" ht="24" customHeight="1" x14ac:dyDescent="0.35">
      <c r="D259" s="204"/>
      <c r="E259" s="283"/>
      <c r="F259" s="284"/>
      <c r="G259" s="285"/>
      <c r="H259" s="79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</row>
    <row r="260" spans="4:22" ht="24" customHeight="1" x14ac:dyDescent="0.35">
      <c r="D260" s="204"/>
      <c r="E260" s="283"/>
      <c r="F260" s="284"/>
      <c r="G260" s="285"/>
      <c r="H260" s="79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</row>
    <row r="261" spans="4:22" ht="24" customHeight="1" x14ac:dyDescent="0.35">
      <c r="D261" s="204"/>
      <c r="E261" s="283"/>
      <c r="F261" s="284"/>
      <c r="G261" s="285"/>
      <c r="H261" s="79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</row>
    <row r="262" spans="4:22" ht="24" customHeight="1" x14ac:dyDescent="0.35">
      <c r="D262" s="204"/>
      <c r="E262" s="283"/>
      <c r="F262" s="284"/>
      <c r="G262" s="285"/>
      <c r="H262" s="79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</row>
    <row r="263" spans="4:22" ht="24" customHeight="1" x14ac:dyDescent="0.35">
      <c r="D263" s="204"/>
      <c r="E263" s="283"/>
      <c r="F263" s="284"/>
      <c r="G263" s="285"/>
      <c r="H263" s="79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</row>
    <row r="264" spans="4:22" ht="24" customHeight="1" x14ac:dyDescent="0.35">
      <c r="D264" s="204"/>
      <c r="E264" s="283"/>
      <c r="F264" s="284"/>
      <c r="G264" s="285"/>
      <c r="H264" s="79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</row>
    <row r="265" spans="4:22" ht="24" customHeight="1" x14ac:dyDescent="0.35">
      <c r="D265" s="204"/>
      <c r="E265" s="283"/>
      <c r="F265" s="284"/>
      <c r="G265" s="285"/>
      <c r="H265" s="79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</row>
    <row r="266" spans="4:22" ht="24" customHeight="1" x14ac:dyDescent="0.35">
      <c r="D266" s="204"/>
      <c r="E266" s="283"/>
      <c r="F266" s="284"/>
      <c r="G266" s="285"/>
      <c r="H266" s="79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</row>
    <row r="267" spans="4:22" ht="24" customHeight="1" x14ac:dyDescent="0.35">
      <c r="D267" s="204"/>
      <c r="E267" s="283"/>
      <c r="F267" s="284"/>
      <c r="G267" s="285"/>
      <c r="H267" s="79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</row>
    <row r="268" spans="4:22" ht="24" customHeight="1" x14ac:dyDescent="0.35">
      <c r="D268" s="204"/>
      <c r="E268" s="283"/>
      <c r="F268" s="284"/>
      <c r="G268" s="285"/>
      <c r="H268" s="79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</row>
    <row r="269" spans="4:22" ht="24" customHeight="1" x14ac:dyDescent="0.35">
      <c r="D269" s="204"/>
      <c r="E269" s="283"/>
      <c r="F269" s="284"/>
      <c r="G269" s="285"/>
      <c r="H269" s="79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</row>
    <row r="270" spans="4:22" ht="24" customHeight="1" x14ac:dyDescent="0.35">
      <c r="D270" s="204"/>
      <c r="E270" s="283"/>
      <c r="F270" s="284"/>
      <c r="G270" s="285"/>
      <c r="H270" s="79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</row>
    <row r="271" spans="4:22" ht="24" customHeight="1" x14ac:dyDescent="0.35">
      <c r="D271" s="204"/>
      <c r="E271" s="283"/>
      <c r="F271" s="284"/>
      <c r="G271" s="285"/>
      <c r="H271" s="79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</row>
    <row r="272" spans="4:22" ht="24" customHeight="1" x14ac:dyDescent="0.35">
      <c r="D272" s="287"/>
      <c r="E272" s="288"/>
      <c r="F272" s="289"/>
      <c r="G272" s="290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</row>
    <row r="273" spans="4:22" ht="24" customHeight="1" x14ac:dyDescent="0.35">
      <c r="D273" s="287"/>
      <c r="E273" s="288"/>
      <c r="F273" s="289"/>
      <c r="G273" s="290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</row>
    <row r="274" spans="4:22" ht="24" customHeight="1" x14ac:dyDescent="0.35">
      <c r="D274" s="287"/>
      <c r="E274" s="288"/>
      <c r="F274" s="289"/>
      <c r="G274" s="290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</row>
    <row r="275" spans="4:22" ht="24" customHeight="1" x14ac:dyDescent="0.35">
      <c r="D275" s="287"/>
      <c r="E275" s="288"/>
      <c r="F275" s="289"/>
      <c r="G275" s="290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</row>
    <row r="276" spans="4:22" ht="24" customHeight="1" x14ac:dyDescent="0.35">
      <c r="D276" s="287"/>
      <c r="E276" s="288"/>
      <c r="F276" s="289"/>
      <c r="G276" s="290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</row>
    <row r="277" spans="4:22" ht="24" customHeight="1" x14ac:dyDescent="0.35">
      <c r="D277" s="287"/>
      <c r="E277" s="288"/>
      <c r="F277" s="289"/>
      <c r="G277" s="290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</row>
    <row r="278" spans="4:22" ht="24" customHeight="1" x14ac:dyDescent="0.35">
      <c r="D278" s="287"/>
      <c r="E278" s="288"/>
      <c r="F278" s="289"/>
      <c r="G278" s="290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</row>
    <row r="279" spans="4:22" ht="24" customHeight="1" x14ac:dyDescent="0.35">
      <c r="D279" s="287"/>
      <c r="E279" s="288"/>
      <c r="F279" s="289"/>
      <c r="G279" s="290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</row>
    <row r="280" spans="4:22" ht="24" customHeight="1" x14ac:dyDescent="0.35">
      <c r="D280" s="287"/>
      <c r="E280" s="288"/>
      <c r="F280" s="289"/>
      <c r="G280" s="290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</row>
    <row r="281" spans="4:22" ht="24" customHeight="1" x14ac:dyDescent="0.35">
      <c r="D281" s="287"/>
      <c r="E281" s="288"/>
      <c r="F281" s="289"/>
      <c r="G281" s="290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</row>
    <row r="282" spans="4:22" ht="24" customHeight="1" x14ac:dyDescent="0.35">
      <c r="D282" s="287"/>
      <c r="E282" s="288"/>
      <c r="F282" s="289"/>
      <c r="G282" s="290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</row>
    <row r="283" spans="4:22" ht="24" customHeight="1" x14ac:dyDescent="0.35">
      <c r="D283" s="287"/>
      <c r="E283" s="288"/>
      <c r="F283" s="289"/>
      <c r="G283" s="290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</row>
    <row r="284" spans="4:22" ht="24" customHeight="1" x14ac:dyDescent="0.35">
      <c r="D284" s="287"/>
      <c r="E284" s="288"/>
      <c r="F284" s="289"/>
      <c r="G284" s="290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</row>
    <row r="285" spans="4:22" ht="24" customHeight="1" x14ac:dyDescent="0.35">
      <c r="D285" s="287"/>
      <c r="E285" s="288"/>
      <c r="F285" s="289"/>
      <c r="G285" s="290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</row>
    <row r="286" spans="4:22" ht="24" customHeight="1" x14ac:dyDescent="0.35">
      <c r="D286" s="287"/>
      <c r="E286" s="288"/>
      <c r="F286" s="289"/>
      <c r="G286" s="290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</row>
    <row r="287" spans="4:22" ht="24" customHeight="1" x14ac:dyDescent="0.35">
      <c r="D287" s="287"/>
      <c r="E287" s="288"/>
      <c r="F287" s="289"/>
      <c r="G287" s="290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</row>
    <row r="288" spans="4:22" ht="24" customHeight="1" x14ac:dyDescent="0.35">
      <c r="D288" s="287"/>
      <c r="E288" s="288"/>
      <c r="F288" s="289"/>
      <c r="G288" s="290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</row>
    <row r="289" spans="4:22" ht="24" customHeight="1" x14ac:dyDescent="0.35">
      <c r="D289" s="287"/>
      <c r="E289" s="288"/>
      <c r="F289" s="289"/>
      <c r="G289" s="290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</row>
    <row r="290" spans="4:22" ht="24" customHeight="1" x14ac:dyDescent="0.35">
      <c r="D290" s="287"/>
      <c r="E290" s="288"/>
      <c r="F290" s="289"/>
      <c r="G290" s="290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</row>
    <row r="291" spans="4:22" ht="24" customHeight="1" x14ac:dyDescent="0.35">
      <c r="D291" s="287"/>
      <c r="E291" s="288"/>
      <c r="F291" s="289"/>
      <c r="G291" s="290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</row>
    <row r="292" spans="4:22" ht="24" customHeight="1" x14ac:dyDescent="0.35">
      <c r="D292" s="287"/>
      <c r="E292" s="288"/>
      <c r="F292" s="289"/>
      <c r="G292" s="290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</row>
    <row r="293" spans="4:22" ht="24" customHeight="1" x14ac:dyDescent="0.35">
      <c r="D293" s="287"/>
      <c r="E293" s="288"/>
      <c r="F293" s="289"/>
      <c r="G293" s="290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</row>
    <row r="294" spans="4:22" ht="24" customHeight="1" x14ac:dyDescent="0.35">
      <c r="D294" s="287"/>
      <c r="E294" s="288"/>
      <c r="F294" s="289"/>
      <c r="G294" s="290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</row>
    <row r="295" spans="4:22" ht="24" customHeight="1" x14ac:dyDescent="0.35">
      <c r="D295" s="287"/>
      <c r="E295" s="288"/>
      <c r="F295" s="289"/>
      <c r="G295" s="290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</row>
    <row r="296" spans="4:22" ht="24" customHeight="1" x14ac:dyDescent="0.35">
      <c r="D296" s="287"/>
      <c r="E296" s="288"/>
      <c r="F296" s="289"/>
      <c r="G296" s="290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</row>
    <row r="297" spans="4:22" ht="24" customHeight="1" x14ac:dyDescent="0.35">
      <c r="D297" s="287"/>
      <c r="E297" s="288"/>
      <c r="F297" s="289"/>
      <c r="G297" s="290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</row>
    <row r="298" spans="4:22" ht="24" customHeight="1" x14ac:dyDescent="0.35">
      <c r="D298" s="287"/>
      <c r="E298" s="288"/>
      <c r="F298" s="289"/>
      <c r="G298" s="290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</row>
    <row r="299" spans="4:22" ht="24" customHeight="1" x14ac:dyDescent="0.35">
      <c r="D299" s="287"/>
      <c r="E299" s="288"/>
      <c r="F299" s="289"/>
      <c r="G299" s="290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</row>
    <row r="300" spans="4:22" ht="24" customHeight="1" x14ac:dyDescent="0.35">
      <c r="D300" s="287"/>
      <c r="E300" s="288"/>
      <c r="F300" s="289"/>
      <c r="G300" s="290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</row>
    <row r="301" spans="4:22" ht="24" customHeight="1" x14ac:dyDescent="0.35">
      <c r="D301" s="287"/>
      <c r="E301" s="288"/>
      <c r="F301" s="289"/>
      <c r="G301" s="290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</row>
    <row r="302" spans="4:22" ht="24" customHeight="1" x14ac:dyDescent="0.35">
      <c r="D302" s="287"/>
      <c r="E302" s="288"/>
      <c r="F302" s="289"/>
      <c r="G302" s="290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</row>
    <row r="303" spans="4:22" ht="24" customHeight="1" x14ac:dyDescent="0.35">
      <c r="D303" s="287"/>
      <c r="E303" s="288"/>
      <c r="F303" s="289"/>
      <c r="G303" s="290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</row>
    <row r="304" spans="4:22" ht="24" customHeight="1" x14ac:dyDescent="0.35">
      <c r="D304" s="287"/>
      <c r="E304" s="288"/>
      <c r="F304" s="289"/>
      <c r="G304" s="290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</row>
    <row r="305" spans="4:22" ht="24" customHeight="1" x14ac:dyDescent="0.35">
      <c r="D305" s="287"/>
      <c r="E305" s="288"/>
      <c r="F305" s="289"/>
      <c r="G305" s="290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</row>
    <row r="306" spans="4:22" ht="24" customHeight="1" x14ac:dyDescent="0.35">
      <c r="D306" s="287"/>
      <c r="E306" s="288"/>
      <c r="F306" s="289"/>
      <c r="G306" s="290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</row>
    <row r="307" spans="4:22" ht="24" customHeight="1" x14ac:dyDescent="0.35">
      <c r="D307" s="287"/>
      <c r="E307" s="288"/>
      <c r="F307" s="289"/>
      <c r="G307" s="290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</row>
    <row r="308" spans="4:22" ht="24" customHeight="1" x14ac:dyDescent="0.35">
      <c r="D308" s="287"/>
      <c r="E308" s="288"/>
      <c r="F308" s="289"/>
      <c r="G308" s="290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</row>
    <row r="309" spans="4:22" ht="24" customHeight="1" x14ac:dyDescent="0.35">
      <c r="D309" s="287"/>
      <c r="E309" s="288"/>
      <c r="F309" s="289"/>
      <c r="G309" s="290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</row>
    <row r="310" spans="4:22" ht="24" customHeight="1" x14ac:dyDescent="0.35">
      <c r="D310" s="287"/>
      <c r="E310" s="288"/>
      <c r="F310" s="289"/>
      <c r="G310" s="290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</row>
    <row r="311" spans="4:22" ht="24" customHeight="1" x14ac:dyDescent="0.35">
      <c r="D311" s="287"/>
      <c r="E311" s="288"/>
      <c r="F311" s="289"/>
      <c r="G311" s="290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</row>
    <row r="312" spans="4:22" ht="24" customHeight="1" x14ac:dyDescent="0.35">
      <c r="D312" s="287"/>
      <c r="E312" s="288"/>
      <c r="F312" s="289"/>
      <c r="G312" s="290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</row>
    <row r="313" spans="4:22" ht="24" customHeight="1" x14ac:dyDescent="0.35">
      <c r="D313" s="287"/>
      <c r="E313" s="288"/>
      <c r="F313" s="289"/>
      <c r="G313" s="290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</row>
    <row r="314" spans="4:22" ht="24" customHeight="1" x14ac:dyDescent="0.35">
      <c r="D314" s="287"/>
      <c r="E314" s="288"/>
      <c r="F314" s="289"/>
      <c r="G314" s="290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</row>
    <row r="315" spans="4:22" ht="24" customHeight="1" x14ac:dyDescent="0.35">
      <c r="D315" s="287"/>
      <c r="E315" s="288"/>
      <c r="F315" s="289"/>
      <c r="G315" s="290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</row>
    <row r="316" spans="4:22" ht="24" customHeight="1" x14ac:dyDescent="0.35">
      <c r="D316" s="287"/>
      <c r="E316" s="288"/>
      <c r="F316" s="289"/>
      <c r="G316" s="290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</row>
    <row r="317" spans="4:22" ht="24" customHeight="1" x14ac:dyDescent="0.35">
      <c r="D317" s="287"/>
      <c r="E317" s="288"/>
      <c r="F317" s="289"/>
      <c r="G317" s="290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</row>
    <row r="318" spans="4:22" ht="24" customHeight="1" x14ac:dyDescent="0.35">
      <c r="D318" s="287"/>
      <c r="E318" s="288"/>
      <c r="F318" s="289"/>
      <c r="G318" s="290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</row>
    <row r="319" spans="4:22" ht="24" customHeight="1" x14ac:dyDescent="0.35">
      <c r="D319" s="287"/>
      <c r="E319" s="288"/>
      <c r="F319" s="289"/>
      <c r="G319" s="290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</row>
    <row r="320" spans="4:22" ht="24" customHeight="1" x14ac:dyDescent="0.35">
      <c r="D320" s="287"/>
      <c r="E320" s="288"/>
      <c r="F320" s="289"/>
      <c r="G320" s="290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</row>
    <row r="321" spans="4:22" ht="24" customHeight="1" x14ac:dyDescent="0.35">
      <c r="D321" s="287"/>
      <c r="E321" s="288"/>
      <c r="F321" s="289"/>
      <c r="G321" s="290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</row>
    <row r="322" spans="4:22" ht="24" customHeight="1" x14ac:dyDescent="0.35">
      <c r="D322" s="287"/>
      <c r="E322" s="288"/>
      <c r="F322" s="289"/>
      <c r="G322" s="290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</row>
  </sheetData>
  <sheetProtection sheet="1" objects="1" scenarios="1"/>
  <mergeCells count="24">
    <mergeCell ref="D212:V213"/>
    <mergeCell ref="K2:L2"/>
    <mergeCell ref="M2:N2"/>
    <mergeCell ref="O2:P2"/>
    <mergeCell ref="Q2:R2"/>
    <mergeCell ref="S2:T2"/>
    <mergeCell ref="U2:V2"/>
    <mergeCell ref="D3:V4"/>
    <mergeCell ref="D108:V109"/>
    <mergeCell ref="D125:V126"/>
    <mergeCell ref="D150:V151"/>
    <mergeCell ref="D157:V158"/>
    <mergeCell ref="U1:V1"/>
    <mergeCell ref="D1:D2"/>
    <mergeCell ref="F1:F2"/>
    <mergeCell ref="G1:G2"/>
    <mergeCell ref="H1:H2"/>
    <mergeCell ref="I1:J1"/>
    <mergeCell ref="I2:J2"/>
    <mergeCell ref="K1:L1"/>
    <mergeCell ref="M1:N1"/>
    <mergeCell ref="O1:P1"/>
    <mergeCell ref="Q1:R1"/>
    <mergeCell ref="S1:T1"/>
  </mergeCells>
  <conditionalFormatting sqref="D3:V107 D110:V326">
    <cfRule type="containsText" dxfId="81" priority="23" operator="containsText" text="owp">
      <formula>NOT(ISERROR(SEARCH("owp",D3)))</formula>
    </cfRule>
    <cfRule type="containsText" dxfId="80" priority="13" operator="containsText" text="hold down">
      <formula>NOT(ISERROR(SEARCH("hold down",D3)))</formula>
    </cfRule>
  </conditionalFormatting>
  <conditionalFormatting sqref="D3:V107">
    <cfRule type="containsText" dxfId="79" priority="32" operator="containsText" text="post">
      <formula>NOT(ISERROR(SEARCH("post",D3)))</formula>
    </cfRule>
  </conditionalFormatting>
  <conditionalFormatting sqref="D110:V236">
    <cfRule type="containsText" dxfId="78" priority="17" operator="containsText" text="post">
      <formula>NOT(ISERROR(SEARCH("post",D110)))</formula>
    </cfRule>
  </conditionalFormatting>
  <conditionalFormatting sqref="D212:V236">
    <cfRule type="containsText" dxfId="77" priority="16" operator="containsText" text="hold down">
      <formula>NOT(ISERROR(SEARCH("hold down",D212)))</formula>
    </cfRule>
  </conditionalFormatting>
  <conditionalFormatting sqref="F5:F107 F110:F326">
    <cfRule type="containsText" dxfId="76" priority="7" operator="containsText" text="otp">
      <formula>NOT(ISERROR(SEARCH("otp",F5)))</formula>
    </cfRule>
    <cfRule type="containsText" dxfId="75" priority="8" operator="containsText" text="bump">
      <formula>NOT(ISERROR(SEARCH("bump",F5)))</formula>
    </cfRule>
  </conditionalFormatting>
  <conditionalFormatting sqref="G5:G107 G110:G326">
    <cfRule type="containsText" dxfId="74" priority="9" operator="containsText" text="bump">
      <formula>NOT(ISERROR(SEARCH("bump",G5)))</formula>
    </cfRule>
    <cfRule type="containsText" dxfId="73" priority="10" operator="containsText" text="otp">
      <formula>NOT(ISERROR(SEARCH("otp",G5)))</formula>
    </cfRule>
  </conditionalFormatting>
  <conditionalFormatting sqref="I5:I107 K5:K107 M5:M107 O5:O107 Q5:Q107 S5:S107 U5:U107 I110:I236 K110:K236 M110:M236 O110:O236 Q110:Q236 S110:S236 U110:U236">
    <cfRule type="containsText" dxfId="72" priority="30" operator="containsText" text="fmla">
      <formula>NOT(ISERROR(SEARCH("fmla",I5)))</formula>
    </cfRule>
    <cfRule type="containsText" dxfId="71" priority="29" operator="containsText" text="S-SD">
      <formula>NOT(ISERROR(SEARCH("S-SD",I5)))</formula>
    </cfRule>
    <cfRule type="containsText" dxfId="70" priority="27" operator="containsText" text="V-WK">
      <formula>NOT(ISERROR(SEARCH("V-WK",I5)))</formula>
    </cfRule>
    <cfRule type="containsText" dxfId="69" priority="24" operator="containsText" text="V-SD">
      <formula>NOT(ISERROR(SEARCH("V-SD",I5)))</formula>
    </cfRule>
    <cfRule type="containsText" dxfId="68" priority="22" operator="containsText" text="S-APPT">
      <formula>NOT(ISERROR(SEARCH("S-APPT",I5)))</formula>
    </cfRule>
    <cfRule type="containsText" dxfId="67" priority="20" operator="containsText" text="UB">
      <formula>NOT(ISERROR(SEARCH("UB",I5)))</formula>
    </cfRule>
    <cfRule type="containsText" dxfId="66" priority="19" operator="containsText" text="ML">
      <formula>NOT(ISERROR(SEARCH("ML",I5)))</formula>
    </cfRule>
    <cfRule type="containsText" dxfId="65" priority="15" operator="containsText" text="CB">
      <formula>NOT(ISERROR(SEARCH("CB",I5)))</formula>
    </cfRule>
  </conditionalFormatting>
  <conditionalFormatting sqref="I3:V107 I110:V326">
    <cfRule type="containsText" dxfId="64" priority="21" operator="containsText" text="V-BB">
      <formula>NOT(ISERROR(SEARCH("V-BB",I3)))</formula>
    </cfRule>
    <cfRule type="containsText" dxfId="63" priority="25" operator="containsText" text="OVERTIME">
      <formula>NOT(ISERROR(SEARCH("OVERTIME",I3)))</formula>
    </cfRule>
    <cfRule type="containsText" dxfId="62" priority="26" operator="containsText" text="diverted">
      <formula>NOT(ISERROR(SEARCH("diverted",I3)))</formula>
    </cfRule>
    <cfRule type="containsText" dxfId="61" priority="28" operator="containsText" text="oos">
      <formula>NOT(ISERROR(SEARCH("oos",I3)))</formula>
    </cfRule>
    <cfRule type="containsText" dxfId="60" priority="33" operator="containsText" text="off">
      <formula>NOT(ISERROR(SEARCH("off",I3)))</formula>
    </cfRule>
  </conditionalFormatting>
  <conditionalFormatting sqref="I5:V107 I110:V236">
    <cfRule type="containsText" dxfId="59" priority="14" operator="containsText" text="forced overtime">
      <formula>NOT(ISERROR(SEARCH("forced overtime",I5)))</formula>
    </cfRule>
  </conditionalFormatting>
  <conditionalFormatting sqref="I5:V107 I110:V326">
    <cfRule type="containsText" dxfId="58" priority="1" operator="containsText" text="~N/A~">
      <formula>NOT(ISERROR(SEARCH("~N/A~",I5)))</formula>
    </cfRule>
  </conditionalFormatting>
  <conditionalFormatting sqref="I5:V325">
    <cfRule type="containsText" dxfId="57" priority="31" operator="containsText" text="otp">
      <formula>NOT(ISERROR(SEARCH("otp",I5)))</formula>
    </cfRule>
  </conditionalFormatting>
  <conditionalFormatting sqref="I212:V236">
    <cfRule type="containsText" dxfId="56" priority="18" operator="containsText" text="off">
      <formula>NOT(ISERROR(SEARCH("off",I212)))</formula>
    </cfRule>
  </conditionalFormatting>
  <conditionalFormatting sqref="J5:J107 J110:J326">
    <cfRule type="expression" dxfId="55" priority="12">
      <formula>I5=J5</formula>
    </cfRule>
  </conditionalFormatting>
  <conditionalFormatting sqref="L5:L107 L110:L326">
    <cfRule type="expression" dxfId="54" priority="11">
      <formula>K5=L5</formula>
    </cfRule>
  </conditionalFormatting>
  <conditionalFormatting sqref="N5:N107 N110:N326">
    <cfRule type="expression" dxfId="53" priority="6">
      <formula>M5=N5</formula>
    </cfRule>
  </conditionalFormatting>
  <conditionalFormatting sqref="P5:P107 P110:P326">
    <cfRule type="expression" dxfId="52" priority="5">
      <formula>O5=P5</formula>
    </cfRule>
  </conditionalFormatting>
  <conditionalFormatting sqref="R5:R107 R110:R236">
    <cfRule type="expression" dxfId="51" priority="4">
      <formula>Q5=R5</formula>
    </cfRule>
  </conditionalFormatting>
  <conditionalFormatting sqref="T5:T107 T110:T326">
    <cfRule type="expression" dxfId="50" priority="3">
      <formula>S5=T5</formula>
    </cfRule>
  </conditionalFormatting>
  <conditionalFormatting sqref="V5:V107 V110:V326">
    <cfRule type="expression" dxfId="49" priority="2">
      <formula>U5=V5</formula>
    </cfRule>
  </conditionalFormatting>
  <pageMargins left="0.7" right="0.7" top="0.75" bottom="0.75" header="0.3" footer="0.3"/>
  <pageSetup scale="25" fitToHeight="0" orientation="portrait" r:id="rId1"/>
  <rowBreaks count="1" manualBreakCount="1">
    <brk id="158" max="16383" man="1"/>
  </rowBreaks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FBD9-0A86-407A-AF16-62B8FCA6537B}">
  <sheetPr codeName="Sheet1"/>
  <dimension ref="A1:T330"/>
  <sheetViews>
    <sheetView workbookViewId="0">
      <selection activeCell="T2" sqref="T2:T330"/>
    </sheetView>
  </sheetViews>
  <sheetFormatPr defaultRowHeight="15.5" x14ac:dyDescent="0.35"/>
  <cols>
    <col min="2" max="2" width="9" customWidth="1"/>
    <col min="3" max="3" width="13.5" customWidth="1"/>
    <col min="5" max="10" width="9.5" bestFit="1" customWidth="1"/>
    <col min="11" max="11" width="10.5" customWidth="1"/>
    <col min="12" max="18" width="9" bestFit="1" customWidth="1"/>
  </cols>
  <sheetData>
    <row r="1" spans="1:20" x14ac:dyDescent="0.35">
      <c r="A1" s="341"/>
      <c r="B1" s="341"/>
      <c r="C1" s="341"/>
      <c r="D1" s="341"/>
      <c r="E1" s="341"/>
      <c r="F1" s="341">
        <v>45969</v>
      </c>
      <c r="G1" s="341">
        <v>45969</v>
      </c>
      <c r="H1" s="341">
        <v>45970</v>
      </c>
      <c r="I1" s="341">
        <v>45970</v>
      </c>
      <c r="J1" s="341">
        <v>45971</v>
      </c>
      <c r="K1" s="341">
        <v>45971</v>
      </c>
      <c r="L1" s="341">
        <v>45972</v>
      </c>
      <c r="M1" s="341">
        <v>45972</v>
      </c>
      <c r="N1" s="341">
        <v>45973</v>
      </c>
      <c r="O1" s="341">
        <v>45973</v>
      </c>
      <c r="P1" s="341">
        <v>45974</v>
      </c>
      <c r="Q1" s="341">
        <v>45974</v>
      </c>
      <c r="R1" s="341">
        <v>45975</v>
      </c>
      <c r="S1">
        <v>45975</v>
      </c>
    </row>
    <row r="2" spans="1:20" x14ac:dyDescent="0.35">
      <c r="A2" t="s">
        <v>227</v>
      </c>
      <c r="B2" t="s">
        <v>228</v>
      </c>
      <c r="C2" t="s">
        <v>31</v>
      </c>
      <c r="D2" t="s">
        <v>229</v>
      </c>
      <c r="F2">
        <v>0</v>
      </c>
      <c r="G2" t="s">
        <v>229</v>
      </c>
      <c r="H2">
        <v>0</v>
      </c>
      <c r="I2" t="s">
        <v>230</v>
      </c>
      <c r="J2">
        <v>0</v>
      </c>
      <c r="K2" t="s">
        <v>230</v>
      </c>
      <c r="L2">
        <v>0</v>
      </c>
      <c r="M2" t="s">
        <v>229</v>
      </c>
      <c r="N2" t="s">
        <v>231</v>
      </c>
      <c r="O2" t="s">
        <v>232</v>
      </c>
      <c r="P2">
        <v>0</v>
      </c>
      <c r="Q2" t="s">
        <v>229</v>
      </c>
      <c r="R2">
        <v>0</v>
      </c>
      <c r="S2" t="s">
        <v>229</v>
      </c>
      <c r="T2" t="s">
        <v>233</v>
      </c>
    </row>
    <row r="3" spans="1:20" x14ac:dyDescent="0.35">
      <c r="A3" t="s">
        <v>234</v>
      </c>
      <c r="B3" t="s">
        <v>235</v>
      </c>
      <c r="C3" t="s">
        <v>15</v>
      </c>
      <c r="D3" t="s">
        <v>236</v>
      </c>
      <c r="F3">
        <v>0</v>
      </c>
      <c r="G3" t="s">
        <v>230</v>
      </c>
      <c r="H3">
        <v>0</v>
      </c>
      <c r="I3" t="s">
        <v>230</v>
      </c>
      <c r="J3" t="s">
        <v>237</v>
      </c>
      <c r="K3" t="s">
        <v>237</v>
      </c>
      <c r="L3">
        <v>0</v>
      </c>
      <c r="M3" t="s">
        <v>238</v>
      </c>
      <c r="N3">
        <v>0</v>
      </c>
      <c r="O3" t="s">
        <v>239</v>
      </c>
      <c r="P3">
        <v>0</v>
      </c>
      <c r="Q3" t="s">
        <v>745</v>
      </c>
      <c r="R3">
        <v>0</v>
      </c>
      <c r="S3" t="s">
        <v>240</v>
      </c>
      <c r="T3" t="s">
        <v>241</v>
      </c>
    </row>
    <row r="4" spans="1:20" x14ac:dyDescent="0.35">
      <c r="A4" t="s">
        <v>242</v>
      </c>
      <c r="B4" t="s">
        <v>243</v>
      </c>
      <c r="C4" t="s">
        <v>12</v>
      </c>
      <c r="D4" t="s">
        <v>244</v>
      </c>
      <c r="F4">
        <v>0</v>
      </c>
      <c r="G4" t="s">
        <v>144</v>
      </c>
      <c r="H4" t="s">
        <v>245</v>
      </c>
      <c r="I4" t="s">
        <v>245</v>
      </c>
      <c r="J4" t="s">
        <v>246</v>
      </c>
      <c r="K4" t="s">
        <v>144</v>
      </c>
      <c r="L4" t="s">
        <v>237</v>
      </c>
      <c r="M4" t="s">
        <v>237</v>
      </c>
      <c r="N4">
        <v>0</v>
      </c>
      <c r="O4" t="s">
        <v>230</v>
      </c>
      <c r="P4">
        <v>0</v>
      </c>
      <c r="Q4" t="s">
        <v>230</v>
      </c>
      <c r="R4" t="s">
        <v>237</v>
      </c>
      <c r="S4" t="s">
        <v>237</v>
      </c>
      <c r="T4" t="s">
        <v>206</v>
      </c>
    </row>
    <row r="5" spans="1:20" x14ac:dyDescent="0.35">
      <c r="A5" t="s">
        <v>247</v>
      </c>
      <c r="B5" t="s">
        <v>248</v>
      </c>
      <c r="C5" t="s">
        <v>44</v>
      </c>
      <c r="D5" t="s">
        <v>249</v>
      </c>
      <c r="F5">
        <v>0</v>
      </c>
      <c r="G5" t="s">
        <v>250</v>
      </c>
      <c r="H5">
        <v>0</v>
      </c>
      <c r="I5" t="s">
        <v>251</v>
      </c>
      <c r="J5">
        <v>0</v>
      </c>
      <c r="K5" t="s">
        <v>251</v>
      </c>
      <c r="L5" t="s">
        <v>245</v>
      </c>
      <c r="M5" t="s">
        <v>245</v>
      </c>
      <c r="N5">
        <v>0</v>
      </c>
      <c r="O5" t="s">
        <v>230</v>
      </c>
      <c r="P5">
        <v>0</v>
      </c>
      <c r="Q5" t="s">
        <v>230</v>
      </c>
      <c r="R5">
        <v>0</v>
      </c>
      <c r="S5" t="s">
        <v>250</v>
      </c>
      <c r="T5" t="s">
        <v>233</v>
      </c>
    </row>
    <row r="6" spans="1:20" x14ac:dyDescent="0.35">
      <c r="A6" t="s">
        <v>252</v>
      </c>
      <c r="B6" t="s">
        <v>253</v>
      </c>
      <c r="C6" t="s">
        <v>37</v>
      </c>
      <c r="D6" t="s">
        <v>254</v>
      </c>
      <c r="F6">
        <v>0</v>
      </c>
      <c r="G6" t="s">
        <v>254</v>
      </c>
      <c r="H6">
        <v>0</v>
      </c>
      <c r="I6" t="s">
        <v>254</v>
      </c>
      <c r="J6">
        <v>0</v>
      </c>
      <c r="K6" t="s">
        <v>254</v>
      </c>
      <c r="L6">
        <v>0</v>
      </c>
      <c r="M6" t="s">
        <v>230</v>
      </c>
      <c r="N6">
        <v>0</v>
      </c>
      <c r="O6" t="s">
        <v>230</v>
      </c>
      <c r="P6" t="s">
        <v>231</v>
      </c>
      <c r="Q6" t="s">
        <v>137</v>
      </c>
      <c r="R6">
        <v>0</v>
      </c>
      <c r="S6" t="s">
        <v>254</v>
      </c>
      <c r="T6" t="s">
        <v>233</v>
      </c>
    </row>
    <row r="7" spans="1:20" x14ac:dyDescent="0.35">
      <c r="A7" t="s">
        <v>255</v>
      </c>
      <c r="B7" t="s">
        <v>256</v>
      </c>
      <c r="C7" t="s">
        <v>44</v>
      </c>
      <c r="D7" t="s">
        <v>250</v>
      </c>
      <c r="F7">
        <v>0</v>
      </c>
      <c r="G7" t="s">
        <v>230</v>
      </c>
      <c r="H7">
        <v>0</v>
      </c>
      <c r="I7" t="s">
        <v>250</v>
      </c>
      <c r="J7">
        <v>0</v>
      </c>
      <c r="K7" t="s">
        <v>250</v>
      </c>
      <c r="L7">
        <v>0</v>
      </c>
      <c r="M7" t="s">
        <v>250</v>
      </c>
      <c r="N7">
        <v>0</v>
      </c>
      <c r="O7" t="s">
        <v>250</v>
      </c>
      <c r="P7">
        <v>0</v>
      </c>
      <c r="Q7" t="s">
        <v>250</v>
      </c>
      <c r="R7">
        <v>0</v>
      </c>
      <c r="S7" t="s">
        <v>230</v>
      </c>
      <c r="T7" t="s">
        <v>233</v>
      </c>
    </row>
    <row r="8" spans="1:20" x14ac:dyDescent="0.35">
      <c r="A8" t="s">
        <v>257</v>
      </c>
      <c r="B8" t="s">
        <v>258</v>
      </c>
      <c r="C8" t="s">
        <v>19</v>
      </c>
      <c r="D8" t="s">
        <v>152</v>
      </c>
      <c r="F8">
        <v>0</v>
      </c>
      <c r="G8" t="s">
        <v>152</v>
      </c>
      <c r="H8">
        <v>0</v>
      </c>
      <c r="I8" t="s">
        <v>152</v>
      </c>
      <c r="J8">
        <v>0</v>
      </c>
      <c r="K8" t="s">
        <v>230</v>
      </c>
      <c r="L8">
        <v>0</v>
      </c>
      <c r="M8" t="s">
        <v>230</v>
      </c>
      <c r="N8" t="s">
        <v>231</v>
      </c>
      <c r="O8" t="s">
        <v>156</v>
      </c>
      <c r="P8">
        <v>0</v>
      </c>
      <c r="Q8" t="s">
        <v>152</v>
      </c>
      <c r="R8">
        <v>0</v>
      </c>
      <c r="S8" t="s">
        <v>152</v>
      </c>
      <c r="T8" t="s">
        <v>259</v>
      </c>
    </row>
    <row r="9" spans="1:20" x14ac:dyDescent="0.35">
      <c r="A9" t="s">
        <v>260</v>
      </c>
      <c r="B9" t="s">
        <v>261</v>
      </c>
      <c r="C9" t="s">
        <v>262</v>
      </c>
      <c r="D9" t="s">
        <v>263</v>
      </c>
      <c r="F9" t="s">
        <v>245</v>
      </c>
      <c r="G9" t="s">
        <v>245</v>
      </c>
      <c r="H9" t="s">
        <v>264</v>
      </c>
      <c r="I9" t="s">
        <v>264</v>
      </c>
      <c r="J9">
        <v>0</v>
      </c>
      <c r="K9" t="s">
        <v>175</v>
      </c>
      <c r="L9">
        <v>0</v>
      </c>
      <c r="M9" t="s">
        <v>175</v>
      </c>
      <c r="N9" t="s">
        <v>221</v>
      </c>
      <c r="O9" t="s">
        <v>175</v>
      </c>
      <c r="P9" t="s">
        <v>221</v>
      </c>
      <c r="Q9" t="s">
        <v>175</v>
      </c>
      <c r="R9">
        <v>0</v>
      </c>
      <c r="S9" t="s">
        <v>230</v>
      </c>
      <c r="T9" t="s">
        <v>204</v>
      </c>
    </row>
    <row r="10" spans="1:20" x14ac:dyDescent="0.35">
      <c r="A10" t="s">
        <v>265</v>
      </c>
      <c r="B10" t="s">
        <v>266</v>
      </c>
      <c r="C10" t="s">
        <v>267</v>
      </c>
      <c r="D10" t="s">
        <v>268</v>
      </c>
      <c r="F10">
        <v>0</v>
      </c>
      <c r="G10" t="s">
        <v>230</v>
      </c>
      <c r="H10">
        <v>0</v>
      </c>
      <c r="I10" t="s">
        <v>230</v>
      </c>
      <c r="J10">
        <v>0</v>
      </c>
      <c r="K10" t="s">
        <v>230</v>
      </c>
      <c r="L10">
        <v>0</v>
      </c>
      <c r="M10" t="s">
        <v>230</v>
      </c>
      <c r="N10">
        <v>0</v>
      </c>
      <c r="O10" t="s">
        <v>177</v>
      </c>
      <c r="P10">
        <v>0</v>
      </c>
      <c r="Q10" t="s">
        <v>177</v>
      </c>
      <c r="R10">
        <v>0</v>
      </c>
      <c r="S10" t="s">
        <v>177</v>
      </c>
      <c r="T10" t="s">
        <v>204</v>
      </c>
    </row>
    <row r="11" spans="1:20" x14ac:dyDescent="0.35">
      <c r="A11" t="s">
        <v>269</v>
      </c>
      <c r="B11" t="s">
        <v>270</v>
      </c>
      <c r="C11" t="s">
        <v>37</v>
      </c>
      <c r="D11" t="s">
        <v>271</v>
      </c>
      <c r="F11">
        <v>0</v>
      </c>
      <c r="G11" t="s">
        <v>271</v>
      </c>
      <c r="H11">
        <v>0</v>
      </c>
      <c r="I11" t="s">
        <v>230</v>
      </c>
      <c r="J11">
        <v>0</v>
      </c>
      <c r="K11" t="s">
        <v>230</v>
      </c>
      <c r="L11">
        <v>0</v>
      </c>
      <c r="M11" t="s">
        <v>271</v>
      </c>
      <c r="N11">
        <v>0</v>
      </c>
      <c r="O11" t="s">
        <v>271</v>
      </c>
      <c r="P11">
        <v>0</v>
      </c>
      <c r="Q11" t="s">
        <v>271</v>
      </c>
      <c r="R11">
        <v>0</v>
      </c>
      <c r="S11" t="s">
        <v>271</v>
      </c>
      <c r="T11" t="s">
        <v>233</v>
      </c>
    </row>
    <row r="12" spans="1:20" x14ac:dyDescent="0.35">
      <c r="A12" t="s">
        <v>272</v>
      </c>
      <c r="B12" t="s">
        <v>273</v>
      </c>
      <c r="C12" t="s">
        <v>5</v>
      </c>
      <c r="D12" t="s">
        <v>83</v>
      </c>
      <c r="F12">
        <v>0</v>
      </c>
      <c r="G12" t="s">
        <v>83</v>
      </c>
      <c r="H12">
        <v>0</v>
      </c>
      <c r="I12" t="s">
        <v>83</v>
      </c>
      <c r="J12">
        <v>0</v>
      </c>
      <c r="K12" t="s">
        <v>230</v>
      </c>
      <c r="L12">
        <v>0</v>
      </c>
      <c r="M12" t="s">
        <v>230</v>
      </c>
      <c r="N12">
        <v>0</v>
      </c>
      <c r="O12" t="s">
        <v>83</v>
      </c>
      <c r="P12">
        <v>0</v>
      </c>
      <c r="Q12" t="s">
        <v>83</v>
      </c>
      <c r="R12">
        <v>0</v>
      </c>
      <c r="S12" t="s">
        <v>83</v>
      </c>
      <c r="T12" t="s">
        <v>259</v>
      </c>
    </row>
    <row r="13" spans="1:20" x14ac:dyDescent="0.35">
      <c r="A13" t="s">
        <v>274</v>
      </c>
      <c r="B13" t="s">
        <v>275</v>
      </c>
      <c r="C13" t="s">
        <v>276</v>
      </c>
      <c r="D13" t="s">
        <v>277</v>
      </c>
      <c r="F13">
        <v>0</v>
      </c>
      <c r="G13" t="s">
        <v>278</v>
      </c>
      <c r="H13">
        <v>0</v>
      </c>
      <c r="I13" t="s">
        <v>278</v>
      </c>
      <c r="J13">
        <v>0</v>
      </c>
      <c r="K13" t="s">
        <v>278</v>
      </c>
      <c r="L13">
        <v>0</v>
      </c>
      <c r="M13" t="s">
        <v>278</v>
      </c>
      <c r="N13">
        <v>0</v>
      </c>
      <c r="O13" t="s">
        <v>230</v>
      </c>
      <c r="P13">
        <v>0</v>
      </c>
      <c r="Q13" t="s">
        <v>230</v>
      </c>
      <c r="R13">
        <v>0</v>
      </c>
      <c r="S13" t="s">
        <v>230</v>
      </c>
      <c r="T13" t="s">
        <v>279</v>
      </c>
    </row>
    <row r="14" spans="1:20" x14ac:dyDescent="0.35">
      <c r="A14" t="s">
        <v>280</v>
      </c>
      <c r="B14" t="s">
        <v>281</v>
      </c>
      <c r="C14" t="s">
        <v>44</v>
      </c>
      <c r="D14" t="s">
        <v>282</v>
      </c>
      <c r="F14">
        <v>0</v>
      </c>
      <c r="G14" t="s">
        <v>282</v>
      </c>
      <c r="H14">
        <v>0</v>
      </c>
      <c r="I14" t="s">
        <v>282</v>
      </c>
      <c r="J14">
        <v>0</v>
      </c>
      <c r="K14" t="s">
        <v>282</v>
      </c>
      <c r="L14">
        <v>0</v>
      </c>
      <c r="M14" t="s">
        <v>282</v>
      </c>
      <c r="N14">
        <v>0</v>
      </c>
      <c r="O14" t="s">
        <v>230</v>
      </c>
      <c r="P14">
        <v>0</v>
      </c>
      <c r="Q14" t="s">
        <v>230</v>
      </c>
      <c r="R14" t="s">
        <v>237</v>
      </c>
      <c r="S14" t="s">
        <v>237</v>
      </c>
      <c r="T14" t="s">
        <v>233</v>
      </c>
    </row>
    <row r="15" spans="1:20" x14ac:dyDescent="0.35">
      <c r="A15" t="s">
        <v>283</v>
      </c>
      <c r="B15" t="s">
        <v>284</v>
      </c>
      <c r="C15" t="s">
        <v>44</v>
      </c>
      <c r="D15" t="s">
        <v>285</v>
      </c>
      <c r="F15">
        <v>0</v>
      </c>
      <c r="G15" t="s">
        <v>285</v>
      </c>
      <c r="H15">
        <v>0</v>
      </c>
      <c r="I15" t="s">
        <v>285</v>
      </c>
      <c r="J15">
        <v>0</v>
      </c>
      <c r="K15" t="s">
        <v>230</v>
      </c>
      <c r="L15">
        <v>0</v>
      </c>
      <c r="M15" t="s">
        <v>230</v>
      </c>
      <c r="N15">
        <v>0</v>
      </c>
      <c r="O15" t="s">
        <v>285</v>
      </c>
      <c r="P15">
        <v>0</v>
      </c>
      <c r="Q15" t="s">
        <v>285</v>
      </c>
      <c r="R15">
        <v>0</v>
      </c>
      <c r="S15" t="s">
        <v>285</v>
      </c>
      <c r="T15" t="s">
        <v>233</v>
      </c>
    </row>
    <row r="16" spans="1:20" x14ac:dyDescent="0.35">
      <c r="A16" t="s">
        <v>286</v>
      </c>
      <c r="B16" t="s">
        <v>287</v>
      </c>
      <c r="C16" t="s">
        <v>26</v>
      </c>
      <c r="D16" t="s">
        <v>137</v>
      </c>
      <c r="F16" t="s">
        <v>288</v>
      </c>
      <c r="G16" t="s">
        <v>288</v>
      </c>
      <c r="H16" t="s">
        <v>288</v>
      </c>
      <c r="I16" t="s">
        <v>288</v>
      </c>
      <c r="J16">
        <v>0</v>
      </c>
      <c r="K16" t="s">
        <v>230</v>
      </c>
      <c r="L16">
        <v>0</v>
      </c>
      <c r="M16" t="s">
        <v>230</v>
      </c>
      <c r="N16">
        <v>0</v>
      </c>
      <c r="O16" t="s">
        <v>137</v>
      </c>
      <c r="P16" t="s">
        <v>245</v>
      </c>
      <c r="Q16" t="s">
        <v>245</v>
      </c>
      <c r="R16">
        <v>0</v>
      </c>
      <c r="S16" t="s">
        <v>137</v>
      </c>
      <c r="T16" t="s">
        <v>259</v>
      </c>
    </row>
    <row r="17" spans="1:20" x14ac:dyDescent="0.35">
      <c r="A17" t="s">
        <v>289</v>
      </c>
      <c r="B17" t="s">
        <v>290</v>
      </c>
      <c r="C17" t="s">
        <v>26</v>
      </c>
      <c r="D17" t="s">
        <v>135</v>
      </c>
      <c r="F17">
        <v>0</v>
      </c>
      <c r="G17" t="s">
        <v>135</v>
      </c>
      <c r="H17">
        <v>0</v>
      </c>
      <c r="I17" t="s">
        <v>135</v>
      </c>
      <c r="J17">
        <v>0</v>
      </c>
      <c r="K17" t="s">
        <v>135</v>
      </c>
      <c r="L17">
        <v>0</v>
      </c>
      <c r="M17" t="s">
        <v>230</v>
      </c>
      <c r="N17">
        <v>0</v>
      </c>
      <c r="O17" t="s">
        <v>230</v>
      </c>
      <c r="P17">
        <v>0</v>
      </c>
      <c r="Q17" t="s">
        <v>135</v>
      </c>
      <c r="R17">
        <v>0</v>
      </c>
      <c r="S17" t="s">
        <v>135</v>
      </c>
      <c r="T17" t="s">
        <v>259</v>
      </c>
    </row>
    <row r="18" spans="1:20" x14ac:dyDescent="0.35">
      <c r="A18" t="s">
        <v>291</v>
      </c>
      <c r="B18" t="s">
        <v>292</v>
      </c>
      <c r="C18" t="s">
        <v>13</v>
      </c>
      <c r="D18" t="s">
        <v>293</v>
      </c>
      <c r="F18">
        <v>0</v>
      </c>
      <c r="G18" t="s">
        <v>101</v>
      </c>
      <c r="H18">
        <v>0</v>
      </c>
      <c r="I18" t="s">
        <v>134</v>
      </c>
      <c r="J18">
        <v>0</v>
      </c>
      <c r="K18" t="s">
        <v>134</v>
      </c>
      <c r="L18">
        <v>0</v>
      </c>
      <c r="M18" t="s">
        <v>159</v>
      </c>
      <c r="N18">
        <v>0</v>
      </c>
      <c r="O18" t="s">
        <v>230</v>
      </c>
      <c r="P18">
        <v>0</v>
      </c>
      <c r="Q18" t="s">
        <v>230</v>
      </c>
      <c r="R18">
        <v>0</v>
      </c>
      <c r="S18" t="s">
        <v>158</v>
      </c>
      <c r="T18" t="s">
        <v>206</v>
      </c>
    </row>
    <row r="19" spans="1:20" x14ac:dyDescent="0.35">
      <c r="A19" t="s">
        <v>294</v>
      </c>
      <c r="B19" t="s">
        <v>295</v>
      </c>
      <c r="C19" t="s">
        <v>214</v>
      </c>
      <c r="D19" t="s">
        <v>214</v>
      </c>
      <c r="E19" t="s">
        <v>296</v>
      </c>
      <c r="F19" t="s">
        <v>231</v>
      </c>
      <c r="G19" t="s">
        <v>87</v>
      </c>
      <c r="H19" t="s">
        <v>297</v>
      </c>
      <c r="I19" t="s">
        <v>131</v>
      </c>
      <c r="J19" t="s">
        <v>297</v>
      </c>
      <c r="K19" t="s">
        <v>131</v>
      </c>
      <c r="L19" t="s">
        <v>297</v>
      </c>
      <c r="M19" t="s">
        <v>156</v>
      </c>
      <c r="N19" t="s">
        <v>297</v>
      </c>
      <c r="O19" t="s">
        <v>230</v>
      </c>
      <c r="P19" t="s">
        <v>297</v>
      </c>
      <c r="Q19" t="s">
        <v>230</v>
      </c>
      <c r="R19" t="s">
        <v>297</v>
      </c>
      <c r="S19" t="s">
        <v>95</v>
      </c>
      <c r="T19" t="s">
        <v>214</v>
      </c>
    </row>
    <row r="20" spans="1:20" x14ac:dyDescent="0.35">
      <c r="A20" t="s">
        <v>298</v>
      </c>
      <c r="B20" t="s">
        <v>299</v>
      </c>
      <c r="C20" t="s">
        <v>26</v>
      </c>
      <c r="D20" t="s">
        <v>165</v>
      </c>
      <c r="F20" t="s">
        <v>221</v>
      </c>
      <c r="G20" t="s">
        <v>162</v>
      </c>
      <c r="H20">
        <v>0</v>
      </c>
      <c r="I20" t="s">
        <v>165</v>
      </c>
      <c r="J20">
        <v>0</v>
      </c>
      <c r="K20" t="s">
        <v>165</v>
      </c>
      <c r="L20">
        <v>0</v>
      </c>
      <c r="M20" t="s">
        <v>165</v>
      </c>
      <c r="N20">
        <v>0</v>
      </c>
      <c r="O20" t="s">
        <v>165</v>
      </c>
      <c r="P20">
        <v>0</v>
      </c>
      <c r="Q20" t="s">
        <v>165</v>
      </c>
      <c r="R20">
        <v>0</v>
      </c>
      <c r="S20" t="s">
        <v>230</v>
      </c>
      <c r="T20" t="s">
        <v>259</v>
      </c>
    </row>
    <row r="21" spans="1:20" x14ac:dyDescent="0.35">
      <c r="A21" t="s">
        <v>300</v>
      </c>
      <c r="B21" t="s">
        <v>301</v>
      </c>
      <c r="C21" t="s">
        <v>5</v>
      </c>
      <c r="D21" t="s">
        <v>146</v>
      </c>
      <c r="F21" t="s">
        <v>231</v>
      </c>
      <c r="G21" t="s">
        <v>149</v>
      </c>
      <c r="H21" t="s">
        <v>231</v>
      </c>
      <c r="I21" t="s">
        <v>162</v>
      </c>
      <c r="J21" t="s">
        <v>302</v>
      </c>
      <c r="K21" t="s">
        <v>303</v>
      </c>
      <c r="L21" t="s">
        <v>302</v>
      </c>
      <c r="M21" t="s">
        <v>303</v>
      </c>
      <c r="N21" t="s">
        <v>302</v>
      </c>
      <c r="O21" t="s">
        <v>230</v>
      </c>
      <c r="P21" t="s">
        <v>302</v>
      </c>
      <c r="Q21" t="s">
        <v>230</v>
      </c>
      <c r="R21" t="s">
        <v>302</v>
      </c>
      <c r="S21" t="s">
        <v>303</v>
      </c>
      <c r="T21" t="s">
        <v>259</v>
      </c>
    </row>
    <row r="22" spans="1:20" x14ac:dyDescent="0.35">
      <c r="A22" t="s">
        <v>304</v>
      </c>
      <c r="B22" t="s">
        <v>305</v>
      </c>
      <c r="C22" t="s">
        <v>5</v>
      </c>
      <c r="D22" t="s">
        <v>306</v>
      </c>
      <c r="F22">
        <v>0</v>
      </c>
      <c r="G22" t="s">
        <v>73</v>
      </c>
      <c r="H22">
        <v>0</v>
      </c>
      <c r="I22" t="s">
        <v>120</v>
      </c>
      <c r="J22">
        <v>0</v>
      </c>
      <c r="K22" t="s">
        <v>120</v>
      </c>
      <c r="L22">
        <v>0</v>
      </c>
      <c r="M22" t="s">
        <v>145</v>
      </c>
      <c r="N22">
        <v>0</v>
      </c>
      <c r="O22" t="s">
        <v>230</v>
      </c>
      <c r="P22">
        <v>0</v>
      </c>
      <c r="Q22" t="s">
        <v>230</v>
      </c>
      <c r="R22">
        <v>0</v>
      </c>
      <c r="S22" t="s">
        <v>73</v>
      </c>
      <c r="T22" t="s">
        <v>259</v>
      </c>
    </row>
    <row r="23" spans="1:20" x14ac:dyDescent="0.35">
      <c r="A23" t="s">
        <v>307</v>
      </c>
      <c r="B23" t="s">
        <v>308</v>
      </c>
      <c r="C23" t="s">
        <v>37</v>
      </c>
      <c r="D23" t="s">
        <v>309</v>
      </c>
      <c r="F23">
        <v>0</v>
      </c>
      <c r="G23" t="s">
        <v>310</v>
      </c>
      <c r="H23">
        <v>0</v>
      </c>
      <c r="I23" t="s">
        <v>310</v>
      </c>
      <c r="J23">
        <v>0</v>
      </c>
      <c r="K23" t="s">
        <v>311</v>
      </c>
      <c r="L23">
        <v>0</v>
      </c>
      <c r="M23" t="s">
        <v>311</v>
      </c>
      <c r="N23">
        <v>0</v>
      </c>
      <c r="O23" t="s">
        <v>312</v>
      </c>
      <c r="P23">
        <v>0</v>
      </c>
      <c r="Q23" t="s">
        <v>230</v>
      </c>
      <c r="R23">
        <v>0</v>
      </c>
      <c r="S23" t="s">
        <v>230</v>
      </c>
      <c r="T23" t="s">
        <v>233</v>
      </c>
    </row>
    <row r="24" spans="1:20" x14ac:dyDescent="0.35">
      <c r="A24" t="s">
        <v>313</v>
      </c>
      <c r="B24" t="s">
        <v>314</v>
      </c>
      <c r="C24" t="s">
        <v>14</v>
      </c>
      <c r="D24" t="s">
        <v>315</v>
      </c>
      <c r="F24">
        <v>0</v>
      </c>
      <c r="G24" t="s">
        <v>141</v>
      </c>
      <c r="H24">
        <v>0</v>
      </c>
      <c r="I24" t="s">
        <v>141</v>
      </c>
      <c r="J24">
        <v>0</v>
      </c>
      <c r="K24" t="s">
        <v>240</v>
      </c>
      <c r="L24">
        <v>0</v>
      </c>
      <c r="M24" t="s">
        <v>140</v>
      </c>
      <c r="N24">
        <v>0</v>
      </c>
      <c r="O24" t="s">
        <v>230</v>
      </c>
      <c r="P24">
        <v>0</v>
      </c>
      <c r="Q24" t="s">
        <v>230</v>
      </c>
      <c r="R24">
        <v>0</v>
      </c>
      <c r="S24" t="s">
        <v>141</v>
      </c>
      <c r="T24" t="s">
        <v>206</v>
      </c>
    </row>
    <row r="25" spans="1:20" x14ac:dyDescent="0.35">
      <c r="A25" t="s">
        <v>316</v>
      </c>
      <c r="B25" t="s">
        <v>317</v>
      </c>
      <c r="C25" t="s">
        <v>19</v>
      </c>
      <c r="D25" t="s">
        <v>101</v>
      </c>
      <c r="F25">
        <v>0</v>
      </c>
      <c r="G25" t="s">
        <v>230</v>
      </c>
      <c r="H25">
        <v>0</v>
      </c>
      <c r="I25" t="s">
        <v>101</v>
      </c>
      <c r="J25">
        <v>0</v>
      </c>
      <c r="K25" t="s">
        <v>101</v>
      </c>
      <c r="L25">
        <v>0</v>
      </c>
      <c r="M25" t="s">
        <v>101</v>
      </c>
      <c r="N25">
        <v>0</v>
      </c>
      <c r="O25" t="s">
        <v>101</v>
      </c>
      <c r="P25">
        <v>0</v>
      </c>
      <c r="Q25" t="s">
        <v>101</v>
      </c>
      <c r="R25">
        <v>0</v>
      </c>
      <c r="S25" t="s">
        <v>230</v>
      </c>
      <c r="T25" t="s">
        <v>259</v>
      </c>
    </row>
    <row r="26" spans="1:20" x14ac:dyDescent="0.35">
      <c r="A26" t="s">
        <v>318</v>
      </c>
      <c r="B26" t="s">
        <v>319</v>
      </c>
      <c r="C26" t="s">
        <v>19</v>
      </c>
      <c r="D26" t="s">
        <v>320</v>
      </c>
      <c r="F26">
        <v>0</v>
      </c>
      <c r="G26" t="s">
        <v>230</v>
      </c>
      <c r="H26">
        <v>0</v>
      </c>
      <c r="I26" t="s">
        <v>99</v>
      </c>
      <c r="J26">
        <v>0</v>
      </c>
      <c r="K26" t="s">
        <v>99</v>
      </c>
      <c r="L26">
        <v>0</v>
      </c>
      <c r="M26" t="s">
        <v>133</v>
      </c>
      <c r="N26">
        <v>0</v>
      </c>
      <c r="O26" t="s">
        <v>133</v>
      </c>
      <c r="P26">
        <v>0</v>
      </c>
      <c r="Q26" t="s">
        <v>158</v>
      </c>
      <c r="R26">
        <v>0</v>
      </c>
      <c r="S26" t="s">
        <v>230</v>
      </c>
      <c r="T26" t="s">
        <v>259</v>
      </c>
    </row>
    <row r="27" spans="1:20" x14ac:dyDescent="0.35">
      <c r="A27" t="s">
        <v>321</v>
      </c>
      <c r="B27" t="s">
        <v>322</v>
      </c>
      <c r="C27" t="s">
        <v>19</v>
      </c>
      <c r="D27" t="s">
        <v>93</v>
      </c>
      <c r="F27">
        <v>0</v>
      </c>
      <c r="G27" t="s">
        <v>230</v>
      </c>
      <c r="H27">
        <v>0</v>
      </c>
      <c r="I27" t="s">
        <v>93</v>
      </c>
      <c r="J27">
        <v>0</v>
      </c>
      <c r="K27" t="s">
        <v>93</v>
      </c>
      <c r="L27">
        <v>0</v>
      </c>
      <c r="M27" t="s">
        <v>93</v>
      </c>
      <c r="N27">
        <v>0</v>
      </c>
      <c r="O27" t="s">
        <v>93</v>
      </c>
      <c r="P27">
        <v>0</v>
      </c>
      <c r="Q27" t="s">
        <v>93</v>
      </c>
      <c r="R27">
        <v>0</v>
      </c>
      <c r="S27" t="s">
        <v>230</v>
      </c>
      <c r="T27" t="s">
        <v>259</v>
      </c>
    </row>
    <row r="28" spans="1:20" x14ac:dyDescent="0.35">
      <c r="A28" t="s">
        <v>323</v>
      </c>
      <c r="B28" t="s">
        <v>324</v>
      </c>
      <c r="C28" t="s">
        <v>31</v>
      </c>
      <c r="D28" t="s">
        <v>325</v>
      </c>
      <c r="F28">
        <v>0</v>
      </c>
      <c r="G28" t="s">
        <v>230</v>
      </c>
      <c r="H28">
        <v>0</v>
      </c>
      <c r="I28" t="s">
        <v>326</v>
      </c>
      <c r="J28">
        <v>0</v>
      </c>
      <c r="K28" t="s">
        <v>326</v>
      </c>
      <c r="L28">
        <v>0</v>
      </c>
      <c r="M28" t="s">
        <v>327</v>
      </c>
      <c r="N28" t="s">
        <v>216</v>
      </c>
      <c r="O28" t="s">
        <v>216</v>
      </c>
      <c r="P28" t="s">
        <v>216</v>
      </c>
      <c r="Q28" t="s">
        <v>216</v>
      </c>
      <c r="R28">
        <v>0</v>
      </c>
      <c r="S28" t="s">
        <v>230</v>
      </c>
      <c r="T28" t="s">
        <v>233</v>
      </c>
    </row>
    <row r="29" spans="1:20" x14ac:dyDescent="0.35">
      <c r="A29" t="s">
        <v>329</v>
      </c>
      <c r="B29" t="s">
        <v>330</v>
      </c>
      <c r="C29" t="s">
        <v>331</v>
      </c>
      <c r="D29" t="s">
        <v>332</v>
      </c>
      <c r="F29">
        <v>0</v>
      </c>
      <c r="G29" t="s">
        <v>230</v>
      </c>
      <c r="H29">
        <v>0</v>
      </c>
      <c r="I29" t="s">
        <v>230</v>
      </c>
      <c r="J29">
        <v>0</v>
      </c>
      <c r="K29" t="s">
        <v>163</v>
      </c>
      <c r="L29">
        <v>0</v>
      </c>
      <c r="M29" t="s">
        <v>164</v>
      </c>
      <c r="N29">
        <v>0</v>
      </c>
      <c r="O29" t="s">
        <v>161</v>
      </c>
      <c r="P29">
        <v>0</v>
      </c>
      <c r="Q29" t="s">
        <v>162</v>
      </c>
      <c r="R29">
        <v>0</v>
      </c>
      <c r="S29" t="s">
        <v>160</v>
      </c>
      <c r="T29" t="s">
        <v>259</v>
      </c>
    </row>
    <row r="30" spans="1:20" x14ac:dyDescent="0.35">
      <c r="A30" t="s">
        <v>333</v>
      </c>
      <c r="B30" t="s">
        <v>334</v>
      </c>
      <c r="C30" t="s">
        <v>19</v>
      </c>
      <c r="D30" t="s">
        <v>155</v>
      </c>
      <c r="F30">
        <v>0</v>
      </c>
      <c r="G30" t="s">
        <v>155</v>
      </c>
      <c r="H30">
        <v>0</v>
      </c>
      <c r="I30" t="s">
        <v>155</v>
      </c>
      <c r="J30">
        <v>0</v>
      </c>
      <c r="K30" t="s">
        <v>230</v>
      </c>
      <c r="L30">
        <v>0</v>
      </c>
      <c r="M30" t="s">
        <v>230</v>
      </c>
      <c r="N30">
        <v>0</v>
      </c>
      <c r="O30" t="s">
        <v>155</v>
      </c>
      <c r="P30">
        <v>0</v>
      </c>
      <c r="Q30" t="s">
        <v>155</v>
      </c>
      <c r="R30">
        <v>0</v>
      </c>
      <c r="S30" t="s">
        <v>155</v>
      </c>
      <c r="T30" t="s">
        <v>259</v>
      </c>
    </row>
    <row r="31" spans="1:20" x14ac:dyDescent="0.35">
      <c r="A31" t="s">
        <v>335</v>
      </c>
      <c r="B31" t="s">
        <v>336</v>
      </c>
      <c r="C31" t="s">
        <v>37</v>
      </c>
      <c r="D31" t="s">
        <v>337</v>
      </c>
      <c r="F31">
        <v>0</v>
      </c>
      <c r="G31" t="s">
        <v>337</v>
      </c>
      <c r="H31">
        <v>0</v>
      </c>
      <c r="I31" t="s">
        <v>337</v>
      </c>
      <c r="J31">
        <v>0</v>
      </c>
      <c r="K31" t="s">
        <v>230</v>
      </c>
      <c r="L31">
        <v>0</v>
      </c>
      <c r="M31" t="s">
        <v>230</v>
      </c>
      <c r="N31">
        <v>0</v>
      </c>
      <c r="O31" t="s">
        <v>337</v>
      </c>
      <c r="P31">
        <v>0</v>
      </c>
      <c r="Q31" t="s">
        <v>337</v>
      </c>
      <c r="R31">
        <v>0</v>
      </c>
      <c r="S31" t="s">
        <v>337</v>
      </c>
      <c r="T31" t="s">
        <v>233</v>
      </c>
    </row>
    <row r="32" spans="1:20" x14ac:dyDescent="0.35">
      <c r="A32" t="s">
        <v>338</v>
      </c>
      <c r="B32" t="s">
        <v>339</v>
      </c>
      <c r="C32" t="s">
        <v>340</v>
      </c>
      <c r="D32" t="s">
        <v>341</v>
      </c>
      <c r="F32" t="s">
        <v>237</v>
      </c>
      <c r="G32" t="s">
        <v>237</v>
      </c>
      <c r="H32" t="s">
        <v>237</v>
      </c>
      <c r="I32" t="s">
        <v>237</v>
      </c>
      <c r="J32" t="s">
        <v>237</v>
      </c>
      <c r="K32" t="s">
        <v>237</v>
      </c>
      <c r="L32" t="s">
        <v>237</v>
      </c>
      <c r="M32" t="s">
        <v>237</v>
      </c>
      <c r="N32">
        <v>0</v>
      </c>
      <c r="O32" t="s">
        <v>230</v>
      </c>
      <c r="P32">
        <v>0</v>
      </c>
      <c r="Q32" t="s">
        <v>230</v>
      </c>
      <c r="R32">
        <v>0</v>
      </c>
      <c r="S32" t="s">
        <v>230</v>
      </c>
      <c r="T32" t="s">
        <v>279</v>
      </c>
    </row>
    <row r="33" spans="1:20" x14ac:dyDescent="0.35">
      <c r="A33" t="s">
        <v>342</v>
      </c>
      <c r="B33" t="s">
        <v>343</v>
      </c>
      <c r="C33" t="s">
        <v>5</v>
      </c>
      <c r="D33" t="s">
        <v>68</v>
      </c>
      <c r="F33">
        <v>0</v>
      </c>
      <c r="G33" t="s">
        <v>230</v>
      </c>
      <c r="H33">
        <v>0</v>
      </c>
      <c r="I33" t="s">
        <v>68</v>
      </c>
      <c r="J33">
        <v>0</v>
      </c>
      <c r="K33" t="s">
        <v>68</v>
      </c>
      <c r="L33">
        <v>0</v>
      </c>
      <c r="M33" t="s">
        <v>68</v>
      </c>
      <c r="N33">
        <v>0</v>
      </c>
      <c r="O33" t="s">
        <v>68</v>
      </c>
      <c r="P33">
        <v>0</v>
      </c>
      <c r="Q33" t="s">
        <v>68</v>
      </c>
      <c r="R33">
        <v>0</v>
      </c>
      <c r="S33" t="s">
        <v>230</v>
      </c>
      <c r="T33" t="s">
        <v>259</v>
      </c>
    </row>
    <row r="34" spans="1:20" x14ac:dyDescent="0.35">
      <c r="A34" t="s">
        <v>344</v>
      </c>
      <c r="B34" t="s">
        <v>345</v>
      </c>
      <c r="C34" t="s">
        <v>26</v>
      </c>
      <c r="D34" t="s">
        <v>346</v>
      </c>
      <c r="F34">
        <v>0</v>
      </c>
      <c r="G34" t="s">
        <v>111</v>
      </c>
      <c r="H34">
        <v>0</v>
      </c>
      <c r="I34" t="s">
        <v>111</v>
      </c>
      <c r="J34">
        <v>0</v>
      </c>
      <c r="K34" t="s">
        <v>139</v>
      </c>
      <c r="L34" t="s">
        <v>231</v>
      </c>
      <c r="M34" t="s">
        <v>124</v>
      </c>
      <c r="N34" t="s">
        <v>245</v>
      </c>
      <c r="O34" t="s">
        <v>245</v>
      </c>
      <c r="P34">
        <v>0</v>
      </c>
      <c r="Q34" t="s">
        <v>230</v>
      </c>
      <c r="R34">
        <v>0</v>
      </c>
      <c r="S34" t="s">
        <v>230</v>
      </c>
      <c r="T34" t="s">
        <v>259</v>
      </c>
    </row>
    <row r="35" spans="1:20" x14ac:dyDescent="0.35">
      <c r="A35" t="s">
        <v>347</v>
      </c>
      <c r="B35" t="s">
        <v>348</v>
      </c>
      <c r="C35" t="s">
        <v>349</v>
      </c>
      <c r="D35" t="s">
        <v>350</v>
      </c>
      <c r="F35">
        <v>0</v>
      </c>
      <c r="G35" t="s">
        <v>351</v>
      </c>
      <c r="H35">
        <v>0</v>
      </c>
      <c r="I35" t="s">
        <v>351</v>
      </c>
      <c r="J35">
        <v>0</v>
      </c>
      <c r="K35" t="s">
        <v>351</v>
      </c>
      <c r="L35">
        <v>0</v>
      </c>
      <c r="M35" t="s">
        <v>351</v>
      </c>
      <c r="N35">
        <v>0</v>
      </c>
      <c r="O35" t="s">
        <v>230</v>
      </c>
      <c r="P35">
        <v>0</v>
      </c>
      <c r="Q35" t="s">
        <v>230</v>
      </c>
      <c r="R35">
        <v>0</v>
      </c>
      <c r="S35" t="s">
        <v>230</v>
      </c>
      <c r="T35" t="s">
        <v>279</v>
      </c>
    </row>
    <row r="36" spans="1:20" x14ac:dyDescent="0.35">
      <c r="A36" t="s">
        <v>352</v>
      </c>
      <c r="B36" t="s">
        <v>353</v>
      </c>
      <c r="C36" t="s">
        <v>5</v>
      </c>
      <c r="D36" t="s">
        <v>71</v>
      </c>
      <c r="F36">
        <v>0</v>
      </c>
      <c r="G36" t="s">
        <v>230</v>
      </c>
      <c r="H36">
        <v>0</v>
      </c>
      <c r="I36" t="s">
        <v>230</v>
      </c>
      <c r="J36" t="s">
        <v>354</v>
      </c>
      <c r="K36" t="s">
        <v>354</v>
      </c>
      <c r="L36">
        <v>0</v>
      </c>
      <c r="M36" t="s">
        <v>71</v>
      </c>
      <c r="N36">
        <v>0</v>
      </c>
      <c r="O36" t="s">
        <v>71</v>
      </c>
      <c r="P36">
        <v>0</v>
      </c>
      <c r="Q36" t="s">
        <v>71</v>
      </c>
      <c r="R36">
        <v>0</v>
      </c>
      <c r="S36" t="s">
        <v>71</v>
      </c>
      <c r="T36" t="s">
        <v>259</v>
      </c>
    </row>
    <row r="37" spans="1:20" x14ac:dyDescent="0.35">
      <c r="A37" t="s">
        <v>355</v>
      </c>
      <c r="B37" t="s">
        <v>356</v>
      </c>
      <c r="C37" t="s">
        <v>16</v>
      </c>
      <c r="D37" t="s">
        <v>357</v>
      </c>
      <c r="F37">
        <v>0</v>
      </c>
      <c r="G37" t="s">
        <v>358</v>
      </c>
      <c r="H37">
        <v>0</v>
      </c>
      <c r="I37" t="s">
        <v>359</v>
      </c>
      <c r="J37">
        <v>0</v>
      </c>
      <c r="K37" t="s">
        <v>360</v>
      </c>
      <c r="L37">
        <v>0</v>
      </c>
      <c r="M37" t="s">
        <v>240</v>
      </c>
      <c r="N37">
        <v>0</v>
      </c>
      <c r="O37" t="s">
        <v>230</v>
      </c>
      <c r="P37">
        <v>0</v>
      </c>
      <c r="Q37" t="s">
        <v>230</v>
      </c>
      <c r="R37">
        <v>0</v>
      </c>
      <c r="S37" t="s">
        <v>359</v>
      </c>
      <c r="T37" t="s">
        <v>241</v>
      </c>
    </row>
    <row r="38" spans="1:20" x14ac:dyDescent="0.35">
      <c r="A38" t="s">
        <v>361</v>
      </c>
      <c r="B38" t="s">
        <v>362</v>
      </c>
      <c r="C38" t="s">
        <v>59</v>
      </c>
      <c r="D38" t="s">
        <v>363</v>
      </c>
      <c r="F38">
        <v>0</v>
      </c>
      <c r="G38" t="s">
        <v>364</v>
      </c>
      <c r="H38">
        <v>0</v>
      </c>
      <c r="I38" t="s">
        <v>364</v>
      </c>
      <c r="J38">
        <v>0</v>
      </c>
      <c r="K38" t="s">
        <v>364</v>
      </c>
      <c r="L38">
        <v>0</v>
      </c>
      <c r="M38" t="s">
        <v>364</v>
      </c>
      <c r="N38">
        <v>0</v>
      </c>
      <c r="O38" t="s">
        <v>364</v>
      </c>
      <c r="P38">
        <v>0</v>
      </c>
      <c r="Q38" t="s">
        <v>364</v>
      </c>
      <c r="R38">
        <v>0</v>
      </c>
      <c r="S38" t="s">
        <v>230</v>
      </c>
      <c r="T38" t="s">
        <v>365</v>
      </c>
    </row>
    <row r="39" spans="1:20" x14ac:dyDescent="0.35">
      <c r="A39" t="s">
        <v>366</v>
      </c>
      <c r="B39" t="s">
        <v>367</v>
      </c>
      <c r="C39" t="s">
        <v>26</v>
      </c>
      <c r="D39" t="s">
        <v>368</v>
      </c>
      <c r="F39">
        <v>0</v>
      </c>
      <c r="G39" t="s">
        <v>109</v>
      </c>
      <c r="H39">
        <v>0</v>
      </c>
      <c r="I39" t="s">
        <v>138</v>
      </c>
      <c r="J39">
        <v>0</v>
      </c>
      <c r="K39" t="s">
        <v>138</v>
      </c>
      <c r="L39">
        <v>0</v>
      </c>
      <c r="M39" t="s">
        <v>163</v>
      </c>
      <c r="N39">
        <v>0</v>
      </c>
      <c r="O39" t="s">
        <v>230</v>
      </c>
      <c r="P39">
        <v>0</v>
      </c>
      <c r="Q39" t="s">
        <v>230</v>
      </c>
      <c r="R39">
        <v>0</v>
      </c>
      <c r="S39" t="s">
        <v>109</v>
      </c>
      <c r="T39" t="s">
        <v>259</v>
      </c>
    </row>
    <row r="40" spans="1:20" x14ac:dyDescent="0.35">
      <c r="A40" t="s">
        <v>369</v>
      </c>
      <c r="B40" t="s">
        <v>370</v>
      </c>
      <c r="C40" t="s">
        <v>5</v>
      </c>
      <c r="D40" t="s">
        <v>371</v>
      </c>
      <c r="F40">
        <v>0</v>
      </c>
      <c r="G40" t="s">
        <v>68</v>
      </c>
      <c r="H40">
        <v>0</v>
      </c>
      <c r="I40" t="s">
        <v>118</v>
      </c>
      <c r="J40">
        <v>0</v>
      </c>
      <c r="K40" t="s">
        <v>118</v>
      </c>
      <c r="L40">
        <v>0</v>
      </c>
      <c r="M40" t="s">
        <v>143</v>
      </c>
      <c r="N40">
        <v>0</v>
      </c>
      <c r="O40" t="s">
        <v>230</v>
      </c>
      <c r="P40">
        <v>0</v>
      </c>
      <c r="Q40" t="s">
        <v>230</v>
      </c>
      <c r="R40">
        <v>0</v>
      </c>
      <c r="S40" t="s">
        <v>68</v>
      </c>
      <c r="T40" t="s">
        <v>259</v>
      </c>
    </row>
    <row r="41" spans="1:20" x14ac:dyDescent="0.35">
      <c r="A41" t="s">
        <v>372</v>
      </c>
      <c r="B41" t="s">
        <v>373</v>
      </c>
      <c r="C41" t="s">
        <v>37</v>
      </c>
      <c r="D41" t="s">
        <v>312</v>
      </c>
      <c r="F41">
        <v>0</v>
      </c>
      <c r="G41" t="s">
        <v>312</v>
      </c>
      <c r="H41">
        <v>0</v>
      </c>
      <c r="I41" t="s">
        <v>312</v>
      </c>
      <c r="J41">
        <v>0</v>
      </c>
      <c r="K41" t="s">
        <v>312</v>
      </c>
      <c r="L41">
        <v>0</v>
      </c>
      <c r="M41" t="s">
        <v>312</v>
      </c>
      <c r="N41">
        <v>0</v>
      </c>
      <c r="O41" t="s">
        <v>230</v>
      </c>
      <c r="P41">
        <v>0</v>
      </c>
      <c r="Q41" t="s">
        <v>230</v>
      </c>
      <c r="R41">
        <v>0</v>
      </c>
      <c r="S41" t="s">
        <v>312</v>
      </c>
      <c r="T41" t="s">
        <v>233</v>
      </c>
    </row>
    <row r="42" spans="1:20" x14ac:dyDescent="0.35">
      <c r="A42" t="s">
        <v>374</v>
      </c>
      <c r="B42" t="s">
        <v>375</v>
      </c>
      <c r="C42" t="s">
        <v>19</v>
      </c>
      <c r="D42" t="s">
        <v>87</v>
      </c>
      <c r="F42">
        <v>0</v>
      </c>
      <c r="G42" t="s">
        <v>230</v>
      </c>
      <c r="H42">
        <v>0</v>
      </c>
      <c r="I42" t="s">
        <v>87</v>
      </c>
      <c r="J42">
        <v>0</v>
      </c>
      <c r="K42" t="s">
        <v>87</v>
      </c>
      <c r="L42">
        <v>0</v>
      </c>
      <c r="M42" t="s">
        <v>87</v>
      </c>
      <c r="N42">
        <v>0</v>
      </c>
      <c r="O42" t="s">
        <v>87</v>
      </c>
      <c r="P42">
        <v>0</v>
      </c>
      <c r="Q42" t="s">
        <v>87</v>
      </c>
      <c r="R42">
        <v>0</v>
      </c>
      <c r="S42" t="s">
        <v>230</v>
      </c>
      <c r="T42" t="s">
        <v>259</v>
      </c>
    </row>
    <row r="43" spans="1:20" x14ac:dyDescent="0.35">
      <c r="A43" t="s">
        <v>376</v>
      </c>
      <c r="B43" t="s">
        <v>377</v>
      </c>
      <c r="C43" t="s">
        <v>15</v>
      </c>
      <c r="D43" t="s">
        <v>378</v>
      </c>
      <c r="F43">
        <v>0</v>
      </c>
      <c r="G43" t="s">
        <v>379</v>
      </c>
      <c r="H43">
        <v>0</v>
      </c>
      <c r="I43" t="s">
        <v>240</v>
      </c>
      <c r="J43">
        <v>0</v>
      </c>
      <c r="K43" t="s">
        <v>240</v>
      </c>
      <c r="L43">
        <v>0</v>
      </c>
      <c r="M43" t="s">
        <v>240</v>
      </c>
      <c r="N43">
        <v>0</v>
      </c>
      <c r="O43" t="s">
        <v>230</v>
      </c>
      <c r="P43">
        <v>0</v>
      </c>
      <c r="Q43" t="s">
        <v>230</v>
      </c>
      <c r="R43">
        <v>0</v>
      </c>
      <c r="S43" t="s">
        <v>459</v>
      </c>
      <c r="T43" t="s">
        <v>241</v>
      </c>
    </row>
    <row r="44" spans="1:20" x14ac:dyDescent="0.35">
      <c r="A44" t="s">
        <v>380</v>
      </c>
      <c r="B44" t="s">
        <v>381</v>
      </c>
      <c r="C44" t="s">
        <v>26</v>
      </c>
      <c r="D44" t="s">
        <v>382</v>
      </c>
      <c r="F44">
        <v>0</v>
      </c>
      <c r="G44" t="s">
        <v>230</v>
      </c>
      <c r="H44" t="s">
        <v>237</v>
      </c>
      <c r="I44" t="s">
        <v>237</v>
      </c>
      <c r="J44" t="s">
        <v>237</v>
      </c>
      <c r="K44" t="s">
        <v>237</v>
      </c>
      <c r="L44">
        <v>0</v>
      </c>
      <c r="M44" t="s">
        <v>135</v>
      </c>
      <c r="N44">
        <v>0</v>
      </c>
      <c r="O44" t="s">
        <v>135</v>
      </c>
      <c r="P44">
        <v>0</v>
      </c>
      <c r="Q44" t="s">
        <v>160</v>
      </c>
      <c r="R44">
        <v>0</v>
      </c>
      <c r="S44" t="s">
        <v>230</v>
      </c>
      <c r="T44" t="s">
        <v>259</v>
      </c>
    </row>
    <row r="45" spans="1:20" x14ac:dyDescent="0.35">
      <c r="A45" t="s">
        <v>383</v>
      </c>
      <c r="B45" t="s">
        <v>384</v>
      </c>
      <c r="C45" t="s">
        <v>44</v>
      </c>
      <c r="D45" t="s">
        <v>385</v>
      </c>
      <c r="F45">
        <v>0</v>
      </c>
      <c r="G45" t="s">
        <v>385</v>
      </c>
      <c r="H45">
        <v>0</v>
      </c>
      <c r="I45" t="s">
        <v>385</v>
      </c>
      <c r="J45">
        <v>0</v>
      </c>
      <c r="K45" t="s">
        <v>230</v>
      </c>
      <c r="L45">
        <v>0</v>
      </c>
      <c r="M45" t="s">
        <v>230</v>
      </c>
      <c r="N45">
        <v>0</v>
      </c>
      <c r="O45" t="s">
        <v>385</v>
      </c>
      <c r="P45">
        <v>0</v>
      </c>
      <c r="Q45" t="s">
        <v>385</v>
      </c>
      <c r="R45">
        <v>0</v>
      </c>
      <c r="S45" t="s">
        <v>385</v>
      </c>
      <c r="T45" t="s">
        <v>233</v>
      </c>
    </row>
    <row r="46" spans="1:20" x14ac:dyDescent="0.35">
      <c r="A46" t="s">
        <v>386</v>
      </c>
      <c r="B46" t="s">
        <v>387</v>
      </c>
      <c r="C46" t="s">
        <v>26</v>
      </c>
      <c r="D46" t="s">
        <v>111</v>
      </c>
      <c r="F46">
        <v>0</v>
      </c>
      <c r="G46" t="s">
        <v>230</v>
      </c>
      <c r="H46">
        <v>0</v>
      </c>
      <c r="I46" t="s">
        <v>230</v>
      </c>
      <c r="J46">
        <v>0</v>
      </c>
      <c r="K46" t="s">
        <v>111</v>
      </c>
      <c r="L46">
        <v>0</v>
      </c>
      <c r="M46" t="s">
        <v>111</v>
      </c>
      <c r="N46">
        <v>0</v>
      </c>
      <c r="O46" t="s">
        <v>111</v>
      </c>
      <c r="P46">
        <v>0</v>
      </c>
      <c r="Q46" t="s">
        <v>111</v>
      </c>
      <c r="R46">
        <v>0</v>
      </c>
      <c r="S46" t="s">
        <v>111</v>
      </c>
      <c r="T46" t="s">
        <v>259</v>
      </c>
    </row>
    <row r="47" spans="1:20" x14ac:dyDescent="0.35">
      <c r="A47" t="s">
        <v>388</v>
      </c>
      <c r="B47" t="s">
        <v>389</v>
      </c>
      <c r="C47" t="s">
        <v>31</v>
      </c>
      <c r="D47" t="s">
        <v>390</v>
      </c>
      <c r="F47">
        <v>0</v>
      </c>
      <c r="G47" t="s">
        <v>230</v>
      </c>
      <c r="H47">
        <v>0</v>
      </c>
      <c r="I47" t="s">
        <v>230</v>
      </c>
      <c r="J47">
        <v>0</v>
      </c>
      <c r="K47" t="s">
        <v>390</v>
      </c>
      <c r="L47">
        <v>0</v>
      </c>
      <c r="M47" t="s">
        <v>390</v>
      </c>
      <c r="N47" t="s">
        <v>391</v>
      </c>
      <c r="O47" t="s">
        <v>391</v>
      </c>
      <c r="P47">
        <v>0</v>
      </c>
      <c r="Q47" t="s">
        <v>390</v>
      </c>
      <c r="R47">
        <v>0</v>
      </c>
      <c r="S47" t="s">
        <v>390</v>
      </c>
      <c r="T47" t="s">
        <v>233</v>
      </c>
    </row>
    <row r="48" spans="1:20" x14ac:dyDescent="0.35">
      <c r="A48" t="s">
        <v>392</v>
      </c>
      <c r="B48" t="s">
        <v>393</v>
      </c>
      <c r="C48" t="s">
        <v>16</v>
      </c>
      <c r="D48" t="s">
        <v>357</v>
      </c>
      <c r="F48">
        <v>0</v>
      </c>
      <c r="G48" t="s">
        <v>240</v>
      </c>
      <c r="H48">
        <v>0</v>
      </c>
      <c r="I48" t="s">
        <v>240</v>
      </c>
      <c r="J48">
        <v>0</v>
      </c>
      <c r="K48" t="s">
        <v>394</v>
      </c>
      <c r="L48">
        <v>0</v>
      </c>
      <c r="M48" t="s">
        <v>395</v>
      </c>
      <c r="N48">
        <v>0</v>
      </c>
      <c r="O48" t="s">
        <v>230</v>
      </c>
      <c r="P48">
        <v>0</v>
      </c>
      <c r="Q48" t="s">
        <v>230</v>
      </c>
      <c r="R48">
        <v>0</v>
      </c>
      <c r="S48" t="s">
        <v>240</v>
      </c>
      <c r="T48" t="s">
        <v>241</v>
      </c>
    </row>
    <row r="49" spans="1:20" x14ac:dyDescent="0.35">
      <c r="A49" t="s">
        <v>396</v>
      </c>
      <c r="B49" t="s">
        <v>397</v>
      </c>
      <c r="C49" t="s">
        <v>5</v>
      </c>
      <c r="D49" t="s">
        <v>120</v>
      </c>
      <c r="F49">
        <v>0</v>
      </c>
      <c r="G49" t="s">
        <v>120</v>
      </c>
      <c r="H49">
        <v>0</v>
      </c>
      <c r="I49" t="s">
        <v>230</v>
      </c>
      <c r="J49">
        <v>0</v>
      </c>
      <c r="K49" t="s">
        <v>230</v>
      </c>
      <c r="L49">
        <v>0</v>
      </c>
      <c r="M49" t="s">
        <v>120</v>
      </c>
      <c r="N49">
        <v>0</v>
      </c>
      <c r="O49" t="s">
        <v>120</v>
      </c>
      <c r="P49">
        <v>0</v>
      </c>
      <c r="Q49" t="s">
        <v>120</v>
      </c>
      <c r="R49">
        <v>0</v>
      </c>
      <c r="S49" t="s">
        <v>120</v>
      </c>
      <c r="T49" t="s">
        <v>259</v>
      </c>
    </row>
    <row r="50" spans="1:20" x14ac:dyDescent="0.35">
      <c r="A50" t="s">
        <v>398</v>
      </c>
      <c r="B50" t="s">
        <v>399</v>
      </c>
      <c r="C50" t="s">
        <v>17</v>
      </c>
      <c r="D50" t="s">
        <v>400</v>
      </c>
      <c r="F50">
        <v>0</v>
      </c>
      <c r="G50" t="s">
        <v>230</v>
      </c>
      <c r="H50">
        <v>0</v>
      </c>
      <c r="I50" t="s">
        <v>230</v>
      </c>
      <c r="J50">
        <v>0</v>
      </c>
      <c r="K50" t="s">
        <v>401</v>
      </c>
      <c r="L50">
        <v>0</v>
      </c>
      <c r="M50" t="s">
        <v>240</v>
      </c>
      <c r="N50">
        <v>0</v>
      </c>
      <c r="O50" t="s">
        <v>229</v>
      </c>
      <c r="P50">
        <v>0</v>
      </c>
      <c r="Q50" t="s">
        <v>631</v>
      </c>
      <c r="R50">
        <v>0</v>
      </c>
      <c r="S50" t="s">
        <v>240</v>
      </c>
      <c r="T50" t="s">
        <v>241</v>
      </c>
    </row>
    <row r="51" spans="1:20" x14ac:dyDescent="0.35">
      <c r="A51" t="s">
        <v>402</v>
      </c>
      <c r="B51" t="s">
        <v>403</v>
      </c>
      <c r="C51" t="s">
        <v>44</v>
      </c>
      <c r="D51" t="s">
        <v>394</v>
      </c>
      <c r="F51">
        <v>0</v>
      </c>
      <c r="G51" t="s">
        <v>394</v>
      </c>
      <c r="H51">
        <v>0</v>
      </c>
      <c r="I51" t="s">
        <v>394</v>
      </c>
      <c r="J51" t="s">
        <v>354</v>
      </c>
      <c r="K51" t="s">
        <v>354</v>
      </c>
      <c r="L51">
        <v>0</v>
      </c>
      <c r="M51" t="s">
        <v>394</v>
      </c>
      <c r="N51">
        <v>0</v>
      </c>
      <c r="O51" t="s">
        <v>394</v>
      </c>
      <c r="P51">
        <v>0</v>
      </c>
      <c r="Q51" t="s">
        <v>230</v>
      </c>
      <c r="R51">
        <v>0</v>
      </c>
      <c r="S51" t="s">
        <v>230</v>
      </c>
      <c r="T51" t="s">
        <v>233</v>
      </c>
    </row>
    <row r="52" spans="1:20" x14ac:dyDescent="0.35">
      <c r="A52" t="s">
        <v>404</v>
      </c>
      <c r="B52" t="s">
        <v>405</v>
      </c>
      <c r="C52" t="s">
        <v>44</v>
      </c>
      <c r="D52" t="s">
        <v>406</v>
      </c>
      <c r="F52">
        <v>0</v>
      </c>
      <c r="G52" t="s">
        <v>406</v>
      </c>
      <c r="H52">
        <v>0</v>
      </c>
      <c r="I52" t="s">
        <v>230</v>
      </c>
      <c r="J52">
        <v>0</v>
      </c>
      <c r="K52" t="s">
        <v>230</v>
      </c>
      <c r="L52">
        <v>0</v>
      </c>
      <c r="M52" t="s">
        <v>406</v>
      </c>
      <c r="N52" t="s">
        <v>245</v>
      </c>
      <c r="O52" t="s">
        <v>245</v>
      </c>
      <c r="P52" t="s">
        <v>245</v>
      </c>
      <c r="Q52" t="s">
        <v>245</v>
      </c>
      <c r="R52">
        <v>0</v>
      </c>
      <c r="S52" t="s">
        <v>406</v>
      </c>
      <c r="T52" t="s">
        <v>233</v>
      </c>
    </row>
    <row r="53" spans="1:20" x14ac:dyDescent="0.35">
      <c r="A53" t="s">
        <v>407</v>
      </c>
      <c r="B53" t="s">
        <v>408</v>
      </c>
      <c r="C53" t="s">
        <v>5</v>
      </c>
      <c r="D53" t="s">
        <v>118</v>
      </c>
      <c r="F53">
        <v>0</v>
      </c>
      <c r="G53" t="s">
        <v>118</v>
      </c>
      <c r="H53">
        <v>0</v>
      </c>
      <c r="I53" t="s">
        <v>230</v>
      </c>
      <c r="J53">
        <v>0</v>
      </c>
      <c r="K53" t="s">
        <v>230</v>
      </c>
      <c r="L53" t="s">
        <v>231</v>
      </c>
      <c r="M53" t="s">
        <v>169</v>
      </c>
      <c r="N53">
        <v>0</v>
      </c>
      <c r="O53" t="s">
        <v>118</v>
      </c>
      <c r="P53">
        <v>0</v>
      </c>
      <c r="Q53" t="s">
        <v>118</v>
      </c>
      <c r="R53">
        <v>0</v>
      </c>
      <c r="S53" t="s">
        <v>118</v>
      </c>
      <c r="T53" t="s">
        <v>259</v>
      </c>
    </row>
    <row r="54" spans="1:20" x14ac:dyDescent="0.35">
      <c r="A54" t="s">
        <v>409</v>
      </c>
      <c r="B54" t="s">
        <v>410</v>
      </c>
      <c r="C54" t="s">
        <v>31</v>
      </c>
      <c r="D54" t="s">
        <v>328</v>
      </c>
      <c r="F54">
        <v>0</v>
      </c>
      <c r="G54" t="s">
        <v>328</v>
      </c>
      <c r="H54">
        <v>0</v>
      </c>
      <c r="I54" t="s">
        <v>328</v>
      </c>
      <c r="J54">
        <v>0</v>
      </c>
      <c r="K54" t="s">
        <v>328</v>
      </c>
      <c r="L54">
        <v>0</v>
      </c>
      <c r="M54" t="s">
        <v>328</v>
      </c>
      <c r="N54">
        <v>0</v>
      </c>
      <c r="O54" t="s">
        <v>328</v>
      </c>
      <c r="P54" t="s">
        <v>221</v>
      </c>
      <c r="Q54" t="s">
        <v>328</v>
      </c>
      <c r="R54">
        <v>0</v>
      </c>
      <c r="S54" t="s">
        <v>230</v>
      </c>
      <c r="T54" t="s">
        <v>233</v>
      </c>
    </row>
    <row r="55" spans="1:20" x14ac:dyDescent="0.35">
      <c r="A55" t="s">
        <v>411</v>
      </c>
      <c r="B55" t="s">
        <v>412</v>
      </c>
      <c r="C55" t="s">
        <v>5</v>
      </c>
      <c r="D55" t="s">
        <v>85</v>
      </c>
      <c r="F55">
        <v>0</v>
      </c>
      <c r="G55" t="s">
        <v>230</v>
      </c>
      <c r="H55">
        <v>0</v>
      </c>
      <c r="I55" t="s">
        <v>230</v>
      </c>
      <c r="J55">
        <v>0</v>
      </c>
      <c r="K55" t="s">
        <v>85</v>
      </c>
      <c r="L55">
        <v>0</v>
      </c>
      <c r="M55" t="s">
        <v>85</v>
      </c>
      <c r="N55">
        <v>0</v>
      </c>
      <c r="O55" t="s">
        <v>85</v>
      </c>
      <c r="P55">
        <v>0</v>
      </c>
      <c r="Q55" t="s">
        <v>85</v>
      </c>
      <c r="R55">
        <v>0</v>
      </c>
      <c r="S55" t="s">
        <v>85</v>
      </c>
      <c r="T55" t="s">
        <v>259</v>
      </c>
    </row>
    <row r="56" spans="1:20" x14ac:dyDescent="0.35">
      <c r="A56" t="s">
        <v>413</v>
      </c>
      <c r="B56" t="s">
        <v>414</v>
      </c>
      <c r="C56" t="s">
        <v>17</v>
      </c>
      <c r="D56" t="s">
        <v>400</v>
      </c>
      <c r="F56">
        <v>0</v>
      </c>
      <c r="G56" t="s">
        <v>230</v>
      </c>
      <c r="H56">
        <v>0</v>
      </c>
      <c r="I56" t="s">
        <v>230</v>
      </c>
      <c r="J56" t="s">
        <v>246</v>
      </c>
      <c r="K56" t="s">
        <v>415</v>
      </c>
      <c r="L56">
        <v>0</v>
      </c>
      <c r="M56" t="s">
        <v>415</v>
      </c>
      <c r="N56">
        <v>0</v>
      </c>
      <c r="O56" t="s">
        <v>327</v>
      </c>
      <c r="P56">
        <v>0</v>
      </c>
      <c r="Q56" t="s">
        <v>254</v>
      </c>
      <c r="R56">
        <v>0</v>
      </c>
      <c r="S56" t="s">
        <v>240</v>
      </c>
      <c r="T56" t="s">
        <v>241</v>
      </c>
    </row>
    <row r="57" spans="1:20" x14ac:dyDescent="0.35">
      <c r="A57" t="s">
        <v>416</v>
      </c>
      <c r="B57" t="s">
        <v>417</v>
      </c>
      <c r="C57" t="s">
        <v>5</v>
      </c>
      <c r="D57" t="s">
        <v>125</v>
      </c>
      <c r="F57">
        <v>0</v>
      </c>
      <c r="G57" t="s">
        <v>125</v>
      </c>
      <c r="H57">
        <v>0</v>
      </c>
      <c r="I57" t="s">
        <v>125</v>
      </c>
      <c r="J57">
        <v>0</v>
      </c>
      <c r="K57" t="s">
        <v>125</v>
      </c>
      <c r="L57">
        <v>0</v>
      </c>
      <c r="M57" t="s">
        <v>125</v>
      </c>
      <c r="N57">
        <v>0</v>
      </c>
      <c r="O57" t="s">
        <v>230</v>
      </c>
      <c r="P57">
        <v>0</v>
      </c>
      <c r="Q57" t="s">
        <v>230</v>
      </c>
      <c r="R57">
        <v>0</v>
      </c>
      <c r="S57" t="s">
        <v>125</v>
      </c>
      <c r="T57" t="s">
        <v>259</v>
      </c>
    </row>
    <row r="58" spans="1:20" x14ac:dyDescent="0.35">
      <c r="A58" t="s">
        <v>418</v>
      </c>
      <c r="B58" t="s">
        <v>419</v>
      </c>
      <c r="C58" t="s">
        <v>276</v>
      </c>
      <c r="D58" t="s">
        <v>420</v>
      </c>
      <c r="F58">
        <v>0</v>
      </c>
      <c r="G58" t="s">
        <v>230</v>
      </c>
      <c r="H58">
        <v>0</v>
      </c>
      <c r="I58" t="s">
        <v>230</v>
      </c>
      <c r="J58">
        <v>0</v>
      </c>
      <c r="K58" t="s">
        <v>230</v>
      </c>
      <c r="L58">
        <v>0</v>
      </c>
      <c r="M58" t="s">
        <v>230</v>
      </c>
      <c r="N58">
        <v>0</v>
      </c>
      <c r="O58" t="s">
        <v>421</v>
      </c>
      <c r="P58">
        <v>0</v>
      </c>
      <c r="Q58" t="s">
        <v>421</v>
      </c>
      <c r="R58">
        <v>0</v>
      </c>
      <c r="S58" t="s">
        <v>421</v>
      </c>
      <c r="T58" t="s">
        <v>279</v>
      </c>
    </row>
    <row r="59" spans="1:20" x14ac:dyDescent="0.35">
      <c r="A59" t="s">
        <v>422</v>
      </c>
      <c r="B59" t="s">
        <v>423</v>
      </c>
      <c r="C59" t="s">
        <v>44</v>
      </c>
      <c r="D59" t="s">
        <v>358</v>
      </c>
      <c r="F59">
        <v>0</v>
      </c>
      <c r="G59" t="s">
        <v>230</v>
      </c>
      <c r="H59">
        <v>0</v>
      </c>
      <c r="I59" t="s">
        <v>230</v>
      </c>
      <c r="J59">
        <v>0</v>
      </c>
      <c r="K59" t="s">
        <v>358</v>
      </c>
      <c r="L59">
        <v>0</v>
      </c>
      <c r="M59" t="s">
        <v>358</v>
      </c>
      <c r="N59">
        <v>0</v>
      </c>
      <c r="O59" t="s">
        <v>358</v>
      </c>
      <c r="P59">
        <v>0</v>
      </c>
      <c r="Q59" t="s">
        <v>358</v>
      </c>
      <c r="R59">
        <v>0</v>
      </c>
      <c r="S59" t="s">
        <v>358</v>
      </c>
      <c r="T59" t="s">
        <v>233</v>
      </c>
    </row>
    <row r="60" spans="1:20" x14ac:dyDescent="0.35">
      <c r="A60" t="s">
        <v>424</v>
      </c>
      <c r="B60" t="s">
        <v>425</v>
      </c>
      <c r="C60" t="s">
        <v>44</v>
      </c>
      <c r="D60" t="s">
        <v>426</v>
      </c>
      <c r="F60">
        <v>0</v>
      </c>
      <c r="G60" t="s">
        <v>230</v>
      </c>
      <c r="H60">
        <v>0</v>
      </c>
      <c r="I60" t="s">
        <v>230</v>
      </c>
      <c r="J60">
        <v>0</v>
      </c>
      <c r="K60" t="s">
        <v>426</v>
      </c>
      <c r="L60">
        <v>0</v>
      </c>
      <c r="M60" t="s">
        <v>426</v>
      </c>
      <c r="N60">
        <v>0</v>
      </c>
      <c r="O60" t="s">
        <v>426</v>
      </c>
      <c r="P60">
        <v>0</v>
      </c>
      <c r="Q60" t="s">
        <v>426</v>
      </c>
      <c r="R60">
        <v>0</v>
      </c>
      <c r="S60" t="s">
        <v>426</v>
      </c>
      <c r="T60" t="s">
        <v>233</v>
      </c>
    </row>
    <row r="61" spans="1:20" x14ac:dyDescent="0.35">
      <c r="A61" t="s">
        <v>427</v>
      </c>
      <c r="B61" t="s">
        <v>428</v>
      </c>
      <c r="C61" t="s">
        <v>58</v>
      </c>
      <c r="D61" t="s">
        <v>429</v>
      </c>
      <c r="F61">
        <v>0</v>
      </c>
      <c r="G61" t="s">
        <v>230</v>
      </c>
      <c r="H61">
        <v>0</v>
      </c>
      <c r="I61" t="s">
        <v>430</v>
      </c>
      <c r="J61">
        <v>0</v>
      </c>
      <c r="K61" t="s">
        <v>430</v>
      </c>
      <c r="L61">
        <v>0</v>
      </c>
      <c r="M61" t="s">
        <v>430</v>
      </c>
      <c r="N61">
        <v>0</v>
      </c>
      <c r="O61" t="s">
        <v>230</v>
      </c>
      <c r="P61">
        <v>0</v>
      </c>
      <c r="Q61" t="s">
        <v>430</v>
      </c>
      <c r="R61">
        <v>0</v>
      </c>
      <c r="S61" t="s">
        <v>430</v>
      </c>
      <c r="T61" t="s">
        <v>365</v>
      </c>
    </row>
    <row r="62" spans="1:20" x14ac:dyDescent="0.35">
      <c r="A62" t="s">
        <v>431</v>
      </c>
      <c r="B62" t="s">
        <v>432</v>
      </c>
      <c r="C62" t="s">
        <v>14</v>
      </c>
      <c r="D62" t="s">
        <v>433</v>
      </c>
      <c r="F62">
        <v>0</v>
      </c>
      <c r="G62" t="s">
        <v>230</v>
      </c>
      <c r="H62">
        <v>0</v>
      </c>
      <c r="I62" t="s">
        <v>230</v>
      </c>
      <c r="J62">
        <v>0</v>
      </c>
      <c r="K62" t="s">
        <v>162</v>
      </c>
      <c r="L62">
        <v>0</v>
      </c>
      <c r="M62" t="s">
        <v>162</v>
      </c>
      <c r="N62">
        <v>0</v>
      </c>
      <c r="O62" t="s">
        <v>434</v>
      </c>
      <c r="P62">
        <v>0</v>
      </c>
      <c r="Q62" t="s">
        <v>166</v>
      </c>
      <c r="R62">
        <v>0</v>
      </c>
      <c r="S62" t="s">
        <v>434</v>
      </c>
      <c r="T62" t="s">
        <v>206</v>
      </c>
    </row>
    <row r="63" spans="1:20" x14ac:dyDescent="0.35">
      <c r="A63" t="s">
        <v>435</v>
      </c>
      <c r="B63" t="s">
        <v>436</v>
      </c>
      <c r="C63" t="s">
        <v>17</v>
      </c>
      <c r="D63" t="s">
        <v>437</v>
      </c>
      <c r="F63">
        <v>0</v>
      </c>
      <c r="G63" t="s">
        <v>438</v>
      </c>
      <c r="H63">
        <v>0</v>
      </c>
      <c r="I63" t="s">
        <v>439</v>
      </c>
      <c r="J63">
        <v>0</v>
      </c>
      <c r="K63" t="s">
        <v>440</v>
      </c>
      <c r="L63">
        <v>0</v>
      </c>
      <c r="M63" t="s">
        <v>440</v>
      </c>
      <c r="N63">
        <v>0</v>
      </c>
      <c r="O63" t="s">
        <v>230</v>
      </c>
      <c r="P63">
        <v>0</v>
      </c>
      <c r="Q63" t="s">
        <v>230</v>
      </c>
      <c r="R63">
        <v>0</v>
      </c>
      <c r="S63" t="s">
        <v>240</v>
      </c>
      <c r="T63" t="s">
        <v>241</v>
      </c>
    </row>
    <row r="64" spans="1:20" x14ac:dyDescent="0.35">
      <c r="A64" t="s">
        <v>441</v>
      </c>
      <c r="B64" t="s">
        <v>442</v>
      </c>
      <c r="C64" t="s">
        <v>19</v>
      </c>
      <c r="D64" t="s">
        <v>158</v>
      </c>
      <c r="F64">
        <v>0</v>
      </c>
      <c r="G64" t="s">
        <v>158</v>
      </c>
      <c r="H64">
        <v>0</v>
      </c>
      <c r="I64" t="s">
        <v>158</v>
      </c>
      <c r="J64">
        <v>0</v>
      </c>
      <c r="K64" t="s">
        <v>158</v>
      </c>
      <c r="L64">
        <v>0</v>
      </c>
      <c r="M64" t="s">
        <v>158</v>
      </c>
      <c r="N64">
        <v>0</v>
      </c>
      <c r="O64" t="s">
        <v>158</v>
      </c>
      <c r="P64">
        <v>0</v>
      </c>
      <c r="Q64" t="s">
        <v>230</v>
      </c>
      <c r="R64">
        <v>0</v>
      </c>
      <c r="S64" t="s">
        <v>230</v>
      </c>
      <c r="T64" t="s">
        <v>259</v>
      </c>
    </row>
    <row r="65" spans="1:20" x14ac:dyDescent="0.35">
      <c r="A65" t="s">
        <v>443</v>
      </c>
      <c r="B65" t="s">
        <v>444</v>
      </c>
      <c r="C65" t="s">
        <v>31</v>
      </c>
      <c r="D65" t="s">
        <v>445</v>
      </c>
      <c r="F65" t="s">
        <v>216</v>
      </c>
      <c r="G65" t="s">
        <v>216</v>
      </c>
      <c r="H65">
        <v>0</v>
      </c>
      <c r="I65" t="s">
        <v>445</v>
      </c>
      <c r="J65">
        <v>0</v>
      </c>
      <c r="K65" t="s">
        <v>445</v>
      </c>
      <c r="L65">
        <v>0</v>
      </c>
      <c r="M65" t="s">
        <v>230</v>
      </c>
      <c r="N65">
        <v>0</v>
      </c>
      <c r="O65" t="s">
        <v>230</v>
      </c>
      <c r="P65" t="s">
        <v>216</v>
      </c>
      <c r="Q65" t="s">
        <v>216</v>
      </c>
      <c r="R65" t="s">
        <v>216</v>
      </c>
      <c r="S65" t="s">
        <v>216</v>
      </c>
      <c r="T65" t="s">
        <v>233</v>
      </c>
    </row>
    <row r="66" spans="1:20" x14ac:dyDescent="0.35">
      <c r="A66" t="s">
        <v>446</v>
      </c>
      <c r="B66" t="s">
        <v>447</v>
      </c>
      <c r="C66" t="s">
        <v>26</v>
      </c>
      <c r="D66" t="s">
        <v>113</v>
      </c>
      <c r="F66">
        <v>0</v>
      </c>
      <c r="G66" t="s">
        <v>113</v>
      </c>
      <c r="H66">
        <v>0</v>
      </c>
      <c r="I66" t="s">
        <v>113</v>
      </c>
      <c r="J66">
        <v>0</v>
      </c>
      <c r="K66" t="s">
        <v>113</v>
      </c>
      <c r="L66">
        <v>0</v>
      </c>
      <c r="M66" t="s">
        <v>230</v>
      </c>
      <c r="N66">
        <v>0</v>
      </c>
      <c r="O66" t="s">
        <v>230</v>
      </c>
      <c r="P66">
        <v>0</v>
      </c>
      <c r="Q66" t="s">
        <v>113</v>
      </c>
      <c r="R66">
        <v>0</v>
      </c>
      <c r="S66" t="s">
        <v>113</v>
      </c>
      <c r="T66" t="s">
        <v>259</v>
      </c>
    </row>
    <row r="67" spans="1:20" x14ac:dyDescent="0.35">
      <c r="A67" t="s">
        <v>448</v>
      </c>
      <c r="B67" t="s">
        <v>449</v>
      </c>
      <c r="C67" t="s">
        <v>19</v>
      </c>
      <c r="D67" t="s">
        <v>450</v>
      </c>
      <c r="F67">
        <v>0</v>
      </c>
      <c r="G67" t="s">
        <v>93</v>
      </c>
      <c r="H67">
        <v>0</v>
      </c>
      <c r="I67" t="s">
        <v>130</v>
      </c>
      <c r="J67">
        <v>0</v>
      </c>
      <c r="K67" t="s">
        <v>130</v>
      </c>
      <c r="L67" t="s">
        <v>231</v>
      </c>
      <c r="M67" t="s">
        <v>144</v>
      </c>
      <c r="N67">
        <v>0</v>
      </c>
      <c r="O67" t="s">
        <v>230</v>
      </c>
      <c r="P67">
        <v>0</v>
      </c>
      <c r="Q67" t="s">
        <v>230</v>
      </c>
      <c r="R67" t="s">
        <v>288</v>
      </c>
      <c r="S67" t="s">
        <v>288</v>
      </c>
      <c r="T67" t="s">
        <v>259</v>
      </c>
    </row>
    <row r="68" spans="1:20" x14ac:dyDescent="0.35">
      <c r="A68" t="s">
        <v>451</v>
      </c>
      <c r="B68" t="s">
        <v>452</v>
      </c>
      <c r="C68" t="s">
        <v>453</v>
      </c>
      <c r="D68" t="s">
        <v>454</v>
      </c>
      <c r="F68">
        <v>0</v>
      </c>
      <c r="G68" t="s">
        <v>177</v>
      </c>
      <c r="H68">
        <v>0</v>
      </c>
      <c r="I68" t="s">
        <v>177</v>
      </c>
      <c r="J68">
        <v>0</v>
      </c>
      <c r="K68" t="s">
        <v>181</v>
      </c>
      <c r="L68">
        <v>0</v>
      </c>
      <c r="M68" t="s">
        <v>181</v>
      </c>
      <c r="N68" t="s">
        <v>221</v>
      </c>
      <c r="O68" t="s">
        <v>179</v>
      </c>
      <c r="P68" t="s">
        <v>221</v>
      </c>
      <c r="Q68" t="s">
        <v>179</v>
      </c>
      <c r="R68">
        <v>0</v>
      </c>
      <c r="S68" t="s">
        <v>230</v>
      </c>
      <c r="T68" t="s">
        <v>205</v>
      </c>
    </row>
    <row r="69" spans="1:20" x14ac:dyDescent="0.35">
      <c r="A69" t="s">
        <v>455</v>
      </c>
      <c r="B69" t="s">
        <v>456</v>
      </c>
      <c r="C69" t="s">
        <v>5</v>
      </c>
      <c r="D69" t="s">
        <v>150</v>
      </c>
      <c r="F69">
        <v>0</v>
      </c>
      <c r="G69" t="s">
        <v>230</v>
      </c>
      <c r="H69">
        <v>0</v>
      </c>
      <c r="I69" t="s">
        <v>150</v>
      </c>
      <c r="J69">
        <v>0</v>
      </c>
      <c r="K69" t="s">
        <v>150</v>
      </c>
      <c r="L69">
        <v>0</v>
      </c>
      <c r="M69" t="s">
        <v>150</v>
      </c>
      <c r="N69">
        <v>0</v>
      </c>
      <c r="O69" t="s">
        <v>150</v>
      </c>
      <c r="P69">
        <v>0</v>
      </c>
      <c r="Q69" t="s">
        <v>150</v>
      </c>
      <c r="R69">
        <v>0</v>
      </c>
      <c r="S69" t="s">
        <v>230</v>
      </c>
      <c r="T69" t="s">
        <v>259</v>
      </c>
    </row>
    <row r="70" spans="1:20" x14ac:dyDescent="0.35">
      <c r="A70" t="s">
        <v>457</v>
      </c>
      <c r="B70" t="s">
        <v>458</v>
      </c>
      <c r="C70" t="s">
        <v>37</v>
      </c>
      <c r="D70" t="s">
        <v>459</v>
      </c>
      <c r="F70">
        <v>0</v>
      </c>
      <c r="G70" t="s">
        <v>230</v>
      </c>
      <c r="H70">
        <v>0</v>
      </c>
      <c r="I70" t="s">
        <v>230</v>
      </c>
      <c r="J70">
        <v>0</v>
      </c>
      <c r="K70" t="s">
        <v>459</v>
      </c>
      <c r="L70">
        <v>0</v>
      </c>
      <c r="M70" t="s">
        <v>459</v>
      </c>
      <c r="N70">
        <v>0</v>
      </c>
      <c r="O70" t="s">
        <v>459</v>
      </c>
      <c r="P70">
        <v>0</v>
      </c>
      <c r="Q70" t="s">
        <v>459</v>
      </c>
      <c r="R70" t="s">
        <v>245</v>
      </c>
      <c r="S70" t="s">
        <v>245</v>
      </c>
      <c r="T70" t="s">
        <v>233</v>
      </c>
    </row>
    <row r="71" spans="1:20" x14ac:dyDescent="0.35">
      <c r="A71" t="s">
        <v>460</v>
      </c>
      <c r="B71" t="s">
        <v>461</v>
      </c>
      <c r="C71" t="s">
        <v>462</v>
      </c>
      <c r="D71" t="s">
        <v>463</v>
      </c>
      <c r="F71" t="s">
        <v>391</v>
      </c>
      <c r="G71" t="s">
        <v>391</v>
      </c>
      <c r="H71">
        <v>0</v>
      </c>
      <c r="I71" t="s">
        <v>185</v>
      </c>
      <c r="J71">
        <v>0</v>
      </c>
      <c r="K71" t="s">
        <v>185</v>
      </c>
      <c r="L71">
        <v>0</v>
      </c>
      <c r="M71" t="s">
        <v>185</v>
      </c>
      <c r="N71">
        <v>0</v>
      </c>
      <c r="O71" t="s">
        <v>230</v>
      </c>
      <c r="P71">
        <v>0</v>
      </c>
      <c r="Q71" t="s">
        <v>230</v>
      </c>
      <c r="R71">
        <v>0</v>
      </c>
      <c r="S71" t="s">
        <v>230</v>
      </c>
      <c r="T71" t="s">
        <v>204</v>
      </c>
    </row>
    <row r="72" spans="1:20" x14ac:dyDescent="0.35">
      <c r="A72" t="s">
        <v>464</v>
      </c>
      <c r="B72" t="s">
        <v>465</v>
      </c>
      <c r="C72" t="s">
        <v>31</v>
      </c>
      <c r="D72" t="s">
        <v>326</v>
      </c>
      <c r="F72">
        <v>0</v>
      </c>
      <c r="G72" t="s">
        <v>326</v>
      </c>
      <c r="H72">
        <v>0</v>
      </c>
      <c r="I72" t="s">
        <v>230</v>
      </c>
      <c r="J72">
        <v>0</v>
      </c>
      <c r="K72" t="s">
        <v>230</v>
      </c>
      <c r="L72">
        <v>0</v>
      </c>
      <c r="M72" t="s">
        <v>326</v>
      </c>
      <c r="N72">
        <v>0</v>
      </c>
      <c r="O72" t="s">
        <v>326</v>
      </c>
      <c r="P72">
        <v>0</v>
      </c>
      <c r="Q72" t="s">
        <v>326</v>
      </c>
      <c r="R72">
        <v>0</v>
      </c>
      <c r="S72" t="s">
        <v>326</v>
      </c>
      <c r="T72" t="s">
        <v>233</v>
      </c>
    </row>
    <row r="73" spans="1:20" x14ac:dyDescent="0.35">
      <c r="A73" t="s">
        <v>466</v>
      </c>
      <c r="B73" t="s">
        <v>467</v>
      </c>
      <c r="C73" t="s">
        <v>37</v>
      </c>
      <c r="D73" t="s">
        <v>232</v>
      </c>
      <c r="F73">
        <v>0</v>
      </c>
      <c r="G73" t="s">
        <v>232</v>
      </c>
      <c r="H73">
        <v>0</v>
      </c>
      <c r="I73" t="s">
        <v>232</v>
      </c>
      <c r="J73">
        <v>0</v>
      </c>
      <c r="K73" t="s">
        <v>230</v>
      </c>
      <c r="L73">
        <v>0</v>
      </c>
      <c r="M73" t="s">
        <v>230</v>
      </c>
      <c r="N73" t="s">
        <v>231</v>
      </c>
      <c r="O73" t="s">
        <v>141</v>
      </c>
      <c r="P73" t="s">
        <v>231</v>
      </c>
      <c r="Q73" t="s">
        <v>141</v>
      </c>
      <c r="R73">
        <v>0</v>
      </c>
      <c r="S73" t="s">
        <v>232</v>
      </c>
      <c r="T73" t="s">
        <v>233</v>
      </c>
    </row>
    <row r="74" spans="1:20" x14ac:dyDescent="0.35">
      <c r="A74" t="s">
        <v>468</v>
      </c>
      <c r="B74" t="s">
        <v>469</v>
      </c>
      <c r="C74" t="s">
        <v>14</v>
      </c>
      <c r="D74" t="s">
        <v>433</v>
      </c>
      <c r="F74">
        <v>0</v>
      </c>
      <c r="G74" t="s">
        <v>230</v>
      </c>
      <c r="H74">
        <v>0</v>
      </c>
      <c r="I74" t="s">
        <v>230</v>
      </c>
      <c r="J74">
        <v>0</v>
      </c>
      <c r="K74" t="s">
        <v>240</v>
      </c>
      <c r="L74">
        <v>0</v>
      </c>
      <c r="M74" t="s">
        <v>240</v>
      </c>
      <c r="N74">
        <v>0</v>
      </c>
      <c r="O74" t="s">
        <v>115</v>
      </c>
      <c r="P74">
        <v>0</v>
      </c>
      <c r="Q74" t="s">
        <v>105</v>
      </c>
      <c r="R74">
        <v>0</v>
      </c>
      <c r="S74" t="s">
        <v>166</v>
      </c>
      <c r="T74" t="s">
        <v>206</v>
      </c>
    </row>
    <row r="75" spans="1:20" x14ac:dyDescent="0.35">
      <c r="A75" t="s">
        <v>470</v>
      </c>
      <c r="B75" t="s">
        <v>471</v>
      </c>
      <c r="C75" t="s">
        <v>349</v>
      </c>
      <c r="D75" t="s">
        <v>472</v>
      </c>
      <c r="F75" t="s">
        <v>221</v>
      </c>
      <c r="G75" t="s">
        <v>473</v>
      </c>
      <c r="H75">
        <v>0</v>
      </c>
      <c r="I75" t="s">
        <v>230</v>
      </c>
      <c r="J75">
        <v>0</v>
      </c>
      <c r="K75" t="s">
        <v>230</v>
      </c>
      <c r="L75">
        <v>0</v>
      </c>
      <c r="M75" t="s">
        <v>230</v>
      </c>
      <c r="N75">
        <v>0</v>
      </c>
      <c r="O75" t="s">
        <v>351</v>
      </c>
      <c r="P75">
        <v>0</v>
      </c>
      <c r="Q75" t="s">
        <v>351</v>
      </c>
      <c r="R75">
        <v>0</v>
      </c>
      <c r="S75" t="s">
        <v>351</v>
      </c>
      <c r="T75" t="s">
        <v>279</v>
      </c>
    </row>
    <row r="76" spans="1:20" x14ac:dyDescent="0.35">
      <c r="A76" t="s">
        <v>474</v>
      </c>
      <c r="B76" t="s">
        <v>475</v>
      </c>
      <c r="C76" t="s">
        <v>31</v>
      </c>
      <c r="D76" t="s">
        <v>476</v>
      </c>
      <c r="F76" t="s">
        <v>231</v>
      </c>
      <c r="G76" t="s">
        <v>81</v>
      </c>
      <c r="H76">
        <v>0</v>
      </c>
      <c r="I76" t="s">
        <v>438</v>
      </c>
      <c r="J76">
        <v>0</v>
      </c>
      <c r="K76" t="s">
        <v>477</v>
      </c>
      <c r="L76" t="s">
        <v>245</v>
      </c>
      <c r="M76" t="s">
        <v>245</v>
      </c>
      <c r="N76">
        <v>0</v>
      </c>
      <c r="O76" t="s">
        <v>440</v>
      </c>
      <c r="P76">
        <v>0</v>
      </c>
      <c r="Q76" t="s">
        <v>230</v>
      </c>
      <c r="R76">
        <v>0</v>
      </c>
      <c r="S76" t="s">
        <v>230</v>
      </c>
      <c r="T76" t="s">
        <v>233</v>
      </c>
    </row>
    <row r="77" spans="1:20" x14ac:dyDescent="0.35">
      <c r="A77" t="s">
        <v>478</v>
      </c>
      <c r="B77" t="s">
        <v>479</v>
      </c>
      <c r="C77" t="s">
        <v>19</v>
      </c>
      <c r="D77" t="s">
        <v>128</v>
      </c>
      <c r="F77">
        <v>0</v>
      </c>
      <c r="G77" t="s">
        <v>128</v>
      </c>
      <c r="H77">
        <v>0</v>
      </c>
      <c r="I77" t="s">
        <v>128</v>
      </c>
      <c r="J77">
        <v>0</v>
      </c>
      <c r="K77" t="s">
        <v>230</v>
      </c>
      <c r="L77">
        <v>0</v>
      </c>
      <c r="M77" t="s">
        <v>230</v>
      </c>
      <c r="N77">
        <v>0</v>
      </c>
      <c r="O77" t="s">
        <v>128</v>
      </c>
      <c r="P77">
        <v>0</v>
      </c>
      <c r="Q77" t="s">
        <v>128</v>
      </c>
      <c r="R77">
        <v>0</v>
      </c>
      <c r="S77" t="s">
        <v>128</v>
      </c>
      <c r="T77" t="s">
        <v>259</v>
      </c>
    </row>
    <row r="78" spans="1:20" x14ac:dyDescent="0.35">
      <c r="A78" t="s">
        <v>480</v>
      </c>
      <c r="B78" t="s">
        <v>481</v>
      </c>
      <c r="C78" t="s">
        <v>19</v>
      </c>
      <c r="D78" t="s">
        <v>132</v>
      </c>
      <c r="F78">
        <v>0</v>
      </c>
      <c r="G78" t="s">
        <v>132</v>
      </c>
      <c r="H78">
        <v>0</v>
      </c>
      <c r="I78" t="s">
        <v>132</v>
      </c>
      <c r="J78">
        <v>0</v>
      </c>
      <c r="K78" t="s">
        <v>230</v>
      </c>
      <c r="L78">
        <v>0</v>
      </c>
      <c r="M78" t="s">
        <v>230</v>
      </c>
      <c r="N78">
        <v>0</v>
      </c>
      <c r="O78" t="s">
        <v>132</v>
      </c>
      <c r="P78">
        <v>0</v>
      </c>
      <c r="Q78" t="s">
        <v>132</v>
      </c>
      <c r="R78">
        <v>0</v>
      </c>
      <c r="S78" t="s">
        <v>132</v>
      </c>
      <c r="T78" t="s">
        <v>259</v>
      </c>
    </row>
    <row r="79" spans="1:20" x14ac:dyDescent="0.35">
      <c r="A79" t="s">
        <v>482</v>
      </c>
      <c r="B79" t="s">
        <v>483</v>
      </c>
      <c r="C79" t="s">
        <v>44</v>
      </c>
      <c r="D79" t="s">
        <v>484</v>
      </c>
      <c r="F79">
        <v>0</v>
      </c>
      <c r="G79" t="s">
        <v>484</v>
      </c>
      <c r="H79">
        <v>0</v>
      </c>
      <c r="I79" t="s">
        <v>230</v>
      </c>
      <c r="J79">
        <v>0</v>
      </c>
      <c r="K79" t="s">
        <v>230</v>
      </c>
      <c r="L79">
        <v>0</v>
      </c>
      <c r="M79" t="s">
        <v>484</v>
      </c>
      <c r="N79">
        <v>0</v>
      </c>
      <c r="O79" t="s">
        <v>484</v>
      </c>
      <c r="P79">
        <v>0</v>
      </c>
      <c r="Q79" t="s">
        <v>484</v>
      </c>
      <c r="R79">
        <v>0</v>
      </c>
      <c r="S79" t="s">
        <v>484</v>
      </c>
      <c r="T79" t="s">
        <v>233</v>
      </c>
    </row>
    <row r="80" spans="1:20" x14ac:dyDescent="0.35">
      <c r="A80" t="s">
        <v>485</v>
      </c>
      <c r="B80" t="s">
        <v>486</v>
      </c>
      <c r="C80" t="s">
        <v>12</v>
      </c>
      <c r="D80" t="s">
        <v>487</v>
      </c>
      <c r="E80" t="s">
        <v>488</v>
      </c>
      <c r="F80" t="s">
        <v>297</v>
      </c>
      <c r="G80" t="s">
        <v>85</v>
      </c>
      <c r="H80" t="s">
        <v>297</v>
      </c>
      <c r="I80" t="s">
        <v>85</v>
      </c>
      <c r="J80" t="s">
        <v>297</v>
      </c>
      <c r="K80" t="s">
        <v>126</v>
      </c>
      <c r="L80" t="s">
        <v>297</v>
      </c>
      <c r="M80" t="s">
        <v>126</v>
      </c>
      <c r="N80" t="s">
        <v>297</v>
      </c>
      <c r="O80" t="s">
        <v>151</v>
      </c>
      <c r="P80" t="s">
        <v>297</v>
      </c>
      <c r="Q80" t="s">
        <v>230</v>
      </c>
      <c r="R80" t="s">
        <v>297</v>
      </c>
      <c r="S80" t="s">
        <v>230</v>
      </c>
      <c r="T80" t="s">
        <v>206</v>
      </c>
    </row>
    <row r="81" spans="1:20" x14ac:dyDescent="0.35">
      <c r="A81" t="s">
        <v>489</v>
      </c>
      <c r="B81" t="s">
        <v>490</v>
      </c>
      <c r="C81" t="s">
        <v>31</v>
      </c>
      <c r="D81" t="s">
        <v>491</v>
      </c>
      <c r="F81">
        <v>0</v>
      </c>
      <c r="G81" t="s">
        <v>230</v>
      </c>
      <c r="H81">
        <v>0</v>
      </c>
      <c r="I81" t="s">
        <v>491</v>
      </c>
      <c r="J81">
        <v>0</v>
      </c>
      <c r="K81" t="s">
        <v>491</v>
      </c>
      <c r="L81" t="s">
        <v>237</v>
      </c>
      <c r="M81" t="s">
        <v>237</v>
      </c>
      <c r="N81" t="s">
        <v>264</v>
      </c>
      <c r="O81" t="s">
        <v>264</v>
      </c>
      <c r="P81">
        <v>0</v>
      </c>
      <c r="Q81" t="s">
        <v>491</v>
      </c>
      <c r="R81">
        <v>0</v>
      </c>
      <c r="S81" t="s">
        <v>230</v>
      </c>
      <c r="T81" t="s">
        <v>233</v>
      </c>
    </row>
    <row r="82" spans="1:20" x14ac:dyDescent="0.35">
      <c r="A82" t="s">
        <v>492</v>
      </c>
      <c r="B82" t="s">
        <v>493</v>
      </c>
      <c r="C82" t="s">
        <v>16</v>
      </c>
      <c r="D82" t="s">
        <v>494</v>
      </c>
      <c r="F82">
        <v>0</v>
      </c>
      <c r="G82" t="s">
        <v>495</v>
      </c>
      <c r="H82" t="s">
        <v>216</v>
      </c>
      <c r="I82" t="s">
        <v>216</v>
      </c>
      <c r="J82" t="s">
        <v>221</v>
      </c>
      <c r="K82" t="s">
        <v>496</v>
      </c>
      <c r="L82">
        <v>0</v>
      </c>
      <c r="M82" t="s">
        <v>230</v>
      </c>
      <c r="N82">
        <v>0</v>
      </c>
      <c r="O82" t="s">
        <v>497</v>
      </c>
      <c r="P82">
        <v>0</v>
      </c>
      <c r="Q82" t="s">
        <v>496</v>
      </c>
      <c r="R82">
        <v>0</v>
      </c>
      <c r="S82" t="s">
        <v>1139</v>
      </c>
      <c r="T82" t="s">
        <v>241</v>
      </c>
    </row>
    <row r="83" spans="1:20" x14ac:dyDescent="0.35">
      <c r="A83" t="s">
        <v>498</v>
      </c>
      <c r="B83" t="s">
        <v>499</v>
      </c>
      <c r="C83" t="s">
        <v>31</v>
      </c>
      <c r="D83" t="s">
        <v>500</v>
      </c>
      <c r="F83" t="s">
        <v>501</v>
      </c>
      <c r="G83" t="s">
        <v>501</v>
      </c>
      <c r="H83" t="s">
        <v>501</v>
      </c>
      <c r="I83" t="s">
        <v>501</v>
      </c>
      <c r="J83" t="s">
        <v>501</v>
      </c>
      <c r="K83" t="s">
        <v>501</v>
      </c>
      <c r="L83" t="s">
        <v>237</v>
      </c>
      <c r="M83" t="s">
        <v>237</v>
      </c>
      <c r="N83" t="s">
        <v>216</v>
      </c>
      <c r="O83" t="s">
        <v>216</v>
      </c>
      <c r="P83">
        <v>0</v>
      </c>
      <c r="Q83" t="s">
        <v>230</v>
      </c>
      <c r="R83">
        <v>0</v>
      </c>
      <c r="S83" t="s">
        <v>230</v>
      </c>
      <c r="T83" t="s">
        <v>233</v>
      </c>
    </row>
    <row r="84" spans="1:20" x14ac:dyDescent="0.35">
      <c r="A84" t="s">
        <v>502</v>
      </c>
      <c r="B84" t="s">
        <v>503</v>
      </c>
      <c r="C84" t="s">
        <v>340</v>
      </c>
      <c r="D84" t="s">
        <v>504</v>
      </c>
      <c r="F84">
        <v>0</v>
      </c>
      <c r="G84" t="s">
        <v>230</v>
      </c>
      <c r="H84">
        <v>0</v>
      </c>
      <c r="I84" t="s">
        <v>230</v>
      </c>
      <c r="J84">
        <v>0</v>
      </c>
      <c r="K84" t="s">
        <v>230</v>
      </c>
      <c r="L84">
        <v>0</v>
      </c>
      <c r="M84" t="s">
        <v>230</v>
      </c>
      <c r="N84">
        <v>0</v>
      </c>
      <c r="O84" t="s">
        <v>505</v>
      </c>
      <c r="P84">
        <v>0</v>
      </c>
      <c r="Q84" t="s">
        <v>505</v>
      </c>
      <c r="R84">
        <v>0</v>
      </c>
      <c r="S84" t="s">
        <v>505</v>
      </c>
      <c r="T84" t="s">
        <v>279</v>
      </c>
    </row>
    <row r="85" spans="1:20" x14ac:dyDescent="0.35">
      <c r="A85" t="s">
        <v>506</v>
      </c>
      <c r="B85" t="s">
        <v>507</v>
      </c>
      <c r="C85" t="s">
        <v>44</v>
      </c>
      <c r="D85" t="s">
        <v>508</v>
      </c>
      <c r="F85">
        <v>0</v>
      </c>
      <c r="G85" t="s">
        <v>230</v>
      </c>
      <c r="H85">
        <v>0</v>
      </c>
      <c r="I85" t="s">
        <v>508</v>
      </c>
      <c r="J85">
        <v>0</v>
      </c>
      <c r="K85" t="s">
        <v>508</v>
      </c>
      <c r="L85">
        <v>0</v>
      </c>
      <c r="M85" t="s">
        <v>508</v>
      </c>
      <c r="N85">
        <v>0</v>
      </c>
      <c r="O85" t="s">
        <v>508</v>
      </c>
      <c r="P85">
        <v>0</v>
      </c>
      <c r="Q85" t="s">
        <v>508</v>
      </c>
      <c r="R85">
        <v>0</v>
      </c>
      <c r="S85" t="s">
        <v>230</v>
      </c>
      <c r="T85" t="s">
        <v>233</v>
      </c>
    </row>
    <row r="86" spans="1:20" x14ac:dyDescent="0.35">
      <c r="A86" t="s">
        <v>509</v>
      </c>
      <c r="B86" t="s">
        <v>510</v>
      </c>
      <c r="C86" t="s">
        <v>511</v>
      </c>
      <c r="D86" t="s">
        <v>512</v>
      </c>
      <c r="F86">
        <v>0</v>
      </c>
      <c r="G86" t="s">
        <v>230</v>
      </c>
      <c r="H86">
        <v>0</v>
      </c>
      <c r="I86" t="s">
        <v>230</v>
      </c>
      <c r="J86">
        <v>0</v>
      </c>
      <c r="K86" t="s">
        <v>337</v>
      </c>
      <c r="L86">
        <v>0</v>
      </c>
      <c r="M86" t="s">
        <v>513</v>
      </c>
      <c r="N86" t="s">
        <v>231</v>
      </c>
      <c r="O86" t="s">
        <v>164</v>
      </c>
      <c r="P86">
        <v>0</v>
      </c>
      <c r="Q86" t="s">
        <v>515</v>
      </c>
      <c r="R86">
        <v>0</v>
      </c>
      <c r="S86" t="s">
        <v>516</v>
      </c>
      <c r="T86" t="s">
        <v>233</v>
      </c>
    </row>
    <row r="87" spans="1:20" x14ac:dyDescent="0.35">
      <c r="A87" t="s">
        <v>517</v>
      </c>
      <c r="B87" t="s">
        <v>518</v>
      </c>
      <c r="C87" t="s">
        <v>15</v>
      </c>
      <c r="D87" t="s">
        <v>519</v>
      </c>
      <c r="F87">
        <v>0</v>
      </c>
      <c r="G87" t="s">
        <v>520</v>
      </c>
      <c r="H87">
        <v>0</v>
      </c>
      <c r="I87" t="s">
        <v>520</v>
      </c>
      <c r="J87">
        <v>0</v>
      </c>
      <c r="K87" t="s">
        <v>230</v>
      </c>
      <c r="L87">
        <v>0</v>
      </c>
      <c r="M87" t="s">
        <v>230</v>
      </c>
      <c r="N87">
        <v>0</v>
      </c>
      <c r="O87" t="s">
        <v>520</v>
      </c>
      <c r="P87" t="s">
        <v>246</v>
      </c>
      <c r="Q87" t="s">
        <v>520</v>
      </c>
      <c r="R87">
        <v>0</v>
      </c>
      <c r="S87" t="s">
        <v>520</v>
      </c>
      <c r="T87" t="s">
        <v>241</v>
      </c>
    </row>
    <row r="88" spans="1:20" x14ac:dyDescent="0.35">
      <c r="A88" t="s">
        <v>521</v>
      </c>
      <c r="B88" t="s">
        <v>522</v>
      </c>
      <c r="C88" t="s">
        <v>37</v>
      </c>
      <c r="D88" t="s">
        <v>523</v>
      </c>
      <c r="F88">
        <v>0</v>
      </c>
      <c r="G88" t="s">
        <v>459</v>
      </c>
      <c r="H88">
        <v>0</v>
      </c>
      <c r="I88" t="s">
        <v>459</v>
      </c>
      <c r="J88">
        <v>0</v>
      </c>
      <c r="K88" t="s">
        <v>232</v>
      </c>
      <c r="L88">
        <v>0</v>
      </c>
      <c r="M88" t="s">
        <v>232</v>
      </c>
      <c r="N88">
        <v>0</v>
      </c>
      <c r="O88" t="s">
        <v>524</v>
      </c>
      <c r="P88">
        <v>0</v>
      </c>
      <c r="Q88" t="s">
        <v>230</v>
      </c>
      <c r="R88">
        <v>0</v>
      </c>
      <c r="S88" t="s">
        <v>230</v>
      </c>
      <c r="T88" t="s">
        <v>233</v>
      </c>
    </row>
    <row r="89" spans="1:20" x14ac:dyDescent="0.35">
      <c r="A89" t="s">
        <v>525</v>
      </c>
      <c r="B89" t="s">
        <v>526</v>
      </c>
      <c r="C89" t="s">
        <v>26</v>
      </c>
      <c r="D89" t="s">
        <v>160</v>
      </c>
      <c r="F89">
        <v>0</v>
      </c>
      <c r="G89" t="s">
        <v>160</v>
      </c>
      <c r="H89">
        <v>0</v>
      </c>
      <c r="I89" t="s">
        <v>160</v>
      </c>
      <c r="J89">
        <v>0</v>
      </c>
      <c r="K89" t="s">
        <v>160</v>
      </c>
      <c r="L89">
        <v>0</v>
      </c>
      <c r="M89" t="s">
        <v>160</v>
      </c>
      <c r="N89">
        <v>0</v>
      </c>
      <c r="O89" t="s">
        <v>160</v>
      </c>
      <c r="P89">
        <v>0</v>
      </c>
      <c r="Q89" t="s">
        <v>230</v>
      </c>
      <c r="R89">
        <v>0</v>
      </c>
      <c r="S89" t="s">
        <v>230</v>
      </c>
      <c r="T89" t="s">
        <v>259</v>
      </c>
    </row>
    <row r="90" spans="1:20" x14ac:dyDescent="0.35">
      <c r="A90" t="s">
        <v>527</v>
      </c>
      <c r="B90" t="s">
        <v>528</v>
      </c>
      <c r="C90" t="s">
        <v>276</v>
      </c>
      <c r="D90" t="s">
        <v>529</v>
      </c>
      <c r="F90">
        <v>0</v>
      </c>
      <c r="G90" t="s">
        <v>421</v>
      </c>
      <c r="H90">
        <v>0</v>
      </c>
      <c r="I90" t="s">
        <v>421</v>
      </c>
      <c r="J90">
        <v>0</v>
      </c>
      <c r="K90" t="s">
        <v>421</v>
      </c>
      <c r="L90">
        <v>0</v>
      </c>
      <c r="M90" t="s">
        <v>421</v>
      </c>
      <c r="N90">
        <v>0</v>
      </c>
      <c r="O90" t="s">
        <v>230</v>
      </c>
      <c r="P90">
        <v>0</v>
      </c>
      <c r="Q90" t="s">
        <v>230</v>
      </c>
      <c r="R90">
        <v>0</v>
      </c>
      <c r="S90" t="s">
        <v>230</v>
      </c>
      <c r="T90" t="s">
        <v>279</v>
      </c>
    </row>
    <row r="91" spans="1:20" x14ac:dyDescent="0.35">
      <c r="A91" t="s">
        <v>530</v>
      </c>
      <c r="B91" t="s">
        <v>531</v>
      </c>
      <c r="C91" t="s">
        <v>14</v>
      </c>
      <c r="D91" t="s">
        <v>315</v>
      </c>
      <c r="F91">
        <v>0</v>
      </c>
      <c r="G91" t="s">
        <v>240</v>
      </c>
      <c r="H91">
        <v>0</v>
      </c>
      <c r="I91" t="s">
        <v>103</v>
      </c>
      <c r="J91">
        <v>0</v>
      </c>
      <c r="K91" t="s">
        <v>103</v>
      </c>
      <c r="L91">
        <v>0</v>
      </c>
      <c r="M91" t="s">
        <v>139</v>
      </c>
      <c r="N91">
        <v>0</v>
      </c>
      <c r="O91" t="s">
        <v>230</v>
      </c>
      <c r="P91">
        <v>0</v>
      </c>
      <c r="Q91" t="s">
        <v>230</v>
      </c>
      <c r="R91">
        <v>0</v>
      </c>
      <c r="S91" t="s">
        <v>139</v>
      </c>
      <c r="T91" t="s">
        <v>206</v>
      </c>
    </row>
    <row r="92" spans="1:20" x14ac:dyDescent="0.35">
      <c r="A92" t="s">
        <v>532</v>
      </c>
      <c r="B92" t="s">
        <v>533</v>
      </c>
      <c r="C92" t="s">
        <v>12</v>
      </c>
      <c r="D92" t="s">
        <v>487</v>
      </c>
      <c r="F92">
        <v>0</v>
      </c>
      <c r="G92" t="s">
        <v>230</v>
      </c>
      <c r="H92">
        <v>0</v>
      </c>
      <c r="I92" t="s">
        <v>230</v>
      </c>
      <c r="J92">
        <v>0</v>
      </c>
      <c r="K92" t="s">
        <v>534</v>
      </c>
      <c r="L92">
        <v>0</v>
      </c>
      <c r="M92" t="s">
        <v>534</v>
      </c>
      <c r="N92">
        <v>0</v>
      </c>
      <c r="O92" t="s">
        <v>534</v>
      </c>
      <c r="P92">
        <v>0</v>
      </c>
      <c r="Q92" t="s">
        <v>534</v>
      </c>
      <c r="R92">
        <v>0</v>
      </c>
      <c r="S92" t="s">
        <v>534</v>
      </c>
      <c r="T92" t="s">
        <v>206</v>
      </c>
    </row>
    <row r="93" spans="1:20" x14ac:dyDescent="0.35">
      <c r="A93" t="s">
        <v>535</v>
      </c>
      <c r="B93" t="s">
        <v>536</v>
      </c>
      <c r="C93" t="s">
        <v>462</v>
      </c>
      <c r="D93" t="s">
        <v>537</v>
      </c>
      <c r="F93">
        <v>0</v>
      </c>
      <c r="G93" t="s">
        <v>230</v>
      </c>
      <c r="H93">
        <v>0</v>
      </c>
      <c r="I93" t="s">
        <v>230</v>
      </c>
      <c r="J93">
        <v>0</v>
      </c>
      <c r="K93" t="s">
        <v>230</v>
      </c>
      <c r="L93">
        <v>0</v>
      </c>
      <c r="M93" t="s">
        <v>230</v>
      </c>
      <c r="N93">
        <v>0</v>
      </c>
      <c r="O93" t="s">
        <v>187</v>
      </c>
      <c r="P93">
        <v>0</v>
      </c>
      <c r="Q93" t="s">
        <v>187</v>
      </c>
      <c r="R93">
        <v>0</v>
      </c>
      <c r="S93" t="s">
        <v>187</v>
      </c>
      <c r="T93" t="s">
        <v>204</v>
      </c>
    </row>
    <row r="94" spans="1:20" x14ac:dyDescent="0.35">
      <c r="A94" t="s">
        <v>538</v>
      </c>
      <c r="B94" t="s">
        <v>539</v>
      </c>
      <c r="C94" t="s">
        <v>37</v>
      </c>
      <c r="D94" t="s">
        <v>310</v>
      </c>
      <c r="F94">
        <v>0</v>
      </c>
      <c r="G94" t="s">
        <v>230</v>
      </c>
      <c r="H94">
        <v>0</v>
      </c>
      <c r="I94" t="s">
        <v>230</v>
      </c>
      <c r="J94">
        <v>0</v>
      </c>
      <c r="K94" t="s">
        <v>310</v>
      </c>
      <c r="L94">
        <v>0</v>
      </c>
      <c r="M94" t="s">
        <v>310</v>
      </c>
      <c r="N94">
        <v>0</v>
      </c>
      <c r="O94" t="s">
        <v>310</v>
      </c>
      <c r="P94">
        <v>0</v>
      </c>
      <c r="Q94" t="s">
        <v>310</v>
      </c>
      <c r="R94">
        <v>0</v>
      </c>
      <c r="S94" t="s">
        <v>310</v>
      </c>
      <c r="T94" t="s">
        <v>233</v>
      </c>
    </row>
    <row r="95" spans="1:20" x14ac:dyDescent="0.35">
      <c r="A95" t="s">
        <v>540</v>
      </c>
      <c r="B95" t="s">
        <v>541</v>
      </c>
      <c r="C95" t="s">
        <v>55</v>
      </c>
      <c r="D95" t="s">
        <v>542</v>
      </c>
      <c r="F95">
        <v>0</v>
      </c>
      <c r="G95" t="s">
        <v>230</v>
      </c>
      <c r="H95">
        <v>0</v>
      </c>
      <c r="I95" t="s">
        <v>543</v>
      </c>
      <c r="J95">
        <v>0</v>
      </c>
      <c r="K95" t="s">
        <v>543</v>
      </c>
      <c r="L95">
        <v>0</v>
      </c>
      <c r="M95" t="s">
        <v>543</v>
      </c>
      <c r="N95">
        <v>0</v>
      </c>
      <c r="O95" t="s">
        <v>230</v>
      </c>
      <c r="P95">
        <v>0</v>
      </c>
      <c r="Q95" t="s">
        <v>543</v>
      </c>
      <c r="R95">
        <v>0</v>
      </c>
      <c r="S95" t="s">
        <v>543</v>
      </c>
      <c r="T95" t="s">
        <v>208</v>
      </c>
    </row>
    <row r="96" spans="1:20" x14ac:dyDescent="0.35">
      <c r="A96" t="s">
        <v>544</v>
      </c>
      <c r="B96" t="s">
        <v>545</v>
      </c>
      <c r="C96" t="s">
        <v>19</v>
      </c>
      <c r="D96" t="s">
        <v>95</v>
      </c>
      <c r="F96">
        <v>0</v>
      </c>
      <c r="G96" t="s">
        <v>230</v>
      </c>
      <c r="H96">
        <v>0</v>
      </c>
      <c r="I96" t="s">
        <v>95</v>
      </c>
      <c r="J96">
        <v>0</v>
      </c>
      <c r="K96" t="s">
        <v>95</v>
      </c>
      <c r="L96">
        <v>0</v>
      </c>
      <c r="M96" t="s">
        <v>95</v>
      </c>
      <c r="N96">
        <v>0</v>
      </c>
      <c r="O96" t="s">
        <v>95</v>
      </c>
      <c r="P96">
        <v>0</v>
      </c>
      <c r="Q96" t="s">
        <v>95</v>
      </c>
      <c r="R96">
        <v>0</v>
      </c>
      <c r="S96" t="s">
        <v>230</v>
      </c>
      <c r="T96" t="s">
        <v>259</v>
      </c>
    </row>
    <row r="97" spans="1:20" x14ac:dyDescent="0.35">
      <c r="A97" t="s">
        <v>546</v>
      </c>
      <c r="B97" t="s">
        <v>547</v>
      </c>
      <c r="C97" t="s">
        <v>44</v>
      </c>
      <c r="D97" t="s">
        <v>548</v>
      </c>
      <c r="F97">
        <v>0</v>
      </c>
      <c r="G97" t="s">
        <v>508</v>
      </c>
      <c r="H97">
        <v>0</v>
      </c>
      <c r="I97" t="s">
        <v>484</v>
      </c>
      <c r="J97">
        <v>0</v>
      </c>
      <c r="K97" t="s">
        <v>484</v>
      </c>
      <c r="L97">
        <v>0</v>
      </c>
      <c r="M97" t="s">
        <v>401</v>
      </c>
      <c r="N97">
        <v>0</v>
      </c>
      <c r="O97" t="s">
        <v>230</v>
      </c>
      <c r="P97">
        <v>0</v>
      </c>
      <c r="Q97" t="s">
        <v>230</v>
      </c>
      <c r="R97">
        <v>0</v>
      </c>
      <c r="S97" t="s">
        <v>508</v>
      </c>
      <c r="T97" t="s">
        <v>233</v>
      </c>
    </row>
    <row r="98" spans="1:20" x14ac:dyDescent="0.35">
      <c r="A98" t="s">
        <v>549</v>
      </c>
      <c r="B98" t="s">
        <v>550</v>
      </c>
      <c r="C98" t="s">
        <v>44</v>
      </c>
      <c r="D98" t="s">
        <v>238</v>
      </c>
      <c r="F98">
        <v>0</v>
      </c>
      <c r="G98" t="s">
        <v>238</v>
      </c>
      <c r="H98" t="s">
        <v>210</v>
      </c>
      <c r="I98" t="s">
        <v>230</v>
      </c>
      <c r="J98" t="s">
        <v>210</v>
      </c>
      <c r="K98" t="s">
        <v>230</v>
      </c>
      <c r="L98" t="s">
        <v>210</v>
      </c>
      <c r="M98" t="s">
        <v>210</v>
      </c>
      <c r="N98">
        <v>0</v>
      </c>
      <c r="O98" t="s">
        <v>238</v>
      </c>
      <c r="P98">
        <v>0</v>
      </c>
      <c r="Q98" t="s">
        <v>238</v>
      </c>
      <c r="R98">
        <v>0</v>
      </c>
      <c r="S98" t="s">
        <v>238</v>
      </c>
      <c r="T98" t="s">
        <v>233</v>
      </c>
    </row>
    <row r="99" spans="1:20" x14ac:dyDescent="0.35">
      <c r="A99" t="s">
        <v>551</v>
      </c>
      <c r="B99" t="s">
        <v>552</v>
      </c>
      <c r="C99" t="s">
        <v>37</v>
      </c>
      <c r="D99" t="s">
        <v>311</v>
      </c>
      <c r="F99">
        <v>0</v>
      </c>
      <c r="G99" t="s">
        <v>311</v>
      </c>
      <c r="H99">
        <v>0</v>
      </c>
      <c r="I99" t="s">
        <v>311</v>
      </c>
      <c r="J99">
        <v>0</v>
      </c>
      <c r="K99" t="s">
        <v>230</v>
      </c>
      <c r="L99">
        <v>0</v>
      </c>
      <c r="M99" t="s">
        <v>230</v>
      </c>
      <c r="N99">
        <v>0</v>
      </c>
      <c r="O99" t="s">
        <v>311</v>
      </c>
      <c r="P99" t="s">
        <v>231</v>
      </c>
      <c r="Q99" t="s">
        <v>131</v>
      </c>
      <c r="R99">
        <v>0</v>
      </c>
      <c r="S99" t="s">
        <v>311</v>
      </c>
      <c r="T99" t="s">
        <v>233</v>
      </c>
    </row>
    <row r="100" spans="1:20" x14ac:dyDescent="0.35">
      <c r="A100" t="s">
        <v>553</v>
      </c>
      <c r="B100" t="s">
        <v>554</v>
      </c>
      <c r="C100" t="s">
        <v>262</v>
      </c>
      <c r="D100" t="s">
        <v>555</v>
      </c>
      <c r="F100">
        <v>0</v>
      </c>
      <c r="G100" t="s">
        <v>169</v>
      </c>
      <c r="H100">
        <v>0</v>
      </c>
      <c r="I100" t="s">
        <v>169</v>
      </c>
      <c r="J100">
        <v>0</v>
      </c>
      <c r="K100" t="s">
        <v>169</v>
      </c>
      <c r="L100" t="s">
        <v>556</v>
      </c>
      <c r="M100" t="s">
        <v>556</v>
      </c>
      <c r="N100">
        <v>0</v>
      </c>
      <c r="O100" t="s">
        <v>230</v>
      </c>
      <c r="P100">
        <v>0</v>
      </c>
      <c r="Q100" t="s">
        <v>230</v>
      </c>
      <c r="R100">
        <v>0</v>
      </c>
      <c r="S100" t="s">
        <v>230</v>
      </c>
      <c r="T100" t="s">
        <v>204</v>
      </c>
    </row>
    <row r="101" spans="1:20" x14ac:dyDescent="0.35">
      <c r="A101" t="s">
        <v>557</v>
      </c>
      <c r="B101" t="s">
        <v>558</v>
      </c>
      <c r="C101" t="s">
        <v>31</v>
      </c>
      <c r="D101" t="s">
        <v>559</v>
      </c>
      <c r="F101">
        <v>0</v>
      </c>
      <c r="G101" t="s">
        <v>559</v>
      </c>
      <c r="H101">
        <v>0</v>
      </c>
      <c r="I101" t="s">
        <v>559</v>
      </c>
      <c r="J101">
        <v>0</v>
      </c>
      <c r="K101" t="s">
        <v>230</v>
      </c>
      <c r="L101">
        <v>0</v>
      </c>
      <c r="M101" t="s">
        <v>230</v>
      </c>
      <c r="N101" t="s">
        <v>246</v>
      </c>
      <c r="O101" t="s">
        <v>559</v>
      </c>
      <c r="P101" t="s">
        <v>560</v>
      </c>
      <c r="Q101" t="s">
        <v>560</v>
      </c>
      <c r="R101">
        <v>0</v>
      </c>
      <c r="S101" t="s">
        <v>559</v>
      </c>
      <c r="T101" t="s">
        <v>233</v>
      </c>
    </row>
    <row r="102" spans="1:20" x14ac:dyDescent="0.35">
      <c r="A102" t="s">
        <v>561</v>
      </c>
      <c r="B102" t="s">
        <v>562</v>
      </c>
      <c r="C102" t="s">
        <v>17</v>
      </c>
      <c r="D102" t="s">
        <v>563</v>
      </c>
      <c r="F102" t="s">
        <v>216</v>
      </c>
      <c r="G102" t="s">
        <v>216</v>
      </c>
      <c r="H102" t="s">
        <v>246</v>
      </c>
      <c r="I102" t="s">
        <v>564</v>
      </c>
      <c r="J102">
        <v>0</v>
      </c>
      <c r="K102" t="s">
        <v>230</v>
      </c>
      <c r="L102">
        <v>0</v>
      </c>
      <c r="M102" t="s">
        <v>230</v>
      </c>
      <c r="N102">
        <v>0</v>
      </c>
      <c r="O102" t="s">
        <v>491</v>
      </c>
      <c r="P102">
        <v>0</v>
      </c>
      <c r="Q102" t="s">
        <v>445</v>
      </c>
      <c r="R102">
        <v>0</v>
      </c>
      <c r="S102" t="s">
        <v>445</v>
      </c>
      <c r="T102" t="s">
        <v>241</v>
      </c>
    </row>
    <row r="103" spans="1:20" x14ac:dyDescent="0.35">
      <c r="A103" t="s">
        <v>565</v>
      </c>
      <c r="B103" t="s">
        <v>566</v>
      </c>
      <c r="C103" t="s">
        <v>567</v>
      </c>
      <c r="D103" t="s">
        <v>568</v>
      </c>
      <c r="F103">
        <v>0</v>
      </c>
      <c r="G103" t="s">
        <v>230</v>
      </c>
      <c r="H103">
        <v>0</v>
      </c>
      <c r="I103" t="s">
        <v>230</v>
      </c>
      <c r="J103">
        <v>0</v>
      </c>
      <c r="K103" t="s">
        <v>143</v>
      </c>
      <c r="L103" t="s">
        <v>231</v>
      </c>
      <c r="M103" t="s">
        <v>569</v>
      </c>
      <c r="N103">
        <v>0</v>
      </c>
      <c r="O103" t="s">
        <v>145</v>
      </c>
      <c r="P103">
        <v>0</v>
      </c>
      <c r="Q103" t="s">
        <v>146</v>
      </c>
      <c r="R103">
        <v>0</v>
      </c>
      <c r="S103" t="s">
        <v>570</v>
      </c>
      <c r="T103" t="s">
        <v>259</v>
      </c>
    </row>
    <row r="104" spans="1:20" x14ac:dyDescent="0.35">
      <c r="A104" t="s">
        <v>571</v>
      </c>
      <c r="B104" t="s">
        <v>572</v>
      </c>
      <c r="C104" t="s">
        <v>44</v>
      </c>
      <c r="D104" t="s">
        <v>569</v>
      </c>
      <c r="F104">
        <v>0</v>
      </c>
      <c r="G104" t="s">
        <v>569</v>
      </c>
      <c r="H104" t="s">
        <v>231</v>
      </c>
      <c r="I104" t="s">
        <v>144</v>
      </c>
      <c r="J104">
        <v>0</v>
      </c>
      <c r="K104" t="s">
        <v>569</v>
      </c>
      <c r="L104">
        <v>0</v>
      </c>
      <c r="M104" t="s">
        <v>230</v>
      </c>
      <c r="N104">
        <v>0</v>
      </c>
      <c r="O104" t="s">
        <v>230</v>
      </c>
      <c r="P104">
        <v>0</v>
      </c>
      <c r="Q104" t="s">
        <v>569</v>
      </c>
      <c r="R104">
        <v>0</v>
      </c>
      <c r="S104" t="s">
        <v>569</v>
      </c>
      <c r="T104" t="s">
        <v>233</v>
      </c>
    </row>
    <row r="105" spans="1:20" x14ac:dyDescent="0.35">
      <c r="A105" t="s">
        <v>573</v>
      </c>
      <c r="B105" t="s">
        <v>574</v>
      </c>
      <c r="C105" t="s">
        <v>262</v>
      </c>
      <c r="D105" t="s">
        <v>575</v>
      </c>
      <c r="F105" t="s">
        <v>245</v>
      </c>
      <c r="G105" t="s">
        <v>230</v>
      </c>
      <c r="H105" t="s">
        <v>245</v>
      </c>
      <c r="I105" t="s">
        <v>230</v>
      </c>
      <c r="J105" t="s">
        <v>245</v>
      </c>
      <c r="K105" t="s">
        <v>230</v>
      </c>
      <c r="L105" t="s">
        <v>245</v>
      </c>
      <c r="M105" t="s">
        <v>230</v>
      </c>
      <c r="N105" t="s">
        <v>245</v>
      </c>
      <c r="O105" t="s">
        <v>245</v>
      </c>
      <c r="P105" t="s">
        <v>245</v>
      </c>
      <c r="Q105" t="s">
        <v>245</v>
      </c>
      <c r="R105">
        <v>0</v>
      </c>
      <c r="S105" t="s">
        <v>175</v>
      </c>
      <c r="T105" t="s">
        <v>204</v>
      </c>
    </row>
    <row r="106" spans="1:20" x14ac:dyDescent="0.35">
      <c r="A106" t="s">
        <v>576</v>
      </c>
      <c r="B106" t="s">
        <v>577</v>
      </c>
      <c r="C106" t="s">
        <v>12</v>
      </c>
      <c r="D106" t="s">
        <v>244</v>
      </c>
      <c r="F106">
        <v>0</v>
      </c>
      <c r="G106" t="s">
        <v>146</v>
      </c>
      <c r="H106">
        <v>0</v>
      </c>
      <c r="I106" t="s">
        <v>146</v>
      </c>
      <c r="J106">
        <v>0</v>
      </c>
      <c r="K106" t="s">
        <v>146</v>
      </c>
      <c r="L106">
        <v>0</v>
      </c>
      <c r="M106" t="s">
        <v>155</v>
      </c>
      <c r="N106">
        <v>0</v>
      </c>
      <c r="O106" t="s">
        <v>230</v>
      </c>
      <c r="P106">
        <v>0</v>
      </c>
      <c r="Q106" t="s">
        <v>230</v>
      </c>
      <c r="R106">
        <v>0</v>
      </c>
      <c r="S106" t="s">
        <v>93</v>
      </c>
      <c r="T106" t="s">
        <v>206</v>
      </c>
    </row>
    <row r="107" spans="1:20" x14ac:dyDescent="0.35">
      <c r="A107" t="s">
        <v>578</v>
      </c>
      <c r="B107" t="s">
        <v>579</v>
      </c>
      <c r="C107" t="s">
        <v>37</v>
      </c>
      <c r="D107" t="s">
        <v>580</v>
      </c>
      <c r="F107" t="s">
        <v>216</v>
      </c>
      <c r="G107" t="s">
        <v>216</v>
      </c>
      <c r="H107">
        <v>0</v>
      </c>
      <c r="I107" t="s">
        <v>230</v>
      </c>
      <c r="J107">
        <v>0</v>
      </c>
      <c r="K107" t="s">
        <v>230</v>
      </c>
      <c r="L107" t="s">
        <v>231</v>
      </c>
      <c r="M107" t="s">
        <v>477</v>
      </c>
      <c r="N107">
        <v>0</v>
      </c>
      <c r="O107" t="s">
        <v>580</v>
      </c>
      <c r="P107">
        <v>0</v>
      </c>
      <c r="Q107" t="s">
        <v>580</v>
      </c>
      <c r="R107">
        <v>0</v>
      </c>
      <c r="S107" t="s">
        <v>580</v>
      </c>
      <c r="T107" t="s">
        <v>233</v>
      </c>
    </row>
    <row r="108" spans="1:20" x14ac:dyDescent="0.35">
      <c r="A108" t="s">
        <v>581</v>
      </c>
      <c r="B108" t="s">
        <v>582</v>
      </c>
      <c r="C108" t="s">
        <v>583</v>
      </c>
      <c r="D108" t="s">
        <v>584</v>
      </c>
      <c r="F108">
        <v>0</v>
      </c>
      <c r="G108" t="s">
        <v>230</v>
      </c>
      <c r="H108">
        <v>0</v>
      </c>
      <c r="I108" t="s">
        <v>230</v>
      </c>
      <c r="J108">
        <v>0</v>
      </c>
      <c r="K108" t="s">
        <v>495</v>
      </c>
      <c r="L108">
        <v>0</v>
      </c>
      <c r="M108" t="s">
        <v>496</v>
      </c>
      <c r="N108">
        <v>0</v>
      </c>
      <c r="O108" t="s">
        <v>395</v>
      </c>
      <c r="P108">
        <v>0</v>
      </c>
      <c r="Q108" t="s">
        <v>312</v>
      </c>
      <c r="R108">
        <v>0</v>
      </c>
      <c r="S108" t="s">
        <v>165</v>
      </c>
      <c r="T108" t="s">
        <v>233</v>
      </c>
    </row>
    <row r="109" spans="1:20" x14ac:dyDescent="0.35">
      <c r="A109" t="s">
        <v>585</v>
      </c>
      <c r="B109" t="s">
        <v>586</v>
      </c>
      <c r="C109" t="s">
        <v>5</v>
      </c>
      <c r="D109" t="s">
        <v>145</v>
      </c>
      <c r="F109">
        <v>0</v>
      </c>
      <c r="G109" t="s">
        <v>302</v>
      </c>
      <c r="H109">
        <v>0</v>
      </c>
      <c r="I109" t="s">
        <v>302</v>
      </c>
      <c r="J109" t="s">
        <v>237</v>
      </c>
      <c r="K109" t="s">
        <v>237</v>
      </c>
      <c r="L109">
        <v>0</v>
      </c>
      <c r="M109" t="s">
        <v>587</v>
      </c>
      <c r="N109">
        <v>0</v>
      </c>
      <c r="O109" t="s">
        <v>514</v>
      </c>
      <c r="P109" t="s">
        <v>589</v>
      </c>
      <c r="Q109" t="s">
        <v>588</v>
      </c>
      <c r="R109" t="s">
        <v>589</v>
      </c>
      <c r="S109" t="s">
        <v>588</v>
      </c>
      <c r="T109" t="s">
        <v>259</v>
      </c>
    </row>
    <row r="110" spans="1:20" x14ac:dyDescent="0.35">
      <c r="A110" t="s">
        <v>590</v>
      </c>
      <c r="B110" t="s">
        <v>591</v>
      </c>
      <c r="C110" t="s">
        <v>5</v>
      </c>
      <c r="D110" t="s">
        <v>123</v>
      </c>
      <c r="F110">
        <v>0</v>
      </c>
      <c r="G110" t="s">
        <v>123</v>
      </c>
      <c r="H110">
        <v>0</v>
      </c>
      <c r="I110" t="s">
        <v>123</v>
      </c>
      <c r="J110">
        <v>0</v>
      </c>
      <c r="K110" t="s">
        <v>230</v>
      </c>
      <c r="L110">
        <v>0</v>
      </c>
      <c r="M110" t="s">
        <v>230</v>
      </c>
      <c r="N110">
        <v>0</v>
      </c>
      <c r="O110" t="s">
        <v>123</v>
      </c>
      <c r="P110">
        <v>0</v>
      </c>
      <c r="Q110" t="s">
        <v>123</v>
      </c>
      <c r="R110">
        <v>0</v>
      </c>
      <c r="S110" t="s">
        <v>123</v>
      </c>
      <c r="T110" t="s">
        <v>259</v>
      </c>
    </row>
    <row r="111" spans="1:20" x14ac:dyDescent="0.35">
      <c r="A111" t="s">
        <v>592</v>
      </c>
      <c r="B111" t="s">
        <v>593</v>
      </c>
      <c r="C111" t="s">
        <v>5</v>
      </c>
      <c r="D111" t="s">
        <v>594</v>
      </c>
      <c r="F111">
        <v>0</v>
      </c>
      <c r="G111" t="s">
        <v>230</v>
      </c>
      <c r="H111">
        <v>0</v>
      </c>
      <c r="I111" t="s">
        <v>230</v>
      </c>
      <c r="J111">
        <v>0</v>
      </c>
      <c r="K111" t="s">
        <v>83</v>
      </c>
      <c r="L111" t="s">
        <v>231</v>
      </c>
      <c r="M111" t="s">
        <v>79</v>
      </c>
      <c r="N111">
        <v>0</v>
      </c>
      <c r="O111" t="s">
        <v>125</v>
      </c>
      <c r="P111">
        <v>0</v>
      </c>
      <c r="Q111" t="s">
        <v>125</v>
      </c>
      <c r="R111">
        <v>0</v>
      </c>
      <c r="S111" t="s">
        <v>150</v>
      </c>
      <c r="T111" t="s">
        <v>259</v>
      </c>
    </row>
    <row r="112" spans="1:20" x14ac:dyDescent="0.35">
      <c r="A112" t="s">
        <v>595</v>
      </c>
      <c r="B112" t="s">
        <v>596</v>
      </c>
      <c r="C112" t="s">
        <v>567</v>
      </c>
      <c r="D112" t="s">
        <v>597</v>
      </c>
      <c r="F112">
        <v>0</v>
      </c>
      <c r="G112" t="s">
        <v>150</v>
      </c>
      <c r="H112">
        <v>0</v>
      </c>
      <c r="I112" t="s">
        <v>230</v>
      </c>
      <c r="J112">
        <v>0</v>
      </c>
      <c r="K112" t="s">
        <v>230</v>
      </c>
      <c r="L112">
        <v>0</v>
      </c>
      <c r="M112" t="s">
        <v>148</v>
      </c>
      <c r="N112">
        <v>0</v>
      </c>
      <c r="O112" t="s">
        <v>149</v>
      </c>
      <c r="P112">
        <v>0</v>
      </c>
      <c r="Q112" t="s">
        <v>570</v>
      </c>
      <c r="R112">
        <v>0</v>
      </c>
      <c r="S112" t="s">
        <v>147</v>
      </c>
      <c r="T112" t="s">
        <v>259</v>
      </c>
    </row>
    <row r="113" spans="1:20" x14ac:dyDescent="0.35">
      <c r="A113" t="s">
        <v>598</v>
      </c>
      <c r="B113" t="s">
        <v>599</v>
      </c>
      <c r="C113" t="s">
        <v>44</v>
      </c>
      <c r="D113" t="s">
        <v>359</v>
      </c>
      <c r="F113">
        <v>0</v>
      </c>
      <c r="G113" t="s">
        <v>230</v>
      </c>
      <c r="H113" t="s">
        <v>237</v>
      </c>
      <c r="I113" t="s">
        <v>237</v>
      </c>
      <c r="J113">
        <v>0</v>
      </c>
      <c r="K113" t="s">
        <v>359</v>
      </c>
      <c r="L113">
        <v>0</v>
      </c>
      <c r="M113" t="s">
        <v>359</v>
      </c>
      <c r="N113">
        <v>0</v>
      </c>
      <c r="O113" t="s">
        <v>359</v>
      </c>
      <c r="P113">
        <v>0</v>
      </c>
      <c r="Q113" t="s">
        <v>359</v>
      </c>
      <c r="R113">
        <v>0</v>
      </c>
      <c r="S113" t="s">
        <v>230</v>
      </c>
      <c r="T113" t="s">
        <v>233</v>
      </c>
    </row>
    <row r="114" spans="1:20" x14ac:dyDescent="0.35">
      <c r="A114" t="s">
        <v>600</v>
      </c>
      <c r="B114" t="s">
        <v>601</v>
      </c>
      <c r="C114" t="s">
        <v>340</v>
      </c>
      <c r="D114" t="s">
        <v>602</v>
      </c>
      <c r="F114">
        <v>0</v>
      </c>
      <c r="G114" t="s">
        <v>230</v>
      </c>
      <c r="H114">
        <v>0</v>
      </c>
      <c r="I114" t="s">
        <v>230</v>
      </c>
      <c r="J114">
        <v>0</v>
      </c>
      <c r="K114" t="s">
        <v>230</v>
      </c>
      <c r="L114">
        <v>0</v>
      </c>
      <c r="M114" t="s">
        <v>230</v>
      </c>
      <c r="N114">
        <v>0</v>
      </c>
      <c r="O114" t="s">
        <v>603</v>
      </c>
      <c r="P114">
        <v>0</v>
      </c>
      <c r="Q114" t="s">
        <v>603</v>
      </c>
      <c r="R114">
        <v>0</v>
      </c>
      <c r="S114" t="s">
        <v>603</v>
      </c>
      <c r="T114" t="s">
        <v>279</v>
      </c>
    </row>
    <row r="115" spans="1:20" x14ac:dyDescent="0.35">
      <c r="A115" t="s">
        <v>604</v>
      </c>
      <c r="B115" t="s">
        <v>605</v>
      </c>
      <c r="C115" t="s">
        <v>31</v>
      </c>
      <c r="D115" t="s">
        <v>606</v>
      </c>
      <c r="F115">
        <v>0</v>
      </c>
      <c r="G115" t="s">
        <v>606</v>
      </c>
      <c r="H115">
        <v>0</v>
      </c>
      <c r="I115" t="s">
        <v>606</v>
      </c>
      <c r="J115">
        <v>0</v>
      </c>
      <c r="K115" t="s">
        <v>230</v>
      </c>
      <c r="L115">
        <v>0</v>
      </c>
      <c r="M115" t="s">
        <v>230</v>
      </c>
      <c r="N115">
        <v>0</v>
      </c>
      <c r="O115" t="s">
        <v>606</v>
      </c>
      <c r="P115" t="s">
        <v>245</v>
      </c>
      <c r="Q115" t="s">
        <v>245</v>
      </c>
      <c r="R115">
        <v>0</v>
      </c>
      <c r="S115" t="s">
        <v>606</v>
      </c>
      <c r="T115" t="s">
        <v>233</v>
      </c>
    </row>
    <row r="116" spans="1:20" x14ac:dyDescent="0.35">
      <c r="A116" t="s">
        <v>607</v>
      </c>
      <c r="B116" t="s">
        <v>608</v>
      </c>
      <c r="C116" t="s">
        <v>26</v>
      </c>
      <c r="D116" t="s">
        <v>609</v>
      </c>
      <c r="F116">
        <v>0</v>
      </c>
      <c r="G116" t="s">
        <v>165</v>
      </c>
      <c r="H116">
        <v>0</v>
      </c>
      <c r="I116" t="s">
        <v>230</v>
      </c>
      <c r="J116">
        <v>0</v>
      </c>
      <c r="K116" t="s">
        <v>230</v>
      </c>
      <c r="L116">
        <v>0</v>
      </c>
      <c r="M116" t="s">
        <v>113</v>
      </c>
      <c r="N116">
        <v>0</v>
      </c>
      <c r="O116" t="s">
        <v>113</v>
      </c>
      <c r="P116" t="s">
        <v>354</v>
      </c>
      <c r="Q116" t="s">
        <v>354</v>
      </c>
      <c r="R116">
        <v>0</v>
      </c>
      <c r="S116" t="s">
        <v>140</v>
      </c>
      <c r="T116" t="s">
        <v>259</v>
      </c>
    </row>
    <row r="117" spans="1:20" x14ac:dyDescent="0.35">
      <c r="A117" t="s">
        <v>610</v>
      </c>
      <c r="B117" t="s">
        <v>611</v>
      </c>
      <c r="C117" t="s">
        <v>13</v>
      </c>
      <c r="D117" t="s">
        <v>293</v>
      </c>
      <c r="F117">
        <v>0</v>
      </c>
      <c r="G117" t="s">
        <v>137</v>
      </c>
      <c r="H117">
        <v>0</v>
      </c>
      <c r="I117" t="s">
        <v>137</v>
      </c>
      <c r="J117">
        <v>0</v>
      </c>
      <c r="K117" t="s">
        <v>156</v>
      </c>
      <c r="L117">
        <v>0</v>
      </c>
      <c r="M117" t="s">
        <v>240</v>
      </c>
      <c r="N117">
        <v>0</v>
      </c>
      <c r="O117" t="s">
        <v>230</v>
      </c>
      <c r="P117">
        <v>0</v>
      </c>
      <c r="Q117" t="s">
        <v>230</v>
      </c>
      <c r="R117">
        <v>0</v>
      </c>
      <c r="S117" t="s">
        <v>162</v>
      </c>
      <c r="T117" t="s">
        <v>206</v>
      </c>
    </row>
    <row r="118" spans="1:20" x14ac:dyDescent="0.35">
      <c r="A118" t="s">
        <v>612</v>
      </c>
      <c r="B118" t="s">
        <v>613</v>
      </c>
      <c r="C118" t="s">
        <v>5</v>
      </c>
      <c r="D118" t="s">
        <v>126</v>
      </c>
      <c r="F118">
        <v>0</v>
      </c>
      <c r="G118" t="s">
        <v>126</v>
      </c>
      <c r="H118">
        <v>0</v>
      </c>
      <c r="I118" t="s">
        <v>126</v>
      </c>
      <c r="J118">
        <v>0</v>
      </c>
      <c r="K118" t="s">
        <v>230</v>
      </c>
      <c r="L118">
        <v>0</v>
      </c>
      <c r="M118" t="s">
        <v>230</v>
      </c>
      <c r="N118">
        <v>0</v>
      </c>
      <c r="O118" t="s">
        <v>126</v>
      </c>
      <c r="P118">
        <v>0</v>
      </c>
      <c r="Q118" t="s">
        <v>126</v>
      </c>
      <c r="R118">
        <v>0</v>
      </c>
      <c r="S118" t="s">
        <v>126</v>
      </c>
      <c r="T118" t="s">
        <v>259</v>
      </c>
    </row>
    <row r="119" spans="1:20" x14ac:dyDescent="0.35">
      <c r="A119" t="s">
        <v>614</v>
      </c>
      <c r="B119" t="s">
        <v>615</v>
      </c>
      <c r="C119" t="s">
        <v>15</v>
      </c>
      <c r="D119" t="s">
        <v>378</v>
      </c>
      <c r="F119" t="s">
        <v>245</v>
      </c>
      <c r="G119" t="s">
        <v>245</v>
      </c>
      <c r="H119">
        <v>0</v>
      </c>
      <c r="I119" t="s">
        <v>616</v>
      </c>
      <c r="J119">
        <v>0</v>
      </c>
      <c r="K119" t="s">
        <v>239</v>
      </c>
      <c r="L119">
        <v>0</v>
      </c>
      <c r="M119" t="s">
        <v>239</v>
      </c>
      <c r="N119">
        <v>0</v>
      </c>
      <c r="O119" t="s">
        <v>230</v>
      </c>
      <c r="P119">
        <v>0</v>
      </c>
      <c r="Q119" t="s">
        <v>230</v>
      </c>
      <c r="R119">
        <v>0</v>
      </c>
      <c r="S119" t="s">
        <v>616</v>
      </c>
      <c r="T119" t="s">
        <v>241</v>
      </c>
    </row>
    <row r="120" spans="1:20" x14ac:dyDescent="0.35">
      <c r="A120" t="s">
        <v>617</v>
      </c>
      <c r="B120" t="s">
        <v>618</v>
      </c>
      <c r="C120" t="s">
        <v>31</v>
      </c>
      <c r="D120" t="s">
        <v>619</v>
      </c>
      <c r="F120">
        <v>0</v>
      </c>
      <c r="G120" t="s">
        <v>390</v>
      </c>
      <c r="H120">
        <v>0</v>
      </c>
      <c r="I120" t="s">
        <v>390</v>
      </c>
      <c r="J120">
        <v>0</v>
      </c>
      <c r="K120" t="s">
        <v>559</v>
      </c>
      <c r="L120">
        <v>0</v>
      </c>
      <c r="M120" t="s">
        <v>559</v>
      </c>
      <c r="N120">
        <v>0</v>
      </c>
      <c r="O120" t="s">
        <v>620</v>
      </c>
      <c r="P120">
        <v>0</v>
      </c>
      <c r="Q120" t="s">
        <v>230</v>
      </c>
      <c r="R120">
        <v>0</v>
      </c>
      <c r="S120" t="s">
        <v>230</v>
      </c>
      <c r="T120" t="s">
        <v>233</v>
      </c>
    </row>
    <row r="121" spans="1:20" x14ac:dyDescent="0.35">
      <c r="A121" t="s">
        <v>621</v>
      </c>
      <c r="B121" t="s">
        <v>622</v>
      </c>
      <c r="C121" t="s">
        <v>267</v>
      </c>
      <c r="D121" t="s">
        <v>623</v>
      </c>
      <c r="F121" t="s">
        <v>237</v>
      </c>
      <c r="G121" t="s">
        <v>237</v>
      </c>
      <c r="H121">
        <v>0</v>
      </c>
      <c r="I121" t="s">
        <v>183</v>
      </c>
      <c r="J121">
        <v>0</v>
      </c>
      <c r="K121" t="s">
        <v>183</v>
      </c>
      <c r="L121">
        <v>0</v>
      </c>
      <c r="M121" t="s">
        <v>183</v>
      </c>
      <c r="N121">
        <v>0</v>
      </c>
      <c r="O121" t="s">
        <v>230</v>
      </c>
      <c r="P121">
        <v>0</v>
      </c>
      <c r="Q121" t="s">
        <v>230</v>
      </c>
      <c r="R121">
        <v>0</v>
      </c>
      <c r="S121" t="s">
        <v>230</v>
      </c>
      <c r="T121" t="s">
        <v>204</v>
      </c>
    </row>
    <row r="122" spans="1:20" x14ac:dyDescent="0.35">
      <c r="A122" t="s">
        <v>624</v>
      </c>
      <c r="B122" t="s">
        <v>625</v>
      </c>
      <c r="C122" t="s">
        <v>267</v>
      </c>
      <c r="D122" t="s">
        <v>626</v>
      </c>
      <c r="F122">
        <v>0</v>
      </c>
      <c r="G122" t="s">
        <v>230</v>
      </c>
      <c r="H122">
        <v>0</v>
      </c>
      <c r="I122" t="s">
        <v>230</v>
      </c>
      <c r="J122">
        <v>0</v>
      </c>
      <c r="K122" t="s">
        <v>230</v>
      </c>
      <c r="L122">
        <v>0</v>
      </c>
      <c r="M122" t="s">
        <v>230</v>
      </c>
      <c r="N122">
        <v>0</v>
      </c>
      <c r="O122" t="s">
        <v>183</v>
      </c>
      <c r="P122">
        <v>0</v>
      </c>
      <c r="Q122" t="s">
        <v>183</v>
      </c>
      <c r="R122">
        <v>0</v>
      </c>
      <c r="S122" t="s">
        <v>183</v>
      </c>
      <c r="T122" t="s">
        <v>204</v>
      </c>
    </row>
    <row r="123" spans="1:20" x14ac:dyDescent="0.35">
      <c r="A123" t="s">
        <v>627</v>
      </c>
      <c r="B123" t="s">
        <v>628</v>
      </c>
      <c r="C123" t="s">
        <v>37</v>
      </c>
      <c r="D123" t="s">
        <v>629</v>
      </c>
      <c r="F123">
        <v>0</v>
      </c>
      <c r="G123" t="s">
        <v>630</v>
      </c>
      <c r="H123">
        <v>0</v>
      </c>
      <c r="I123" t="s">
        <v>630</v>
      </c>
      <c r="J123">
        <v>0</v>
      </c>
      <c r="K123" t="s">
        <v>631</v>
      </c>
      <c r="L123" t="s">
        <v>231</v>
      </c>
      <c r="M123" t="s">
        <v>137</v>
      </c>
      <c r="N123">
        <v>0</v>
      </c>
      <c r="O123" t="s">
        <v>515</v>
      </c>
      <c r="P123">
        <v>0</v>
      </c>
      <c r="Q123" t="s">
        <v>230</v>
      </c>
      <c r="R123">
        <v>0</v>
      </c>
      <c r="S123" t="s">
        <v>230</v>
      </c>
      <c r="T123" t="s">
        <v>233</v>
      </c>
    </row>
    <row r="124" spans="1:20" x14ac:dyDescent="0.35">
      <c r="A124" t="s">
        <v>632</v>
      </c>
      <c r="B124" t="s">
        <v>633</v>
      </c>
      <c r="C124" t="s">
        <v>17</v>
      </c>
      <c r="D124" t="s">
        <v>563</v>
      </c>
      <c r="F124">
        <v>0</v>
      </c>
      <c r="G124" t="s">
        <v>634</v>
      </c>
      <c r="H124">
        <v>0</v>
      </c>
      <c r="I124" t="s">
        <v>240</v>
      </c>
      <c r="J124">
        <v>0</v>
      </c>
      <c r="K124" t="s">
        <v>230</v>
      </c>
      <c r="L124">
        <v>0</v>
      </c>
      <c r="M124" t="s">
        <v>230</v>
      </c>
      <c r="N124">
        <v>0</v>
      </c>
      <c r="O124" t="s">
        <v>635</v>
      </c>
      <c r="P124">
        <v>0</v>
      </c>
      <c r="Q124" t="s">
        <v>606</v>
      </c>
      <c r="R124">
        <v>0</v>
      </c>
      <c r="S124" t="s">
        <v>636</v>
      </c>
      <c r="T124" t="s">
        <v>241</v>
      </c>
    </row>
    <row r="125" spans="1:20" x14ac:dyDescent="0.35">
      <c r="A125" t="s">
        <v>637</v>
      </c>
      <c r="B125" t="s">
        <v>638</v>
      </c>
      <c r="C125" t="s">
        <v>267</v>
      </c>
      <c r="D125" t="s">
        <v>639</v>
      </c>
      <c r="F125">
        <v>0</v>
      </c>
      <c r="G125" t="s">
        <v>230</v>
      </c>
      <c r="H125">
        <v>0</v>
      </c>
      <c r="I125" t="s">
        <v>230</v>
      </c>
      <c r="J125">
        <v>0</v>
      </c>
      <c r="K125" t="s">
        <v>230</v>
      </c>
      <c r="L125">
        <v>0</v>
      </c>
      <c r="M125" t="s">
        <v>230</v>
      </c>
      <c r="N125">
        <v>0</v>
      </c>
      <c r="O125" t="s">
        <v>181</v>
      </c>
      <c r="P125">
        <v>0</v>
      </c>
      <c r="Q125" t="s">
        <v>181</v>
      </c>
      <c r="R125">
        <v>0</v>
      </c>
      <c r="S125" t="s">
        <v>181</v>
      </c>
      <c r="T125" t="s">
        <v>204</v>
      </c>
    </row>
    <row r="126" spans="1:20" x14ac:dyDescent="0.35">
      <c r="A126" t="s">
        <v>640</v>
      </c>
      <c r="B126" t="s">
        <v>641</v>
      </c>
      <c r="C126" t="s">
        <v>16</v>
      </c>
      <c r="D126" t="s">
        <v>494</v>
      </c>
      <c r="F126">
        <v>0</v>
      </c>
      <c r="G126" t="s">
        <v>642</v>
      </c>
      <c r="H126" t="s">
        <v>245</v>
      </c>
      <c r="I126" t="s">
        <v>245</v>
      </c>
      <c r="J126">
        <v>0</v>
      </c>
      <c r="K126" t="s">
        <v>230</v>
      </c>
      <c r="L126">
        <v>0</v>
      </c>
      <c r="M126" t="s">
        <v>230</v>
      </c>
      <c r="N126">
        <v>0</v>
      </c>
      <c r="O126" t="s">
        <v>240</v>
      </c>
      <c r="P126">
        <v>0</v>
      </c>
      <c r="Q126" t="s">
        <v>643</v>
      </c>
      <c r="R126">
        <v>0</v>
      </c>
      <c r="S126" t="s">
        <v>642</v>
      </c>
      <c r="T126" t="s">
        <v>241</v>
      </c>
    </row>
    <row r="127" spans="1:20" x14ac:dyDescent="0.35">
      <c r="A127" t="s">
        <v>644</v>
      </c>
      <c r="B127" t="s">
        <v>645</v>
      </c>
      <c r="C127" t="s">
        <v>583</v>
      </c>
      <c r="D127" t="s">
        <v>646</v>
      </c>
      <c r="F127">
        <v>0</v>
      </c>
      <c r="G127" t="s">
        <v>230</v>
      </c>
      <c r="H127">
        <v>0</v>
      </c>
      <c r="I127" t="s">
        <v>230</v>
      </c>
      <c r="J127">
        <v>0</v>
      </c>
      <c r="K127" t="s">
        <v>155</v>
      </c>
      <c r="L127" t="s">
        <v>245</v>
      </c>
      <c r="M127" t="s">
        <v>245</v>
      </c>
      <c r="N127">
        <v>0</v>
      </c>
      <c r="O127" t="s">
        <v>647</v>
      </c>
      <c r="P127">
        <v>0</v>
      </c>
      <c r="Q127" t="s">
        <v>570</v>
      </c>
      <c r="R127">
        <v>0</v>
      </c>
      <c r="S127" t="s">
        <v>394</v>
      </c>
      <c r="T127" t="s">
        <v>233</v>
      </c>
    </row>
    <row r="128" spans="1:20" x14ac:dyDescent="0.35">
      <c r="A128" t="s">
        <v>648</v>
      </c>
      <c r="B128" t="s">
        <v>649</v>
      </c>
      <c r="C128" t="s">
        <v>57</v>
      </c>
      <c r="D128" t="s">
        <v>650</v>
      </c>
      <c r="F128">
        <v>0</v>
      </c>
      <c r="G128" t="s">
        <v>651</v>
      </c>
      <c r="H128">
        <v>0</v>
      </c>
      <c r="I128" t="s">
        <v>651</v>
      </c>
      <c r="J128">
        <v>0</v>
      </c>
      <c r="K128" t="s">
        <v>651</v>
      </c>
      <c r="L128">
        <v>0</v>
      </c>
      <c r="M128" t="s">
        <v>651</v>
      </c>
      <c r="N128">
        <v>0</v>
      </c>
      <c r="O128" t="s">
        <v>230</v>
      </c>
      <c r="P128">
        <v>0</v>
      </c>
      <c r="Q128" t="s">
        <v>230</v>
      </c>
      <c r="R128">
        <v>0</v>
      </c>
      <c r="S128" t="s">
        <v>651</v>
      </c>
      <c r="T128" t="s">
        <v>208</v>
      </c>
    </row>
    <row r="129" spans="1:20" x14ac:dyDescent="0.35">
      <c r="A129" t="s">
        <v>652</v>
      </c>
      <c r="B129" t="s">
        <v>653</v>
      </c>
      <c r="C129" t="s">
        <v>56</v>
      </c>
      <c r="D129" t="s">
        <v>654</v>
      </c>
      <c r="F129">
        <v>0</v>
      </c>
      <c r="G129" t="s">
        <v>655</v>
      </c>
      <c r="H129">
        <v>0</v>
      </c>
      <c r="I129" t="s">
        <v>655</v>
      </c>
      <c r="J129">
        <v>0</v>
      </c>
      <c r="K129" t="s">
        <v>230</v>
      </c>
      <c r="L129">
        <v>0</v>
      </c>
      <c r="M129" t="s">
        <v>230</v>
      </c>
      <c r="N129">
        <v>0</v>
      </c>
      <c r="O129" t="s">
        <v>655</v>
      </c>
      <c r="P129">
        <v>0</v>
      </c>
      <c r="Q129" t="s">
        <v>655</v>
      </c>
      <c r="R129">
        <v>0</v>
      </c>
      <c r="S129" t="s">
        <v>655</v>
      </c>
      <c r="T129" t="s">
        <v>208</v>
      </c>
    </row>
    <row r="130" spans="1:20" x14ac:dyDescent="0.35">
      <c r="A130" t="s">
        <v>656</v>
      </c>
      <c r="B130" t="s">
        <v>657</v>
      </c>
      <c r="C130" t="s">
        <v>19</v>
      </c>
      <c r="D130" t="s">
        <v>97</v>
      </c>
      <c r="F130">
        <v>0</v>
      </c>
      <c r="G130" t="s">
        <v>230</v>
      </c>
      <c r="H130">
        <v>0</v>
      </c>
      <c r="I130" t="s">
        <v>230</v>
      </c>
      <c r="J130">
        <v>0</v>
      </c>
      <c r="K130" t="s">
        <v>97</v>
      </c>
      <c r="L130">
        <v>0</v>
      </c>
      <c r="M130" t="s">
        <v>97</v>
      </c>
      <c r="N130">
        <v>0</v>
      </c>
      <c r="O130" t="s">
        <v>97</v>
      </c>
      <c r="P130">
        <v>0</v>
      </c>
      <c r="Q130" t="s">
        <v>97</v>
      </c>
      <c r="R130">
        <v>0</v>
      </c>
      <c r="S130" t="s">
        <v>97</v>
      </c>
      <c r="T130" t="s">
        <v>259</v>
      </c>
    </row>
    <row r="131" spans="1:20" x14ac:dyDescent="0.35">
      <c r="A131" t="s">
        <v>658</v>
      </c>
      <c r="B131" t="s">
        <v>659</v>
      </c>
      <c r="C131" t="s">
        <v>19</v>
      </c>
      <c r="D131" t="s">
        <v>660</v>
      </c>
      <c r="F131">
        <v>0</v>
      </c>
      <c r="G131" t="s">
        <v>97</v>
      </c>
      <c r="H131">
        <v>0</v>
      </c>
      <c r="I131" t="s">
        <v>97</v>
      </c>
      <c r="J131">
        <v>0</v>
      </c>
      <c r="K131" t="s">
        <v>132</v>
      </c>
      <c r="L131">
        <v>0</v>
      </c>
      <c r="M131" t="s">
        <v>132</v>
      </c>
      <c r="N131">
        <v>0</v>
      </c>
      <c r="O131" t="s">
        <v>157</v>
      </c>
      <c r="P131">
        <v>0</v>
      </c>
      <c r="Q131" t="s">
        <v>230</v>
      </c>
      <c r="R131">
        <v>0</v>
      </c>
      <c r="S131" t="s">
        <v>230</v>
      </c>
      <c r="T131" t="s">
        <v>259</v>
      </c>
    </row>
    <row r="132" spans="1:20" x14ac:dyDescent="0.35">
      <c r="A132" t="s">
        <v>661</v>
      </c>
      <c r="B132" t="s">
        <v>662</v>
      </c>
      <c r="C132" t="s">
        <v>214</v>
      </c>
      <c r="D132" t="s">
        <v>214</v>
      </c>
      <c r="F132" t="s">
        <v>663</v>
      </c>
      <c r="G132" t="s">
        <v>663</v>
      </c>
      <c r="H132" t="s">
        <v>663</v>
      </c>
      <c r="I132" t="s">
        <v>663</v>
      </c>
      <c r="J132" t="s">
        <v>663</v>
      </c>
      <c r="K132" t="s">
        <v>663</v>
      </c>
      <c r="L132" t="s">
        <v>663</v>
      </c>
      <c r="M132" t="s">
        <v>663</v>
      </c>
      <c r="N132" t="s">
        <v>663</v>
      </c>
      <c r="O132" t="s">
        <v>663</v>
      </c>
      <c r="P132" t="s">
        <v>663</v>
      </c>
      <c r="Q132" t="s">
        <v>663</v>
      </c>
      <c r="R132" t="s">
        <v>663</v>
      </c>
      <c r="S132" t="s">
        <v>663</v>
      </c>
      <c r="T132" t="s">
        <v>214</v>
      </c>
    </row>
    <row r="133" spans="1:20" x14ac:dyDescent="0.35">
      <c r="A133" t="s">
        <v>664</v>
      </c>
      <c r="B133" t="s">
        <v>665</v>
      </c>
      <c r="C133" t="s">
        <v>666</v>
      </c>
      <c r="D133" t="s">
        <v>667</v>
      </c>
      <c r="F133" t="s">
        <v>216</v>
      </c>
      <c r="G133" t="s">
        <v>216</v>
      </c>
      <c r="H133">
        <v>0</v>
      </c>
      <c r="I133" t="s">
        <v>230</v>
      </c>
      <c r="J133">
        <v>0</v>
      </c>
      <c r="K133" t="s">
        <v>230</v>
      </c>
      <c r="L133">
        <v>0</v>
      </c>
      <c r="M133" t="s">
        <v>445</v>
      </c>
      <c r="N133">
        <v>0</v>
      </c>
      <c r="O133" t="s">
        <v>668</v>
      </c>
      <c r="P133">
        <v>0</v>
      </c>
      <c r="Q133" t="s">
        <v>620</v>
      </c>
      <c r="R133">
        <v>0</v>
      </c>
      <c r="S133" t="s">
        <v>328</v>
      </c>
      <c r="T133" t="s">
        <v>233</v>
      </c>
    </row>
    <row r="134" spans="1:20" x14ac:dyDescent="0.35">
      <c r="A134" t="s">
        <v>669</v>
      </c>
      <c r="B134" t="s">
        <v>670</v>
      </c>
      <c r="C134" t="s">
        <v>13</v>
      </c>
      <c r="D134" t="s">
        <v>671</v>
      </c>
      <c r="F134">
        <v>0</v>
      </c>
      <c r="G134" t="s">
        <v>154</v>
      </c>
      <c r="H134">
        <v>0</v>
      </c>
      <c r="I134" t="s">
        <v>154</v>
      </c>
      <c r="J134">
        <v>0</v>
      </c>
      <c r="K134" t="s">
        <v>230</v>
      </c>
      <c r="L134">
        <v>0</v>
      </c>
      <c r="M134" t="s">
        <v>230</v>
      </c>
      <c r="N134">
        <v>0</v>
      </c>
      <c r="O134" t="s">
        <v>153</v>
      </c>
      <c r="P134" t="s">
        <v>245</v>
      </c>
      <c r="Q134" t="s">
        <v>245</v>
      </c>
      <c r="R134" t="s">
        <v>246</v>
      </c>
      <c r="S134" t="s">
        <v>153</v>
      </c>
      <c r="T134" t="s">
        <v>206</v>
      </c>
    </row>
    <row r="135" spans="1:20" x14ac:dyDescent="0.35">
      <c r="A135" t="s">
        <v>672</v>
      </c>
      <c r="B135" t="s">
        <v>673</v>
      </c>
      <c r="C135" t="s">
        <v>31</v>
      </c>
      <c r="D135" t="s">
        <v>327</v>
      </c>
      <c r="F135">
        <v>0</v>
      </c>
      <c r="G135" t="s">
        <v>327</v>
      </c>
      <c r="H135" t="s">
        <v>245</v>
      </c>
      <c r="I135" t="s">
        <v>245</v>
      </c>
      <c r="J135">
        <v>0</v>
      </c>
      <c r="K135" t="s">
        <v>327</v>
      </c>
      <c r="L135">
        <v>0</v>
      </c>
      <c r="M135" t="s">
        <v>230</v>
      </c>
      <c r="N135">
        <v>0</v>
      </c>
      <c r="O135" t="s">
        <v>230</v>
      </c>
      <c r="P135">
        <v>0</v>
      </c>
      <c r="Q135" t="s">
        <v>327</v>
      </c>
      <c r="R135">
        <v>0</v>
      </c>
      <c r="S135" t="s">
        <v>327</v>
      </c>
      <c r="T135" t="s">
        <v>233</v>
      </c>
    </row>
    <row r="136" spans="1:20" x14ac:dyDescent="0.35">
      <c r="A136" t="s">
        <v>674</v>
      </c>
      <c r="B136" t="s">
        <v>675</v>
      </c>
      <c r="C136" t="s">
        <v>37</v>
      </c>
      <c r="D136" t="s">
        <v>239</v>
      </c>
      <c r="F136">
        <v>0</v>
      </c>
      <c r="G136" t="s">
        <v>239</v>
      </c>
      <c r="H136">
        <v>0</v>
      </c>
      <c r="I136" t="s">
        <v>230</v>
      </c>
      <c r="J136">
        <v>0</v>
      </c>
      <c r="K136" t="s">
        <v>230</v>
      </c>
      <c r="L136" t="s">
        <v>237</v>
      </c>
      <c r="M136" t="s">
        <v>237</v>
      </c>
      <c r="N136" t="s">
        <v>237</v>
      </c>
      <c r="O136" t="s">
        <v>237</v>
      </c>
      <c r="P136">
        <v>0</v>
      </c>
      <c r="Q136" t="s">
        <v>239</v>
      </c>
      <c r="R136">
        <v>0</v>
      </c>
      <c r="S136" t="s">
        <v>239</v>
      </c>
      <c r="T136" t="s">
        <v>233</v>
      </c>
    </row>
    <row r="137" spans="1:20" x14ac:dyDescent="0.35">
      <c r="A137" t="s">
        <v>676</v>
      </c>
      <c r="B137" t="s">
        <v>677</v>
      </c>
      <c r="C137" t="s">
        <v>462</v>
      </c>
      <c r="D137" t="s">
        <v>678</v>
      </c>
      <c r="F137" t="s">
        <v>221</v>
      </c>
      <c r="G137" t="s">
        <v>185</v>
      </c>
      <c r="H137">
        <v>0</v>
      </c>
      <c r="I137" t="s">
        <v>230</v>
      </c>
      <c r="J137">
        <v>0</v>
      </c>
      <c r="K137" t="s">
        <v>230</v>
      </c>
      <c r="L137">
        <v>0</v>
      </c>
      <c r="M137" t="s">
        <v>230</v>
      </c>
      <c r="N137">
        <v>0</v>
      </c>
      <c r="O137" t="s">
        <v>185</v>
      </c>
      <c r="P137">
        <v>0</v>
      </c>
      <c r="Q137" t="s">
        <v>185</v>
      </c>
      <c r="R137">
        <v>0</v>
      </c>
      <c r="S137" t="s">
        <v>185</v>
      </c>
      <c r="T137" t="s">
        <v>204</v>
      </c>
    </row>
    <row r="138" spans="1:20" x14ac:dyDescent="0.35">
      <c r="A138" t="s">
        <v>679</v>
      </c>
      <c r="B138" t="s">
        <v>680</v>
      </c>
      <c r="C138" t="s">
        <v>5</v>
      </c>
      <c r="D138" t="s">
        <v>681</v>
      </c>
      <c r="F138">
        <v>0</v>
      </c>
      <c r="G138" t="s">
        <v>71</v>
      </c>
      <c r="H138" t="s">
        <v>237</v>
      </c>
      <c r="I138" t="s">
        <v>237</v>
      </c>
      <c r="J138">
        <v>0</v>
      </c>
      <c r="K138" t="s">
        <v>119</v>
      </c>
      <c r="L138">
        <v>0</v>
      </c>
      <c r="M138" t="s">
        <v>119</v>
      </c>
      <c r="N138" t="s">
        <v>245</v>
      </c>
      <c r="O138" t="s">
        <v>245</v>
      </c>
      <c r="P138">
        <v>0</v>
      </c>
      <c r="Q138" t="s">
        <v>230</v>
      </c>
      <c r="R138">
        <v>0</v>
      </c>
      <c r="S138" t="s">
        <v>230</v>
      </c>
      <c r="T138" t="s">
        <v>259</v>
      </c>
    </row>
    <row r="139" spans="1:20" x14ac:dyDescent="0.35">
      <c r="A139" t="s">
        <v>682</v>
      </c>
      <c r="B139" t="s">
        <v>683</v>
      </c>
      <c r="C139" t="s">
        <v>19</v>
      </c>
      <c r="D139" t="s">
        <v>130</v>
      </c>
      <c r="F139">
        <v>0</v>
      </c>
      <c r="G139" t="s">
        <v>130</v>
      </c>
      <c r="H139">
        <v>0</v>
      </c>
      <c r="I139" t="s">
        <v>230</v>
      </c>
      <c r="J139">
        <v>0</v>
      </c>
      <c r="K139" t="s">
        <v>230</v>
      </c>
      <c r="L139">
        <v>0</v>
      </c>
      <c r="M139" t="s">
        <v>130</v>
      </c>
      <c r="N139">
        <v>0</v>
      </c>
      <c r="O139" t="s">
        <v>130</v>
      </c>
      <c r="P139">
        <v>0</v>
      </c>
      <c r="Q139" t="s">
        <v>130</v>
      </c>
      <c r="R139">
        <v>0</v>
      </c>
      <c r="S139" t="s">
        <v>130</v>
      </c>
      <c r="T139" t="s">
        <v>259</v>
      </c>
    </row>
    <row r="140" spans="1:20" x14ac:dyDescent="0.35">
      <c r="A140" t="s">
        <v>684</v>
      </c>
      <c r="B140" t="s">
        <v>685</v>
      </c>
      <c r="C140" t="s">
        <v>19</v>
      </c>
      <c r="D140" t="s">
        <v>133</v>
      </c>
      <c r="F140">
        <v>0</v>
      </c>
      <c r="G140" t="s">
        <v>133</v>
      </c>
      <c r="H140">
        <v>0</v>
      </c>
      <c r="I140" t="s">
        <v>133</v>
      </c>
      <c r="J140">
        <v>0</v>
      </c>
      <c r="K140" t="s">
        <v>133</v>
      </c>
      <c r="L140">
        <v>0</v>
      </c>
      <c r="M140" t="s">
        <v>230</v>
      </c>
      <c r="N140">
        <v>0</v>
      </c>
      <c r="O140" t="s">
        <v>230</v>
      </c>
      <c r="P140">
        <v>0</v>
      </c>
      <c r="Q140" t="s">
        <v>133</v>
      </c>
      <c r="R140" t="s">
        <v>237</v>
      </c>
      <c r="S140" t="s">
        <v>237</v>
      </c>
      <c r="T140" t="s">
        <v>259</v>
      </c>
    </row>
    <row r="141" spans="1:20" x14ac:dyDescent="0.35">
      <c r="A141" t="s">
        <v>686</v>
      </c>
      <c r="B141" t="s">
        <v>687</v>
      </c>
      <c r="C141" t="s">
        <v>5</v>
      </c>
      <c r="D141" t="s">
        <v>121</v>
      </c>
      <c r="F141">
        <v>0</v>
      </c>
      <c r="G141" t="s">
        <v>121</v>
      </c>
      <c r="H141">
        <v>0</v>
      </c>
      <c r="I141" t="s">
        <v>121</v>
      </c>
      <c r="J141">
        <v>0</v>
      </c>
      <c r="K141" t="s">
        <v>230</v>
      </c>
      <c r="L141">
        <v>0</v>
      </c>
      <c r="M141" t="s">
        <v>230</v>
      </c>
      <c r="N141">
        <v>0</v>
      </c>
      <c r="O141" t="s">
        <v>121</v>
      </c>
      <c r="P141">
        <v>0</v>
      </c>
      <c r="Q141" t="s">
        <v>121</v>
      </c>
      <c r="R141">
        <v>0</v>
      </c>
      <c r="S141" t="s">
        <v>121</v>
      </c>
      <c r="T141" t="s">
        <v>259</v>
      </c>
    </row>
    <row r="142" spans="1:20" x14ac:dyDescent="0.35">
      <c r="A142" t="s">
        <v>688</v>
      </c>
      <c r="B142" t="s">
        <v>689</v>
      </c>
      <c r="C142" t="s">
        <v>26</v>
      </c>
      <c r="D142" t="s">
        <v>115</v>
      </c>
      <c r="F142">
        <v>0</v>
      </c>
      <c r="G142" t="s">
        <v>230</v>
      </c>
      <c r="H142">
        <v>0</v>
      </c>
      <c r="I142" t="s">
        <v>230</v>
      </c>
      <c r="J142">
        <v>0</v>
      </c>
      <c r="K142" t="s">
        <v>115</v>
      </c>
      <c r="L142">
        <v>0</v>
      </c>
      <c r="M142" t="s">
        <v>115</v>
      </c>
      <c r="N142" t="s">
        <v>245</v>
      </c>
      <c r="O142" t="s">
        <v>245</v>
      </c>
      <c r="P142">
        <v>0</v>
      </c>
      <c r="Q142" t="s">
        <v>115</v>
      </c>
      <c r="R142">
        <v>0</v>
      </c>
      <c r="S142" t="s">
        <v>115</v>
      </c>
      <c r="T142" t="s">
        <v>259</v>
      </c>
    </row>
    <row r="143" spans="1:20" x14ac:dyDescent="0.35">
      <c r="A143" t="s">
        <v>690</v>
      </c>
      <c r="B143" t="s">
        <v>691</v>
      </c>
      <c r="C143" t="s">
        <v>60</v>
      </c>
      <c r="D143" t="s">
        <v>692</v>
      </c>
      <c r="F143">
        <v>0</v>
      </c>
      <c r="G143" t="s">
        <v>693</v>
      </c>
      <c r="H143">
        <v>0</v>
      </c>
      <c r="I143" t="s">
        <v>230</v>
      </c>
      <c r="J143">
        <v>0</v>
      </c>
      <c r="K143" t="s">
        <v>230</v>
      </c>
      <c r="L143">
        <v>0</v>
      </c>
      <c r="M143" t="s">
        <v>694</v>
      </c>
      <c r="N143">
        <v>0</v>
      </c>
      <c r="O143" t="s">
        <v>695</v>
      </c>
      <c r="P143">
        <v>0</v>
      </c>
      <c r="Q143" t="s">
        <v>695</v>
      </c>
      <c r="R143">
        <v>0</v>
      </c>
      <c r="S143" t="s">
        <v>695</v>
      </c>
      <c r="T143" t="s">
        <v>365</v>
      </c>
    </row>
    <row r="144" spans="1:20" x14ac:dyDescent="0.35">
      <c r="A144" t="s">
        <v>696</v>
      </c>
      <c r="B144" t="s">
        <v>697</v>
      </c>
      <c r="C144" t="s">
        <v>26</v>
      </c>
      <c r="D144" t="s">
        <v>136</v>
      </c>
      <c r="F144">
        <v>0</v>
      </c>
      <c r="G144" t="s">
        <v>136</v>
      </c>
      <c r="H144">
        <v>0</v>
      </c>
      <c r="I144" t="s">
        <v>230</v>
      </c>
      <c r="J144">
        <v>0</v>
      </c>
      <c r="K144" t="s">
        <v>230</v>
      </c>
      <c r="L144">
        <v>0</v>
      </c>
      <c r="M144" t="s">
        <v>136</v>
      </c>
      <c r="N144">
        <v>0</v>
      </c>
      <c r="O144" t="s">
        <v>136</v>
      </c>
      <c r="P144">
        <v>0</v>
      </c>
      <c r="Q144" t="s">
        <v>136</v>
      </c>
      <c r="R144">
        <v>0</v>
      </c>
      <c r="S144" t="s">
        <v>136</v>
      </c>
      <c r="T144" t="s">
        <v>259</v>
      </c>
    </row>
    <row r="145" spans="1:20" x14ac:dyDescent="0.35">
      <c r="A145" t="s">
        <v>698</v>
      </c>
      <c r="B145" t="s">
        <v>699</v>
      </c>
      <c r="C145" t="s">
        <v>262</v>
      </c>
      <c r="D145" t="s">
        <v>700</v>
      </c>
      <c r="F145">
        <v>0</v>
      </c>
      <c r="G145" t="s">
        <v>230</v>
      </c>
      <c r="H145">
        <v>0</v>
      </c>
      <c r="I145" t="s">
        <v>230</v>
      </c>
      <c r="J145">
        <v>0</v>
      </c>
      <c r="K145" t="s">
        <v>230</v>
      </c>
      <c r="L145">
        <v>0</v>
      </c>
      <c r="M145" t="s">
        <v>230</v>
      </c>
      <c r="N145" t="s">
        <v>237</v>
      </c>
      <c r="O145" t="s">
        <v>237</v>
      </c>
      <c r="P145">
        <v>0</v>
      </c>
      <c r="Q145" t="s">
        <v>171</v>
      </c>
      <c r="R145">
        <v>0</v>
      </c>
      <c r="S145" t="s">
        <v>171</v>
      </c>
      <c r="T145" t="s">
        <v>204</v>
      </c>
    </row>
    <row r="146" spans="1:20" x14ac:dyDescent="0.35">
      <c r="A146" t="s">
        <v>701</v>
      </c>
      <c r="B146" t="s">
        <v>702</v>
      </c>
      <c r="C146" t="s">
        <v>26</v>
      </c>
      <c r="D146" t="s">
        <v>103</v>
      </c>
      <c r="F146">
        <v>0</v>
      </c>
      <c r="G146" t="s">
        <v>103</v>
      </c>
      <c r="H146">
        <v>0</v>
      </c>
      <c r="I146" t="s">
        <v>230</v>
      </c>
      <c r="J146">
        <v>0</v>
      </c>
      <c r="K146" t="s">
        <v>230</v>
      </c>
      <c r="L146">
        <v>0</v>
      </c>
      <c r="M146" t="s">
        <v>103</v>
      </c>
      <c r="N146">
        <v>0</v>
      </c>
      <c r="O146" t="s">
        <v>103</v>
      </c>
      <c r="P146">
        <v>0</v>
      </c>
      <c r="Q146" t="s">
        <v>103</v>
      </c>
      <c r="R146">
        <v>0</v>
      </c>
      <c r="S146" t="s">
        <v>103</v>
      </c>
      <c r="T146" t="s">
        <v>259</v>
      </c>
    </row>
    <row r="147" spans="1:20" x14ac:dyDescent="0.35">
      <c r="A147" t="s">
        <v>703</v>
      </c>
      <c r="B147" t="s">
        <v>704</v>
      </c>
      <c r="C147" t="s">
        <v>5</v>
      </c>
      <c r="D147" t="s">
        <v>705</v>
      </c>
      <c r="E147" t="s">
        <v>145</v>
      </c>
      <c r="F147" t="s">
        <v>706</v>
      </c>
      <c r="G147" t="s">
        <v>706</v>
      </c>
      <c r="H147" t="s">
        <v>221</v>
      </c>
      <c r="I147" t="s">
        <v>175</v>
      </c>
      <c r="J147" t="s">
        <v>297</v>
      </c>
      <c r="K147" t="s">
        <v>145</v>
      </c>
      <c r="L147" t="s">
        <v>297</v>
      </c>
      <c r="M147" t="s">
        <v>230</v>
      </c>
      <c r="N147" t="s">
        <v>297</v>
      </c>
      <c r="O147" t="s">
        <v>230</v>
      </c>
      <c r="P147" t="s">
        <v>297</v>
      </c>
      <c r="Q147" t="s">
        <v>145</v>
      </c>
      <c r="R147" t="s">
        <v>297</v>
      </c>
      <c r="S147" t="s">
        <v>145</v>
      </c>
      <c r="T147" t="s">
        <v>259</v>
      </c>
    </row>
    <row r="148" spans="1:20" x14ac:dyDescent="0.35">
      <c r="A148" t="s">
        <v>707</v>
      </c>
      <c r="B148" t="s">
        <v>708</v>
      </c>
      <c r="C148" t="s">
        <v>44</v>
      </c>
      <c r="D148" t="s">
        <v>709</v>
      </c>
      <c r="F148">
        <v>0</v>
      </c>
      <c r="G148" t="s">
        <v>230</v>
      </c>
      <c r="H148">
        <v>0</v>
      </c>
      <c r="I148" t="s">
        <v>230</v>
      </c>
      <c r="J148">
        <v>0</v>
      </c>
      <c r="K148" t="s">
        <v>709</v>
      </c>
      <c r="L148">
        <v>0</v>
      </c>
      <c r="M148" t="s">
        <v>709</v>
      </c>
      <c r="N148">
        <v>0</v>
      </c>
      <c r="O148" t="s">
        <v>709</v>
      </c>
      <c r="P148">
        <v>0</v>
      </c>
      <c r="Q148" t="s">
        <v>709</v>
      </c>
      <c r="R148">
        <v>0</v>
      </c>
      <c r="S148" t="s">
        <v>709</v>
      </c>
      <c r="T148" t="s">
        <v>233</v>
      </c>
    </row>
    <row r="149" spans="1:20" x14ac:dyDescent="0.35">
      <c r="A149" t="s">
        <v>710</v>
      </c>
      <c r="B149" t="s">
        <v>711</v>
      </c>
      <c r="C149" t="s">
        <v>44</v>
      </c>
      <c r="D149" t="s">
        <v>712</v>
      </c>
      <c r="F149" t="s">
        <v>216</v>
      </c>
      <c r="G149" t="s">
        <v>216</v>
      </c>
      <c r="H149">
        <v>0</v>
      </c>
      <c r="I149" t="s">
        <v>358</v>
      </c>
      <c r="J149">
        <v>0</v>
      </c>
      <c r="K149" t="s">
        <v>713</v>
      </c>
      <c r="L149">
        <v>0</v>
      </c>
      <c r="M149" t="s">
        <v>713</v>
      </c>
      <c r="N149">
        <v>0</v>
      </c>
      <c r="O149" t="s">
        <v>496</v>
      </c>
      <c r="P149">
        <v>0</v>
      </c>
      <c r="Q149" t="s">
        <v>230</v>
      </c>
      <c r="R149">
        <v>0</v>
      </c>
      <c r="S149" t="s">
        <v>230</v>
      </c>
      <c r="T149" t="s">
        <v>233</v>
      </c>
    </row>
    <row r="150" spans="1:20" x14ac:dyDescent="0.35">
      <c r="A150" t="s">
        <v>714</v>
      </c>
      <c r="B150" t="s">
        <v>715</v>
      </c>
      <c r="C150" t="s">
        <v>44</v>
      </c>
      <c r="D150" t="s">
        <v>716</v>
      </c>
      <c r="F150">
        <v>0</v>
      </c>
      <c r="G150" t="s">
        <v>716</v>
      </c>
      <c r="H150">
        <v>0</v>
      </c>
      <c r="I150" t="s">
        <v>716</v>
      </c>
      <c r="J150">
        <v>0</v>
      </c>
      <c r="K150" t="s">
        <v>716</v>
      </c>
      <c r="L150">
        <v>0</v>
      </c>
      <c r="M150" t="s">
        <v>230</v>
      </c>
      <c r="N150">
        <v>0</v>
      </c>
      <c r="O150" t="s">
        <v>230</v>
      </c>
      <c r="P150">
        <v>0</v>
      </c>
      <c r="Q150" t="s">
        <v>716</v>
      </c>
      <c r="R150">
        <v>0</v>
      </c>
      <c r="S150" t="s">
        <v>716</v>
      </c>
      <c r="T150" t="s">
        <v>233</v>
      </c>
    </row>
    <row r="151" spans="1:20" x14ac:dyDescent="0.35">
      <c r="A151" t="s">
        <v>717</v>
      </c>
      <c r="B151" t="s">
        <v>718</v>
      </c>
      <c r="C151" t="s">
        <v>26</v>
      </c>
      <c r="D151" t="s">
        <v>109</v>
      </c>
      <c r="F151">
        <v>0</v>
      </c>
      <c r="G151" t="s">
        <v>230</v>
      </c>
      <c r="H151" t="s">
        <v>556</v>
      </c>
      <c r="I151" t="s">
        <v>556</v>
      </c>
      <c r="J151" t="s">
        <v>245</v>
      </c>
      <c r="K151" t="s">
        <v>245</v>
      </c>
      <c r="L151">
        <v>0</v>
      </c>
      <c r="M151" t="s">
        <v>109</v>
      </c>
      <c r="N151">
        <v>0</v>
      </c>
      <c r="O151" t="s">
        <v>109</v>
      </c>
      <c r="P151">
        <v>0</v>
      </c>
      <c r="Q151" t="s">
        <v>109</v>
      </c>
      <c r="R151">
        <v>0</v>
      </c>
      <c r="S151" t="s">
        <v>230</v>
      </c>
      <c r="T151" t="s">
        <v>259</v>
      </c>
    </row>
    <row r="152" spans="1:20" x14ac:dyDescent="0.35">
      <c r="A152" t="s">
        <v>719</v>
      </c>
      <c r="B152" t="s">
        <v>720</v>
      </c>
      <c r="C152" t="s">
        <v>44</v>
      </c>
      <c r="D152" t="s">
        <v>713</v>
      </c>
      <c r="F152">
        <v>0</v>
      </c>
      <c r="G152" t="s">
        <v>713</v>
      </c>
      <c r="H152">
        <v>0</v>
      </c>
      <c r="I152" t="s">
        <v>713</v>
      </c>
      <c r="J152">
        <v>0</v>
      </c>
      <c r="K152" t="s">
        <v>230</v>
      </c>
      <c r="L152">
        <v>0</v>
      </c>
      <c r="M152" t="s">
        <v>230</v>
      </c>
      <c r="N152">
        <v>0</v>
      </c>
      <c r="O152" t="s">
        <v>713</v>
      </c>
      <c r="P152">
        <v>0</v>
      </c>
      <c r="Q152" t="s">
        <v>713</v>
      </c>
      <c r="R152">
        <v>0</v>
      </c>
      <c r="S152" t="s">
        <v>713</v>
      </c>
      <c r="T152" t="s">
        <v>233</v>
      </c>
    </row>
    <row r="153" spans="1:20" x14ac:dyDescent="0.35">
      <c r="A153" t="s">
        <v>721</v>
      </c>
      <c r="B153" t="s">
        <v>722</v>
      </c>
      <c r="C153" t="s">
        <v>44</v>
      </c>
      <c r="D153" t="s">
        <v>495</v>
      </c>
      <c r="F153" t="s">
        <v>231</v>
      </c>
      <c r="G153" t="s">
        <v>147</v>
      </c>
      <c r="H153">
        <v>0</v>
      </c>
      <c r="I153" t="s">
        <v>495</v>
      </c>
      <c r="J153">
        <v>0</v>
      </c>
      <c r="K153" t="s">
        <v>230</v>
      </c>
      <c r="L153">
        <v>0</v>
      </c>
      <c r="M153" t="s">
        <v>230</v>
      </c>
      <c r="N153">
        <v>0</v>
      </c>
      <c r="O153" t="s">
        <v>495</v>
      </c>
      <c r="P153" t="s">
        <v>245</v>
      </c>
      <c r="Q153" t="s">
        <v>245</v>
      </c>
      <c r="R153">
        <v>0</v>
      </c>
      <c r="S153" t="s">
        <v>495</v>
      </c>
      <c r="T153" t="s">
        <v>233</v>
      </c>
    </row>
    <row r="154" spans="1:20" x14ac:dyDescent="0.35">
      <c r="A154" t="s">
        <v>723</v>
      </c>
      <c r="B154" t="s">
        <v>724</v>
      </c>
      <c r="C154" t="s">
        <v>44</v>
      </c>
      <c r="D154" t="s">
        <v>725</v>
      </c>
      <c r="F154">
        <v>0</v>
      </c>
      <c r="G154" t="s">
        <v>426</v>
      </c>
      <c r="H154">
        <v>0</v>
      </c>
      <c r="I154" t="s">
        <v>426</v>
      </c>
      <c r="J154">
        <v>0</v>
      </c>
      <c r="K154" t="s">
        <v>385</v>
      </c>
      <c r="L154">
        <v>0</v>
      </c>
      <c r="M154" t="s">
        <v>385</v>
      </c>
      <c r="N154">
        <v>0</v>
      </c>
      <c r="O154" t="s">
        <v>282</v>
      </c>
      <c r="P154">
        <v>0</v>
      </c>
      <c r="Q154" t="s">
        <v>230</v>
      </c>
      <c r="R154">
        <v>0</v>
      </c>
      <c r="S154" t="s">
        <v>230</v>
      </c>
      <c r="T154" t="s">
        <v>233</v>
      </c>
    </row>
    <row r="155" spans="1:20" x14ac:dyDescent="0.35">
      <c r="A155" t="s">
        <v>726</v>
      </c>
      <c r="B155" t="s">
        <v>727</v>
      </c>
      <c r="C155" t="s">
        <v>44</v>
      </c>
      <c r="D155" t="s">
        <v>728</v>
      </c>
      <c r="F155">
        <v>0</v>
      </c>
      <c r="G155" t="s">
        <v>359</v>
      </c>
      <c r="H155" t="s">
        <v>231</v>
      </c>
      <c r="I155" t="s">
        <v>327</v>
      </c>
      <c r="J155">
        <v>0</v>
      </c>
      <c r="K155" t="s">
        <v>729</v>
      </c>
      <c r="L155">
        <v>0</v>
      </c>
      <c r="M155" t="s">
        <v>360</v>
      </c>
      <c r="N155">
        <v>0</v>
      </c>
      <c r="O155" t="s">
        <v>230</v>
      </c>
      <c r="P155">
        <v>0</v>
      </c>
      <c r="Q155" t="s">
        <v>230</v>
      </c>
      <c r="R155" t="s">
        <v>556</v>
      </c>
      <c r="S155" t="s">
        <v>556</v>
      </c>
      <c r="T155" t="s">
        <v>233</v>
      </c>
    </row>
    <row r="156" spans="1:20" x14ac:dyDescent="0.35">
      <c r="A156" t="s">
        <v>730</v>
      </c>
      <c r="B156" t="s">
        <v>731</v>
      </c>
      <c r="C156" t="s">
        <v>37</v>
      </c>
      <c r="D156" t="s">
        <v>732</v>
      </c>
      <c r="F156" t="s">
        <v>216</v>
      </c>
      <c r="G156" t="s">
        <v>216</v>
      </c>
      <c r="H156">
        <v>0</v>
      </c>
      <c r="I156" t="s">
        <v>580</v>
      </c>
      <c r="J156">
        <v>0</v>
      </c>
      <c r="K156" t="s">
        <v>580</v>
      </c>
      <c r="L156">
        <v>0</v>
      </c>
      <c r="M156" t="s">
        <v>524</v>
      </c>
      <c r="N156">
        <v>0</v>
      </c>
      <c r="O156" t="s">
        <v>230</v>
      </c>
      <c r="P156">
        <v>0</v>
      </c>
      <c r="Q156" t="s">
        <v>230</v>
      </c>
      <c r="R156">
        <v>0</v>
      </c>
      <c r="S156" t="s">
        <v>733</v>
      </c>
      <c r="T156" t="s">
        <v>233</v>
      </c>
    </row>
    <row r="157" spans="1:20" x14ac:dyDescent="0.35">
      <c r="A157" t="s">
        <v>734</v>
      </c>
      <c r="B157" t="s">
        <v>735</v>
      </c>
      <c r="C157" t="s">
        <v>56</v>
      </c>
      <c r="D157" t="s">
        <v>654</v>
      </c>
      <c r="F157">
        <v>0</v>
      </c>
      <c r="G157" t="s">
        <v>736</v>
      </c>
      <c r="H157">
        <v>0</v>
      </c>
      <c r="I157" t="s">
        <v>230</v>
      </c>
      <c r="J157">
        <v>0</v>
      </c>
      <c r="K157" t="s">
        <v>736</v>
      </c>
      <c r="L157">
        <v>0</v>
      </c>
      <c r="M157" t="s">
        <v>736</v>
      </c>
      <c r="N157">
        <v>0</v>
      </c>
      <c r="O157" t="s">
        <v>736</v>
      </c>
      <c r="P157">
        <v>0</v>
      </c>
      <c r="Q157" t="s">
        <v>230</v>
      </c>
      <c r="R157">
        <v>0</v>
      </c>
      <c r="S157" t="s">
        <v>736</v>
      </c>
      <c r="T157" t="s">
        <v>208</v>
      </c>
    </row>
    <row r="158" spans="1:20" x14ac:dyDescent="0.35">
      <c r="A158" t="s">
        <v>737</v>
      </c>
      <c r="B158" t="s">
        <v>738</v>
      </c>
      <c r="C158" t="s">
        <v>5</v>
      </c>
      <c r="D158" t="s">
        <v>81</v>
      </c>
      <c r="F158">
        <v>0</v>
      </c>
      <c r="G158" t="s">
        <v>230</v>
      </c>
      <c r="H158">
        <v>0</v>
      </c>
      <c r="I158" t="s">
        <v>81</v>
      </c>
      <c r="J158">
        <v>0</v>
      </c>
      <c r="K158" t="s">
        <v>81</v>
      </c>
      <c r="L158">
        <v>0</v>
      </c>
      <c r="M158" t="s">
        <v>81</v>
      </c>
      <c r="N158">
        <v>0</v>
      </c>
      <c r="O158" t="s">
        <v>81</v>
      </c>
      <c r="P158">
        <v>0</v>
      </c>
      <c r="Q158" t="s">
        <v>81</v>
      </c>
      <c r="R158">
        <v>0</v>
      </c>
      <c r="S158" t="s">
        <v>230</v>
      </c>
      <c r="T158" t="s">
        <v>259</v>
      </c>
    </row>
    <row r="159" spans="1:20" x14ac:dyDescent="0.35">
      <c r="A159" t="s">
        <v>739</v>
      </c>
      <c r="B159" t="s">
        <v>740</v>
      </c>
      <c r="C159" t="s">
        <v>5</v>
      </c>
      <c r="D159" t="s">
        <v>741</v>
      </c>
      <c r="F159" t="s">
        <v>231</v>
      </c>
      <c r="G159" t="s">
        <v>115</v>
      </c>
      <c r="H159">
        <v>0</v>
      </c>
      <c r="I159" t="s">
        <v>124</v>
      </c>
      <c r="J159">
        <v>0</v>
      </c>
      <c r="K159" t="s">
        <v>124</v>
      </c>
      <c r="L159">
        <v>0</v>
      </c>
      <c r="M159" t="s">
        <v>149</v>
      </c>
      <c r="N159">
        <v>0</v>
      </c>
      <c r="O159" t="s">
        <v>230</v>
      </c>
      <c r="P159">
        <v>0</v>
      </c>
      <c r="Q159" t="s">
        <v>230</v>
      </c>
      <c r="R159">
        <v>0</v>
      </c>
      <c r="S159" t="s">
        <v>81</v>
      </c>
      <c r="T159" t="s">
        <v>259</v>
      </c>
    </row>
    <row r="160" spans="1:20" x14ac:dyDescent="0.35">
      <c r="A160" t="s">
        <v>742</v>
      </c>
      <c r="B160" t="s">
        <v>743</v>
      </c>
      <c r="C160" t="s">
        <v>37</v>
      </c>
      <c r="D160" t="s">
        <v>744</v>
      </c>
      <c r="F160">
        <v>0</v>
      </c>
      <c r="G160" t="s">
        <v>745</v>
      </c>
      <c r="H160">
        <v>0</v>
      </c>
      <c r="I160" t="s">
        <v>271</v>
      </c>
      <c r="J160">
        <v>0</v>
      </c>
      <c r="K160" t="s">
        <v>271</v>
      </c>
      <c r="L160">
        <v>0</v>
      </c>
      <c r="M160" t="s">
        <v>337</v>
      </c>
      <c r="N160">
        <v>0</v>
      </c>
      <c r="O160" t="s">
        <v>230</v>
      </c>
      <c r="P160">
        <v>0</v>
      </c>
      <c r="Q160" t="s">
        <v>230</v>
      </c>
      <c r="R160">
        <v>0</v>
      </c>
      <c r="S160" t="s">
        <v>745</v>
      </c>
      <c r="T160" t="s">
        <v>233</v>
      </c>
    </row>
    <row r="161" spans="1:20" x14ac:dyDescent="0.35">
      <c r="A161" t="s">
        <v>746</v>
      </c>
      <c r="B161" t="s">
        <v>747</v>
      </c>
      <c r="C161" t="s">
        <v>31</v>
      </c>
      <c r="D161" t="s">
        <v>634</v>
      </c>
      <c r="F161">
        <v>0</v>
      </c>
      <c r="G161" t="s">
        <v>230</v>
      </c>
      <c r="H161">
        <v>0</v>
      </c>
      <c r="I161" t="s">
        <v>634</v>
      </c>
      <c r="J161">
        <v>0</v>
      </c>
      <c r="K161" t="s">
        <v>634</v>
      </c>
      <c r="L161">
        <v>0</v>
      </c>
      <c r="M161" t="s">
        <v>634</v>
      </c>
      <c r="N161">
        <v>0</v>
      </c>
      <c r="O161" t="s">
        <v>634</v>
      </c>
      <c r="P161">
        <v>0</v>
      </c>
      <c r="Q161" t="s">
        <v>634</v>
      </c>
      <c r="R161">
        <v>0</v>
      </c>
      <c r="S161" t="s">
        <v>230</v>
      </c>
      <c r="T161" t="s">
        <v>233</v>
      </c>
    </row>
    <row r="162" spans="1:20" x14ac:dyDescent="0.35">
      <c r="A162" t="s">
        <v>748</v>
      </c>
      <c r="B162" t="s">
        <v>749</v>
      </c>
      <c r="C162" t="s">
        <v>5</v>
      </c>
      <c r="D162" t="s">
        <v>122</v>
      </c>
      <c r="F162">
        <v>0</v>
      </c>
      <c r="G162" t="s">
        <v>122</v>
      </c>
      <c r="H162">
        <v>0</v>
      </c>
      <c r="I162" t="s">
        <v>122</v>
      </c>
      <c r="J162" t="s">
        <v>231</v>
      </c>
      <c r="K162" t="s">
        <v>123</v>
      </c>
      <c r="L162" t="s">
        <v>221</v>
      </c>
      <c r="M162" t="s">
        <v>123</v>
      </c>
      <c r="N162">
        <v>0</v>
      </c>
      <c r="O162" t="s">
        <v>230</v>
      </c>
      <c r="P162">
        <v>0</v>
      </c>
      <c r="Q162" t="s">
        <v>122</v>
      </c>
      <c r="R162">
        <v>0</v>
      </c>
      <c r="S162" t="s">
        <v>122</v>
      </c>
      <c r="T162" t="s">
        <v>259</v>
      </c>
    </row>
    <row r="163" spans="1:20" x14ac:dyDescent="0.35">
      <c r="A163" t="s">
        <v>750</v>
      </c>
      <c r="B163" t="s">
        <v>751</v>
      </c>
      <c r="C163" t="s">
        <v>26</v>
      </c>
      <c r="D163" t="s">
        <v>164</v>
      </c>
      <c r="F163">
        <v>0</v>
      </c>
      <c r="G163" t="s">
        <v>164</v>
      </c>
      <c r="H163">
        <v>0</v>
      </c>
      <c r="I163" t="s">
        <v>164</v>
      </c>
      <c r="J163">
        <v>0</v>
      </c>
      <c r="K163" t="s">
        <v>164</v>
      </c>
      <c r="L163">
        <v>0</v>
      </c>
      <c r="M163" t="s">
        <v>230</v>
      </c>
      <c r="N163">
        <v>0</v>
      </c>
      <c r="O163" t="s">
        <v>230</v>
      </c>
      <c r="P163">
        <v>0</v>
      </c>
      <c r="Q163" t="s">
        <v>164</v>
      </c>
      <c r="R163">
        <v>0</v>
      </c>
      <c r="S163" t="s">
        <v>164</v>
      </c>
      <c r="T163" t="s">
        <v>259</v>
      </c>
    </row>
    <row r="164" spans="1:20" x14ac:dyDescent="0.35">
      <c r="A164" t="s">
        <v>752</v>
      </c>
      <c r="B164" t="s">
        <v>753</v>
      </c>
      <c r="C164" t="s">
        <v>267</v>
      </c>
      <c r="D164" t="s">
        <v>754</v>
      </c>
      <c r="F164" t="s">
        <v>237</v>
      </c>
      <c r="G164" t="s">
        <v>237</v>
      </c>
      <c r="H164" t="s">
        <v>237</v>
      </c>
      <c r="I164" t="s">
        <v>237</v>
      </c>
      <c r="J164">
        <v>0</v>
      </c>
      <c r="K164" t="s">
        <v>177</v>
      </c>
      <c r="L164">
        <v>0</v>
      </c>
      <c r="M164" t="s">
        <v>177</v>
      </c>
      <c r="N164">
        <v>0</v>
      </c>
      <c r="O164" t="s">
        <v>230</v>
      </c>
      <c r="P164">
        <v>0</v>
      </c>
      <c r="Q164" t="s">
        <v>230</v>
      </c>
      <c r="R164">
        <v>0</v>
      </c>
      <c r="S164" t="s">
        <v>230</v>
      </c>
      <c r="T164" t="s">
        <v>204</v>
      </c>
    </row>
    <row r="165" spans="1:20" x14ac:dyDescent="0.35">
      <c r="A165" t="s">
        <v>755</v>
      </c>
      <c r="B165" t="s">
        <v>756</v>
      </c>
      <c r="C165" t="s">
        <v>37</v>
      </c>
      <c r="D165" t="s">
        <v>757</v>
      </c>
      <c r="F165">
        <v>0</v>
      </c>
      <c r="G165" t="s">
        <v>757</v>
      </c>
      <c r="H165">
        <v>0</v>
      </c>
      <c r="I165" t="s">
        <v>230</v>
      </c>
      <c r="J165">
        <v>0</v>
      </c>
      <c r="K165" t="s">
        <v>230</v>
      </c>
      <c r="L165">
        <v>0</v>
      </c>
      <c r="M165" t="s">
        <v>757</v>
      </c>
      <c r="N165">
        <v>0</v>
      </c>
      <c r="O165" t="s">
        <v>757</v>
      </c>
      <c r="P165">
        <v>0</v>
      </c>
      <c r="Q165" t="s">
        <v>757</v>
      </c>
      <c r="R165">
        <v>0</v>
      </c>
      <c r="S165" t="s">
        <v>757</v>
      </c>
      <c r="T165" t="s">
        <v>233</v>
      </c>
    </row>
    <row r="166" spans="1:20" x14ac:dyDescent="0.35">
      <c r="A166" t="s">
        <v>758</v>
      </c>
      <c r="B166" t="s">
        <v>759</v>
      </c>
      <c r="C166" t="s">
        <v>5</v>
      </c>
      <c r="D166" t="s">
        <v>119</v>
      </c>
      <c r="F166">
        <v>0</v>
      </c>
      <c r="G166" t="s">
        <v>119</v>
      </c>
      <c r="H166">
        <v>0</v>
      </c>
      <c r="I166" t="s">
        <v>119</v>
      </c>
      <c r="J166">
        <v>0</v>
      </c>
      <c r="K166" t="s">
        <v>230</v>
      </c>
      <c r="L166">
        <v>0</v>
      </c>
      <c r="M166" t="s">
        <v>230</v>
      </c>
      <c r="N166">
        <v>0</v>
      </c>
      <c r="O166" t="s">
        <v>119</v>
      </c>
      <c r="P166">
        <v>0</v>
      </c>
      <c r="Q166" t="s">
        <v>119</v>
      </c>
      <c r="R166">
        <v>0</v>
      </c>
      <c r="S166" t="s">
        <v>119</v>
      </c>
      <c r="T166" t="s">
        <v>259</v>
      </c>
    </row>
    <row r="167" spans="1:20" x14ac:dyDescent="0.35">
      <c r="A167" t="s">
        <v>760</v>
      </c>
      <c r="B167" t="s">
        <v>761</v>
      </c>
      <c r="C167" t="s">
        <v>5</v>
      </c>
      <c r="D167" t="s">
        <v>149</v>
      </c>
      <c r="F167" t="s">
        <v>288</v>
      </c>
      <c r="G167" t="s">
        <v>288</v>
      </c>
      <c r="H167" t="s">
        <v>288</v>
      </c>
      <c r="I167" t="s">
        <v>288</v>
      </c>
      <c r="J167" t="s">
        <v>264</v>
      </c>
      <c r="K167" t="s">
        <v>264</v>
      </c>
      <c r="L167">
        <v>0</v>
      </c>
      <c r="M167" t="s">
        <v>230</v>
      </c>
      <c r="N167">
        <v>0</v>
      </c>
      <c r="O167" t="s">
        <v>230</v>
      </c>
      <c r="P167" t="s">
        <v>245</v>
      </c>
      <c r="Q167" t="s">
        <v>245</v>
      </c>
      <c r="R167">
        <v>0</v>
      </c>
      <c r="S167" t="s">
        <v>149</v>
      </c>
      <c r="T167" t="s">
        <v>259</v>
      </c>
    </row>
    <row r="168" spans="1:20" x14ac:dyDescent="0.35">
      <c r="A168" t="s">
        <v>762</v>
      </c>
      <c r="B168" t="s">
        <v>763</v>
      </c>
      <c r="C168" t="s">
        <v>37</v>
      </c>
      <c r="D168" t="s">
        <v>631</v>
      </c>
      <c r="F168">
        <v>0</v>
      </c>
      <c r="G168" t="s">
        <v>631</v>
      </c>
      <c r="H168">
        <v>0</v>
      </c>
      <c r="I168" t="s">
        <v>631</v>
      </c>
      <c r="J168">
        <v>0</v>
      </c>
      <c r="K168" t="s">
        <v>230</v>
      </c>
      <c r="L168">
        <v>0</v>
      </c>
      <c r="M168" t="s">
        <v>230</v>
      </c>
      <c r="N168">
        <v>0</v>
      </c>
      <c r="O168" t="s">
        <v>631</v>
      </c>
      <c r="P168" t="s">
        <v>231</v>
      </c>
      <c r="Q168" t="s">
        <v>311</v>
      </c>
      <c r="R168">
        <v>0</v>
      </c>
      <c r="S168" t="s">
        <v>631</v>
      </c>
      <c r="T168" t="s">
        <v>233</v>
      </c>
    </row>
    <row r="169" spans="1:20" x14ac:dyDescent="0.35">
      <c r="A169" t="s">
        <v>764</v>
      </c>
      <c r="B169" t="s">
        <v>765</v>
      </c>
      <c r="C169" t="s">
        <v>31</v>
      </c>
      <c r="D169" t="s">
        <v>415</v>
      </c>
      <c r="F169">
        <v>0</v>
      </c>
      <c r="G169" t="s">
        <v>415</v>
      </c>
      <c r="H169" t="s">
        <v>245</v>
      </c>
      <c r="I169" t="s">
        <v>245</v>
      </c>
      <c r="J169">
        <v>0</v>
      </c>
      <c r="K169" t="s">
        <v>230</v>
      </c>
      <c r="L169">
        <v>0</v>
      </c>
      <c r="M169" t="s">
        <v>230</v>
      </c>
      <c r="N169">
        <v>0</v>
      </c>
      <c r="O169" t="s">
        <v>415</v>
      </c>
      <c r="P169">
        <v>0</v>
      </c>
      <c r="Q169" t="s">
        <v>415</v>
      </c>
      <c r="R169">
        <v>0</v>
      </c>
      <c r="S169" t="s">
        <v>415</v>
      </c>
      <c r="T169" t="s">
        <v>233</v>
      </c>
    </row>
    <row r="170" spans="1:20" x14ac:dyDescent="0.35">
      <c r="A170" t="s">
        <v>766</v>
      </c>
      <c r="B170" t="s">
        <v>767</v>
      </c>
      <c r="C170" t="s">
        <v>31</v>
      </c>
      <c r="D170" t="s">
        <v>768</v>
      </c>
      <c r="F170">
        <v>0</v>
      </c>
      <c r="G170" t="s">
        <v>491</v>
      </c>
      <c r="H170">
        <v>0</v>
      </c>
      <c r="I170" t="s">
        <v>229</v>
      </c>
      <c r="J170">
        <v>0</v>
      </c>
      <c r="K170" t="s">
        <v>229</v>
      </c>
      <c r="L170">
        <v>0</v>
      </c>
      <c r="M170" t="s">
        <v>668</v>
      </c>
      <c r="N170">
        <v>0</v>
      </c>
      <c r="O170" t="s">
        <v>230</v>
      </c>
      <c r="P170">
        <v>0</v>
      </c>
      <c r="Q170" t="s">
        <v>230</v>
      </c>
      <c r="R170">
        <v>0</v>
      </c>
      <c r="S170" t="s">
        <v>491</v>
      </c>
      <c r="T170" t="s">
        <v>233</v>
      </c>
    </row>
    <row r="171" spans="1:20" x14ac:dyDescent="0.35">
      <c r="A171" t="s">
        <v>769</v>
      </c>
      <c r="B171" t="s">
        <v>770</v>
      </c>
      <c r="C171" t="s">
        <v>13</v>
      </c>
      <c r="D171" t="s">
        <v>771</v>
      </c>
      <c r="F171">
        <v>0</v>
      </c>
      <c r="G171" t="s">
        <v>230</v>
      </c>
      <c r="H171">
        <v>0</v>
      </c>
      <c r="I171" t="s">
        <v>230</v>
      </c>
      <c r="J171">
        <v>0</v>
      </c>
      <c r="K171" t="s">
        <v>127</v>
      </c>
      <c r="L171">
        <v>0</v>
      </c>
      <c r="M171" t="s">
        <v>152</v>
      </c>
      <c r="N171">
        <v>0</v>
      </c>
      <c r="O171" t="s">
        <v>152</v>
      </c>
      <c r="P171">
        <v>0</v>
      </c>
      <c r="Q171" t="s">
        <v>240</v>
      </c>
      <c r="R171">
        <v>0</v>
      </c>
      <c r="S171" t="s">
        <v>87</v>
      </c>
      <c r="T171" t="s">
        <v>206</v>
      </c>
    </row>
    <row r="172" spans="1:20" x14ac:dyDescent="0.35">
      <c r="A172" t="s">
        <v>772</v>
      </c>
      <c r="B172" t="s">
        <v>773</v>
      </c>
      <c r="C172" t="s">
        <v>19</v>
      </c>
      <c r="D172" t="s">
        <v>157</v>
      </c>
      <c r="F172">
        <v>0</v>
      </c>
      <c r="G172" t="s">
        <v>157</v>
      </c>
      <c r="H172">
        <v>0</v>
      </c>
      <c r="I172" t="s">
        <v>157</v>
      </c>
      <c r="J172">
        <v>0</v>
      </c>
      <c r="K172" t="s">
        <v>157</v>
      </c>
      <c r="L172" t="s">
        <v>221</v>
      </c>
      <c r="M172" t="s">
        <v>157</v>
      </c>
      <c r="N172">
        <v>0</v>
      </c>
      <c r="O172" t="s">
        <v>230</v>
      </c>
      <c r="P172">
        <v>0</v>
      </c>
      <c r="Q172" t="s">
        <v>157</v>
      </c>
      <c r="R172">
        <v>0</v>
      </c>
      <c r="S172" t="s">
        <v>157</v>
      </c>
      <c r="T172" t="s">
        <v>259</v>
      </c>
    </row>
    <row r="173" spans="1:20" x14ac:dyDescent="0.35">
      <c r="A173" t="s">
        <v>774</v>
      </c>
      <c r="B173" t="s">
        <v>775</v>
      </c>
      <c r="C173" t="s">
        <v>13</v>
      </c>
      <c r="D173" t="s">
        <v>293</v>
      </c>
      <c r="F173" t="s">
        <v>216</v>
      </c>
      <c r="G173" t="s">
        <v>216</v>
      </c>
      <c r="H173" t="s">
        <v>216</v>
      </c>
      <c r="I173" t="s">
        <v>216</v>
      </c>
      <c r="J173" t="s">
        <v>216</v>
      </c>
      <c r="K173" t="s">
        <v>216</v>
      </c>
      <c r="L173" t="s">
        <v>216</v>
      </c>
      <c r="M173" t="s">
        <v>216</v>
      </c>
      <c r="N173" t="s">
        <v>216</v>
      </c>
      <c r="O173" t="s">
        <v>216</v>
      </c>
      <c r="P173" t="s">
        <v>216</v>
      </c>
      <c r="Q173" t="s">
        <v>216</v>
      </c>
      <c r="R173" t="s">
        <v>216</v>
      </c>
      <c r="S173" t="s">
        <v>216</v>
      </c>
      <c r="T173" t="s">
        <v>206</v>
      </c>
    </row>
    <row r="174" spans="1:20" x14ac:dyDescent="0.35">
      <c r="A174" t="s">
        <v>776</v>
      </c>
      <c r="B174" t="s">
        <v>777</v>
      </c>
      <c r="C174" t="s">
        <v>15</v>
      </c>
      <c r="D174" t="s">
        <v>236</v>
      </c>
      <c r="F174">
        <v>0</v>
      </c>
      <c r="G174" t="s">
        <v>230</v>
      </c>
      <c r="H174">
        <v>0</v>
      </c>
      <c r="I174" t="s">
        <v>230</v>
      </c>
      <c r="J174">
        <v>0</v>
      </c>
      <c r="K174" t="s">
        <v>603</v>
      </c>
      <c r="L174">
        <v>0</v>
      </c>
      <c r="M174" t="s">
        <v>603</v>
      </c>
      <c r="N174">
        <v>0</v>
      </c>
      <c r="O174" t="s">
        <v>513</v>
      </c>
      <c r="P174">
        <v>0</v>
      </c>
      <c r="Q174" t="s">
        <v>240</v>
      </c>
      <c r="R174">
        <v>0</v>
      </c>
      <c r="S174" t="s">
        <v>278</v>
      </c>
      <c r="T174" t="s">
        <v>241</v>
      </c>
    </row>
    <row r="175" spans="1:20" x14ac:dyDescent="0.35">
      <c r="A175" t="s">
        <v>778</v>
      </c>
      <c r="B175" t="s">
        <v>779</v>
      </c>
      <c r="C175" t="s">
        <v>262</v>
      </c>
      <c r="D175" t="s">
        <v>780</v>
      </c>
      <c r="F175">
        <v>0</v>
      </c>
      <c r="G175" t="s">
        <v>230</v>
      </c>
      <c r="H175">
        <v>0</v>
      </c>
      <c r="I175" t="s">
        <v>230</v>
      </c>
      <c r="J175">
        <v>0</v>
      </c>
      <c r="K175" t="s">
        <v>230</v>
      </c>
      <c r="L175">
        <v>0</v>
      </c>
      <c r="M175" t="s">
        <v>230</v>
      </c>
      <c r="N175">
        <v>0</v>
      </c>
      <c r="O175" t="s">
        <v>169</v>
      </c>
      <c r="P175">
        <v>0</v>
      </c>
      <c r="Q175" t="s">
        <v>169</v>
      </c>
      <c r="R175">
        <v>0</v>
      </c>
      <c r="S175" t="s">
        <v>169</v>
      </c>
      <c r="T175" t="s">
        <v>204</v>
      </c>
    </row>
    <row r="176" spans="1:20" x14ac:dyDescent="0.35">
      <c r="A176" t="s">
        <v>781</v>
      </c>
      <c r="B176" t="s">
        <v>782</v>
      </c>
      <c r="C176" t="s">
        <v>262</v>
      </c>
      <c r="D176" t="s">
        <v>783</v>
      </c>
      <c r="F176">
        <v>0</v>
      </c>
      <c r="G176" t="s">
        <v>173</v>
      </c>
      <c r="H176">
        <v>0</v>
      </c>
      <c r="I176" t="s">
        <v>173</v>
      </c>
      <c r="J176">
        <v>0</v>
      </c>
      <c r="K176" t="s">
        <v>173</v>
      </c>
      <c r="L176">
        <v>0</v>
      </c>
      <c r="M176" t="s">
        <v>173</v>
      </c>
      <c r="N176" t="s">
        <v>221</v>
      </c>
      <c r="O176" t="s">
        <v>173</v>
      </c>
      <c r="P176">
        <v>0</v>
      </c>
      <c r="Q176" t="s">
        <v>230</v>
      </c>
      <c r="R176">
        <v>0</v>
      </c>
      <c r="S176" t="s">
        <v>230</v>
      </c>
      <c r="T176" t="s">
        <v>204</v>
      </c>
    </row>
    <row r="177" spans="1:20" x14ac:dyDescent="0.35">
      <c r="A177" t="s">
        <v>784</v>
      </c>
      <c r="B177" t="s">
        <v>785</v>
      </c>
      <c r="C177" t="s">
        <v>31</v>
      </c>
      <c r="D177" t="s">
        <v>477</v>
      </c>
      <c r="F177">
        <v>0</v>
      </c>
      <c r="G177" t="s">
        <v>477</v>
      </c>
      <c r="H177">
        <v>0</v>
      </c>
      <c r="I177" t="s">
        <v>477</v>
      </c>
      <c r="J177">
        <v>0</v>
      </c>
      <c r="K177" t="s">
        <v>230</v>
      </c>
      <c r="L177">
        <v>0</v>
      </c>
      <c r="M177" t="s">
        <v>230</v>
      </c>
      <c r="N177">
        <v>0</v>
      </c>
      <c r="O177" t="s">
        <v>477</v>
      </c>
      <c r="P177">
        <v>0</v>
      </c>
      <c r="Q177" t="s">
        <v>477</v>
      </c>
      <c r="R177">
        <v>0</v>
      </c>
      <c r="S177" t="s">
        <v>477</v>
      </c>
      <c r="T177" t="s">
        <v>233</v>
      </c>
    </row>
    <row r="178" spans="1:20" x14ac:dyDescent="0.35">
      <c r="A178" t="s">
        <v>786</v>
      </c>
      <c r="B178" t="s">
        <v>787</v>
      </c>
      <c r="C178" t="s">
        <v>16</v>
      </c>
      <c r="D178" t="s">
        <v>357</v>
      </c>
      <c r="F178">
        <v>0</v>
      </c>
      <c r="G178" t="s">
        <v>251</v>
      </c>
      <c r="H178">
        <v>0</v>
      </c>
      <c r="I178" t="s">
        <v>569</v>
      </c>
      <c r="J178">
        <v>0</v>
      </c>
      <c r="K178" t="s">
        <v>240</v>
      </c>
      <c r="L178">
        <v>0</v>
      </c>
      <c r="M178" t="s">
        <v>788</v>
      </c>
      <c r="N178">
        <v>0</v>
      </c>
      <c r="O178" t="s">
        <v>230</v>
      </c>
      <c r="P178">
        <v>0</v>
      </c>
      <c r="Q178" t="s">
        <v>230</v>
      </c>
      <c r="R178" t="s">
        <v>216</v>
      </c>
      <c r="S178" t="s">
        <v>216</v>
      </c>
      <c r="T178" t="s">
        <v>241</v>
      </c>
    </row>
    <row r="179" spans="1:20" x14ac:dyDescent="0.35">
      <c r="A179" t="s">
        <v>789</v>
      </c>
      <c r="B179" t="s">
        <v>790</v>
      </c>
      <c r="C179" t="s">
        <v>26</v>
      </c>
      <c r="D179" t="s">
        <v>107</v>
      </c>
      <c r="F179">
        <v>0</v>
      </c>
      <c r="G179" t="s">
        <v>230</v>
      </c>
      <c r="H179">
        <v>0</v>
      </c>
      <c r="I179" t="s">
        <v>230</v>
      </c>
      <c r="J179">
        <v>0</v>
      </c>
      <c r="K179" t="s">
        <v>107</v>
      </c>
      <c r="L179">
        <v>0</v>
      </c>
      <c r="M179" t="s">
        <v>107</v>
      </c>
      <c r="N179">
        <v>0</v>
      </c>
      <c r="O179" t="s">
        <v>107</v>
      </c>
      <c r="P179">
        <v>0</v>
      </c>
      <c r="Q179" t="s">
        <v>107</v>
      </c>
      <c r="R179">
        <v>0</v>
      </c>
      <c r="S179" t="s">
        <v>107</v>
      </c>
      <c r="T179" t="s">
        <v>259</v>
      </c>
    </row>
    <row r="180" spans="1:20" x14ac:dyDescent="0.35">
      <c r="A180" t="s">
        <v>791</v>
      </c>
      <c r="B180" t="s">
        <v>792</v>
      </c>
      <c r="C180" t="s">
        <v>26</v>
      </c>
      <c r="D180" t="s">
        <v>163</v>
      </c>
      <c r="F180">
        <v>0</v>
      </c>
      <c r="G180" t="s">
        <v>163</v>
      </c>
      <c r="H180">
        <v>0</v>
      </c>
      <c r="I180" t="s">
        <v>163</v>
      </c>
      <c r="J180">
        <v>0</v>
      </c>
      <c r="K180" t="s">
        <v>230</v>
      </c>
      <c r="L180">
        <v>0</v>
      </c>
      <c r="M180" t="s">
        <v>230</v>
      </c>
      <c r="N180">
        <v>0</v>
      </c>
      <c r="O180" t="s">
        <v>163</v>
      </c>
      <c r="P180">
        <v>0</v>
      </c>
      <c r="Q180" t="s">
        <v>163</v>
      </c>
      <c r="R180">
        <v>0</v>
      </c>
      <c r="S180" t="s">
        <v>163</v>
      </c>
      <c r="T180" t="s">
        <v>259</v>
      </c>
    </row>
    <row r="181" spans="1:20" x14ac:dyDescent="0.35">
      <c r="A181" t="s">
        <v>793</v>
      </c>
      <c r="B181" t="s">
        <v>794</v>
      </c>
      <c r="C181" t="s">
        <v>13</v>
      </c>
      <c r="D181" t="s">
        <v>671</v>
      </c>
      <c r="F181">
        <v>0</v>
      </c>
      <c r="G181" t="s">
        <v>145</v>
      </c>
      <c r="H181">
        <v>0</v>
      </c>
      <c r="I181" t="s">
        <v>145</v>
      </c>
      <c r="J181">
        <v>0</v>
      </c>
      <c r="K181" t="s">
        <v>230</v>
      </c>
      <c r="L181">
        <v>0</v>
      </c>
      <c r="M181" t="s">
        <v>230</v>
      </c>
      <c r="N181">
        <v>0</v>
      </c>
      <c r="O181" t="s">
        <v>240</v>
      </c>
      <c r="P181">
        <v>0</v>
      </c>
      <c r="Q181" t="s">
        <v>240</v>
      </c>
      <c r="R181">
        <v>0</v>
      </c>
      <c r="S181" t="s">
        <v>133</v>
      </c>
      <c r="T181" t="s">
        <v>206</v>
      </c>
    </row>
    <row r="182" spans="1:20" x14ac:dyDescent="0.35">
      <c r="A182" t="s">
        <v>795</v>
      </c>
      <c r="B182" t="s">
        <v>796</v>
      </c>
      <c r="C182" t="s">
        <v>5</v>
      </c>
      <c r="D182" t="s">
        <v>147</v>
      </c>
      <c r="F182" t="s">
        <v>797</v>
      </c>
      <c r="G182" t="s">
        <v>187</v>
      </c>
      <c r="H182">
        <v>0</v>
      </c>
      <c r="I182" t="s">
        <v>147</v>
      </c>
      <c r="J182">
        <v>0</v>
      </c>
      <c r="K182" t="s">
        <v>147</v>
      </c>
      <c r="L182">
        <v>0</v>
      </c>
      <c r="M182" t="s">
        <v>147</v>
      </c>
      <c r="N182">
        <v>0</v>
      </c>
      <c r="O182" t="s">
        <v>147</v>
      </c>
      <c r="P182">
        <v>0</v>
      </c>
      <c r="Q182" t="s">
        <v>230</v>
      </c>
      <c r="R182">
        <v>0</v>
      </c>
      <c r="S182" t="s">
        <v>230</v>
      </c>
      <c r="T182" t="s">
        <v>259</v>
      </c>
    </row>
    <row r="183" spans="1:20" x14ac:dyDescent="0.35">
      <c r="A183" t="s">
        <v>798</v>
      </c>
      <c r="B183" t="s">
        <v>799</v>
      </c>
      <c r="C183" t="s">
        <v>31</v>
      </c>
      <c r="D183" t="s">
        <v>620</v>
      </c>
      <c r="F183">
        <v>0</v>
      </c>
      <c r="G183" t="s">
        <v>620</v>
      </c>
      <c r="H183">
        <v>0</v>
      </c>
      <c r="I183" t="s">
        <v>620</v>
      </c>
      <c r="J183">
        <v>0</v>
      </c>
      <c r="K183" t="s">
        <v>620</v>
      </c>
      <c r="L183">
        <v>0</v>
      </c>
      <c r="M183" t="s">
        <v>620</v>
      </c>
      <c r="N183">
        <v>0</v>
      </c>
      <c r="O183" t="s">
        <v>230</v>
      </c>
      <c r="P183">
        <v>0</v>
      </c>
      <c r="Q183" t="s">
        <v>230</v>
      </c>
      <c r="R183">
        <v>0</v>
      </c>
      <c r="S183" t="s">
        <v>620</v>
      </c>
      <c r="T183" t="s">
        <v>233</v>
      </c>
    </row>
    <row r="184" spans="1:20" x14ac:dyDescent="0.35">
      <c r="A184" t="s">
        <v>800</v>
      </c>
      <c r="B184" t="s">
        <v>801</v>
      </c>
      <c r="C184" t="s">
        <v>349</v>
      </c>
      <c r="D184" t="s">
        <v>802</v>
      </c>
      <c r="F184">
        <v>0</v>
      </c>
      <c r="G184" t="s">
        <v>230</v>
      </c>
      <c r="H184">
        <v>0</v>
      </c>
      <c r="I184" t="s">
        <v>230</v>
      </c>
      <c r="J184">
        <v>0</v>
      </c>
      <c r="K184" t="s">
        <v>230</v>
      </c>
      <c r="L184">
        <v>0</v>
      </c>
      <c r="M184" t="s">
        <v>230</v>
      </c>
      <c r="N184">
        <v>0</v>
      </c>
      <c r="O184" t="s">
        <v>473</v>
      </c>
      <c r="P184">
        <v>0</v>
      </c>
      <c r="Q184" t="s">
        <v>473</v>
      </c>
      <c r="R184">
        <v>0</v>
      </c>
      <c r="S184" t="s">
        <v>473</v>
      </c>
      <c r="T184" t="s">
        <v>279</v>
      </c>
    </row>
    <row r="185" spans="1:20" x14ac:dyDescent="0.35">
      <c r="A185" t="s">
        <v>803</v>
      </c>
      <c r="B185" t="s">
        <v>804</v>
      </c>
      <c r="C185" t="s">
        <v>44</v>
      </c>
      <c r="D185" t="s">
        <v>805</v>
      </c>
      <c r="F185">
        <v>0</v>
      </c>
      <c r="G185" t="s">
        <v>230</v>
      </c>
      <c r="H185">
        <v>0</v>
      </c>
      <c r="I185" t="s">
        <v>805</v>
      </c>
      <c r="J185">
        <v>0</v>
      </c>
      <c r="K185" t="s">
        <v>805</v>
      </c>
      <c r="L185">
        <v>0</v>
      </c>
      <c r="M185" t="s">
        <v>805</v>
      </c>
      <c r="N185">
        <v>0</v>
      </c>
      <c r="O185" t="s">
        <v>805</v>
      </c>
      <c r="P185">
        <v>0</v>
      </c>
      <c r="Q185" t="s">
        <v>805</v>
      </c>
      <c r="R185">
        <v>0</v>
      </c>
      <c r="S185" t="s">
        <v>230</v>
      </c>
      <c r="T185" t="s">
        <v>233</v>
      </c>
    </row>
    <row r="186" spans="1:20" x14ac:dyDescent="0.35">
      <c r="A186" t="s">
        <v>806</v>
      </c>
      <c r="B186" t="s">
        <v>807</v>
      </c>
      <c r="C186" t="s">
        <v>56</v>
      </c>
      <c r="D186" t="s">
        <v>654</v>
      </c>
      <c r="F186">
        <v>0</v>
      </c>
      <c r="G186" t="s">
        <v>230</v>
      </c>
      <c r="H186">
        <v>0</v>
      </c>
      <c r="I186" t="s">
        <v>808</v>
      </c>
      <c r="J186">
        <v>0</v>
      </c>
      <c r="K186" t="s">
        <v>808</v>
      </c>
      <c r="L186">
        <v>0</v>
      </c>
      <c r="M186" t="s">
        <v>808</v>
      </c>
      <c r="N186">
        <v>0</v>
      </c>
      <c r="O186" t="s">
        <v>809</v>
      </c>
      <c r="P186">
        <v>0</v>
      </c>
      <c r="Q186" t="s">
        <v>809</v>
      </c>
      <c r="R186">
        <v>0</v>
      </c>
      <c r="S186" t="s">
        <v>230</v>
      </c>
      <c r="T186" t="s">
        <v>208</v>
      </c>
    </row>
    <row r="187" spans="1:20" x14ac:dyDescent="0.35">
      <c r="A187" t="s">
        <v>810</v>
      </c>
      <c r="B187" t="s">
        <v>811</v>
      </c>
      <c r="C187" t="s">
        <v>19</v>
      </c>
      <c r="D187" t="s">
        <v>89</v>
      </c>
      <c r="F187">
        <v>0</v>
      </c>
      <c r="G187" t="s">
        <v>230</v>
      </c>
      <c r="H187">
        <v>0</v>
      </c>
      <c r="I187" t="s">
        <v>230</v>
      </c>
      <c r="J187">
        <v>0</v>
      </c>
      <c r="K187" t="s">
        <v>89</v>
      </c>
      <c r="L187">
        <v>0</v>
      </c>
      <c r="M187" t="s">
        <v>89</v>
      </c>
      <c r="N187">
        <v>0</v>
      </c>
      <c r="O187" t="s">
        <v>89</v>
      </c>
      <c r="P187">
        <v>0</v>
      </c>
      <c r="Q187" t="s">
        <v>89</v>
      </c>
      <c r="R187">
        <v>0</v>
      </c>
      <c r="S187" t="s">
        <v>89</v>
      </c>
      <c r="T187" t="s">
        <v>259</v>
      </c>
    </row>
    <row r="188" spans="1:20" x14ac:dyDescent="0.35">
      <c r="A188" t="s">
        <v>812</v>
      </c>
      <c r="B188" t="s">
        <v>813</v>
      </c>
      <c r="C188" t="s">
        <v>44</v>
      </c>
      <c r="D188" t="s">
        <v>814</v>
      </c>
      <c r="F188">
        <v>0</v>
      </c>
      <c r="G188" t="s">
        <v>814</v>
      </c>
      <c r="H188">
        <v>0</v>
      </c>
      <c r="I188" t="s">
        <v>230</v>
      </c>
      <c r="J188">
        <v>0</v>
      </c>
      <c r="K188" t="s">
        <v>230</v>
      </c>
      <c r="L188">
        <v>0</v>
      </c>
      <c r="M188" t="s">
        <v>814</v>
      </c>
      <c r="N188">
        <v>0</v>
      </c>
      <c r="O188" t="s">
        <v>814</v>
      </c>
      <c r="P188">
        <v>0</v>
      </c>
      <c r="Q188" t="s">
        <v>814</v>
      </c>
      <c r="R188">
        <v>0</v>
      </c>
      <c r="S188" t="s">
        <v>814</v>
      </c>
      <c r="T188" t="s">
        <v>233</v>
      </c>
    </row>
    <row r="189" spans="1:20" x14ac:dyDescent="0.35">
      <c r="A189" t="s">
        <v>815</v>
      </c>
      <c r="B189" t="s">
        <v>816</v>
      </c>
      <c r="C189" t="s">
        <v>26</v>
      </c>
      <c r="D189" t="s">
        <v>817</v>
      </c>
      <c r="F189">
        <v>0</v>
      </c>
      <c r="G189" t="s">
        <v>107</v>
      </c>
      <c r="H189">
        <v>0</v>
      </c>
      <c r="I189" t="s">
        <v>107</v>
      </c>
      <c r="J189">
        <v>0</v>
      </c>
      <c r="K189" t="s">
        <v>137</v>
      </c>
      <c r="L189" t="s">
        <v>245</v>
      </c>
      <c r="M189" t="s">
        <v>245</v>
      </c>
      <c r="N189">
        <v>0</v>
      </c>
      <c r="O189" t="s">
        <v>162</v>
      </c>
      <c r="P189">
        <v>0</v>
      </c>
      <c r="Q189" t="s">
        <v>230</v>
      </c>
      <c r="R189">
        <v>0</v>
      </c>
      <c r="S189" t="s">
        <v>230</v>
      </c>
      <c r="T189" t="s">
        <v>259</v>
      </c>
    </row>
    <row r="190" spans="1:20" x14ac:dyDescent="0.35">
      <c r="A190" t="s">
        <v>818</v>
      </c>
      <c r="B190" t="s">
        <v>819</v>
      </c>
      <c r="C190" t="s">
        <v>31</v>
      </c>
      <c r="D190" t="s">
        <v>439</v>
      </c>
      <c r="F190">
        <v>0</v>
      </c>
      <c r="G190" t="s">
        <v>439</v>
      </c>
      <c r="H190" t="s">
        <v>245</v>
      </c>
      <c r="I190" t="s">
        <v>245</v>
      </c>
      <c r="J190">
        <v>0</v>
      </c>
      <c r="K190" t="s">
        <v>439</v>
      </c>
      <c r="L190">
        <v>0</v>
      </c>
      <c r="M190" t="s">
        <v>439</v>
      </c>
      <c r="N190">
        <v>0</v>
      </c>
      <c r="O190" t="s">
        <v>230</v>
      </c>
      <c r="P190">
        <v>0</v>
      </c>
      <c r="Q190" t="s">
        <v>230</v>
      </c>
      <c r="R190">
        <v>0</v>
      </c>
      <c r="S190" t="s">
        <v>439</v>
      </c>
      <c r="T190" t="s">
        <v>233</v>
      </c>
    </row>
    <row r="191" spans="1:20" x14ac:dyDescent="0.35">
      <c r="A191" t="s">
        <v>820</v>
      </c>
      <c r="B191" t="s">
        <v>821</v>
      </c>
      <c r="C191" t="s">
        <v>26</v>
      </c>
      <c r="D191" t="s">
        <v>161</v>
      </c>
      <c r="F191" t="s">
        <v>231</v>
      </c>
      <c r="G191" t="s">
        <v>445</v>
      </c>
      <c r="H191">
        <v>0</v>
      </c>
      <c r="I191" t="s">
        <v>161</v>
      </c>
      <c r="J191">
        <v>0</v>
      </c>
      <c r="K191" t="s">
        <v>161</v>
      </c>
      <c r="L191">
        <v>0</v>
      </c>
      <c r="M191" t="s">
        <v>230</v>
      </c>
      <c r="N191">
        <v>0</v>
      </c>
      <c r="O191" t="s">
        <v>230</v>
      </c>
      <c r="P191">
        <v>0</v>
      </c>
      <c r="Q191" t="s">
        <v>161</v>
      </c>
      <c r="R191">
        <v>0</v>
      </c>
      <c r="S191" t="s">
        <v>161</v>
      </c>
      <c r="T191" t="s">
        <v>259</v>
      </c>
    </row>
    <row r="192" spans="1:20" x14ac:dyDescent="0.35">
      <c r="A192" t="s">
        <v>822</v>
      </c>
      <c r="B192" t="s">
        <v>823</v>
      </c>
      <c r="C192" t="s">
        <v>5</v>
      </c>
      <c r="D192" t="s">
        <v>77</v>
      </c>
      <c r="F192">
        <v>0</v>
      </c>
      <c r="G192" t="s">
        <v>77</v>
      </c>
      <c r="H192">
        <v>0</v>
      </c>
      <c r="I192" t="s">
        <v>230</v>
      </c>
      <c r="J192">
        <v>0</v>
      </c>
      <c r="K192" t="s">
        <v>230</v>
      </c>
      <c r="L192" t="s">
        <v>216</v>
      </c>
      <c r="M192" t="s">
        <v>216</v>
      </c>
      <c r="N192" t="s">
        <v>216</v>
      </c>
      <c r="O192" t="s">
        <v>216</v>
      </c>
      <c r="P192" t="s">
        <v>245</v>
      </c>
      <c r="Q192" t="s">
        <v>245</v>
      </c>
      <c r="R192">
        <v>0</v>
      </c>
      <c r="S192" t="s">
        <v>77</v>
      </c>
      <c r="T192" t="s">
        <v>259</v>
      </c>
    </row>
    <row r="193" spans="1:20" x14ac:dyDescent="0.35">
      <c r="A193" t="s">
        <v>824</v>
      </c>
      <c r="B193" t="s">
        <v>825</v>
      </c>
      <c r="C193" t="s">
        <v>31</v>
      </c>
      <c r="D193" t="s">
        <v>440</v>
      </c>
      <c r="F193">
        <v>0</v>
      </c>
      <c r="G193" t="s">
        <v>440</v>
      </c>
      <c r="H193">
        <v>0</v>
      </c>
      <c r="I193" t="s">
        <v>440</v>
      </c>
      <c r="J193" t="s">
        <v>237</v>
      </c>
      <c r="K193" t="s">
        <v>237</v>
      </c>
      <c r="L193">
        <v>0</v>
      </c>
      <c r="M193" t="s">
        <v>230</v>
      </c>
      <c r="N193">
        <v>0</v>
      </c>
      <c r="O193" t="s">
        <v>230</v>
      </c>
      <c r="P193">
        <v>0</v>
      </c>
      <c r="Q193" t="s">
        <v>440</v>
      </c>
      <c r="R193">
        <v>0</v>
      </c>
      <c r="S193" t="s">
        <v>440</v>
      </c>
      <c r="T193" t="s">
        <v>233</v>
      </c>
    </row>
    <row r="194" spans="1:20" x14ac:dyDescent="0.35">
      <c r="A194" t="s">
        <v>826</v>
      </c>
      <c r="B194" t="s">
        <v>827</v>
      </c>
      <c r="C194" t="s">
        <v>37</v>
      </c>
      <c r="D194" t="s">
        <v>514</v>
      </c>
      <c r="F194">
        <v>0</v>
      </c>
      <c r="G194" t="s">
        <v>514</v>
      </c>
      <c r="H194">
        <v>0</v>
      </c>
      <c r="I194" t="s">
        <v>514</v>
      </c>
      <c r="J194">
        <v>0</v>
      </c>
      <c r="K194" t="s">
        <v>514</v>
      </c>
      <c r="L194">
        <v>0</v>
      </c>
      <c r="M194" t="s">
        <v>230</v>
      </c>
      <c r="N194">
        <v>0</v>
      </c>
      <c r="O194" t="s">
        <v>230</v>
      </c>
      <c r="P194">
        <v>0</v>
      </c>
      <c r="Q194" t="s">
        <v>514</v>
      </c>
      <c r="R194">
        <v>0</v>
      </c>
      <c r="S194" t="s">
        <v>514</v>
      </c>
      <c r="T194" t="s">
        <v>233</v>
      </c>
    </row>
    <row r="195" spans="1:20" x14ac:dyDescent="0.35">
      <c r="A195" t="s">
        <v>828</v>
      </c>
      <c r="B195" t="s">
        <v>829</v>
      </c>
      <c r="C195" t="s">
        <v>44</v>
      </c>
      <c r="D195" t="s">
        <v>401</v>
      </c>
      <c r="F195">
        <v>0</v>
      </c>
      <c r="G195" t="s">
        <v>401</v>
      </c>
      <c r="H195">
        <v>0</v>
      </c>
      <c r="I195" t="s">
        <v>401</v>
      </c>
      <c r="J195">
        <v>0</v>
      </c>
      <c r="K195" t="s">
        <v>230</v>
      </c>
      <c r="L195">
        <v>0</v>
      </c>
      <c r="M195" t="s">
        <v>230</v>
      </c>
      <c r="N195">
        <v>0</v>
      </c>
      <c r="O195" t="s">
        <v>401</v>
      </c>
      <c r="P195">
        <v>0</v>
      </c>
      <c r="Q195" t="s">
        <v>401</v>
      </c>
      <c r="R195">
        <v>0</v>
      </c>
      <c r="S195" t="s">
        <v>401</v>
      </c>
      <c r="T195" t="s">
        <v>233</v>
      </c>
    </row>
    <row r="196" spans="1:20" x14ac:dyDescent="0.35">
      <c r="A196" t="s">
        <v>830</v>
      </c>
      <c r="B196" t="s">
        <v>831</v>
      </c>
      <c r="C196" t="s">
        <v>262</v>
      </c>
      <c r="D196" t="s">
        <v>832</v>
      </c>
      <c r="F196">
        <v>0</v>
      </c>
      <c r="G196" t="s">
        <v>171</v>
      </c>
      <c r="H196">
        <v>0</v>
      </c>
      <c r="I196" t="s">
        <v>171</v>
      </c>
      <c r="J196">
        <v>0</v>
      </c>
      <c r="K196" t="s">
        <v>171</v>
      </c>
      <c r="L196">
        <v>0</v>
      </c>
      <c r="M196" t="s">
        <v>171</v>
      </c>
      <c r="N196" t="s">
        <v>221</v>
      </c>
      <c r="O196" t="s">
        <v>171</v>
      </c>
      <c r="P196">
        <v>0</v>
      </c>
      <c r="Q196" t="s">
        <v>230</v>
      </c>
      <c r="R196">
        <v>0</v>
      </c>
      <c r="S196" t="s">
        <v>230</v>
      </c>
      <c r="T196" t="s">
        <v>204</v>
      </c>
    </row>
    <row r="197" spans="1:20" x14ac:dyDescent="0.35">
      <c r="A197" t="s">
        <v>833</v>
      </c>
      <c r="B197" t="s">
        <v>834</v>
      </c>
      <c r="C197" t="s">
        <v>37</v>
      </c>
      <c r="D197" t="s">
        <v>733</v>
      </c>
      <c r="F197">
        <v>0</v>
      </c>
      <c r="G197" t="s">
        <v>230</v>
      </c>
      <c r="H197">
        <v>0</v>
      </c>
      <c r="I197" t="s">
        <v>733</v>
      </c>
      <c r="J197">
        <v>0</v>
      </c>
      <c r="K197" t="s">
        <v>733</v>
      </c>
      <c r="L197">
        <v>0</v>
      </c>
      <c r="M197" t="s">
        <v>733</v>
      </c>
      <c r="N197">
        <v>0</v>
      </c>
      <c r="O197" t="s">
        <v>733</v>
      </c>
      <c r="P197">
        <v>0</v>
      </c>
      <c r="Q197" t="s">
        <v>733</v>
      </c>
      <c r="R197">
        <v>0</v>
      </c>
      <c r="S197" t="s">
        <v>230</v>
      </c>
      <c r="T197" t="s">
        <v>233</v>
      </c>
    </row>
    <row r="198" spans="1:20" x14ac:dyDescent="0.35">
      <c r="A198" t="s">
        <v>835</v>
      </c>
      <c r="B198" t="s">
        <v>836</v>
      </c>
      <c r="C198" t="s">
        <v>26</v>
      </c>
      <c r="D198" t="s">
        <v>138</v>
      </c>
      <c r="F198">
        <v>0</v>
      </c>
      <c r="G198" t="s">
        <v>138</v>
      </c>
      <c r="H198">
        <v>0</v>
      </c>
      <c r="I198" t="s">
        <v>230</v>
      </c>
      <c r="J198">
        <v>0</v>
      </c>
      <c r="K198" t="s">
        <v>230</v>
      </c>
      <c r="L198">
        <v>0</v>
      </c>
      <c r="M198" t="s">
        <v>138</v>
      </c>
      <c r="N198">
        <v>0</v>
      </c>
      <c r="O198" t="s">
        <v>138</v>
      </c>
      <c r="P198">
        <v>0</v>
      </c>
      <c r="Q198" t="s">
        <v>138</v>
      </c>
      <c r="R198">
        <v>0</v>
      </c>
      <c r="S198" t="s">
        <v>138</v>
      </c>
      <c r="T198" t="s">
        <v>259</v>
      </c>
    </row>
    <row r="199" spans="1:20" x14ac:dyDescent="0.35">
      <c r="A199" t="s">
        <v>837</v>
      </c>
      <c r="B199" t="s">
        <v>838</v>
      </c>
      <c r="C199" t="s">
        <v>453</v>
      </c>
      <c r="D199" t="s">
        <v>454</v>
      </c>
      <c r="F199">
        <v>0</v>
      </c>
      <c r="G199" t="s">
        <v>603</v>
      </c>
      <c r="H199">
        <v>0</v>
      </c>
      <c r="I199" t="s">
        <v>603</v>
      </c>
      <c r="J199">
        <v>0</v>
      </c>
      <c r="K199" t="s">
        <v>179</v>
      </c>
      <c r="L199" t="s">
        <v>354</v>
      </c>
      <c r="M199" t="s">
        <v>354</v>
      </c>
      <c r="N199">
        <v>0</v>
      </c>
      <c r="O199" t="s">
        <v>230</v>
      </c>
      <c r="P199">
        <v>0</v>
      </c>
      <c r="Q199" t="s">
        <v>230</v>
      </c>
      <c r="R199">
        <v>0</v>
      </c>
      <c r="S199" t="s">
        <v>230</v>
      </c>
      <c r="T199" t="s">
        <v>205</v>
      </c>
    </row>
    <row r="200" spans="1:20" x14ac:dyDescent="0.35">
      <c r="A200" t="s">
        <v>839</v>
      </c>
      <c r="B200" t="s">
        <v>840</v>
      </c>
      <c r="C200" t="s">
        <v>5</v>
      </c>
      <c r="D200" t="s">
        <v>841</v>
      </c>
      <c r="F200">
        <v>0</v>
      </c>
      <c r="G200" t="s">
        <v>230</v>
      </c>
      <c r="H200">
        <v>0</v>
      </c>
      <c r="I200" t="s">
        <v>77</v>
      </c>
      <c r="J200">
        <v>0</v>
      </c>
      <c r="K200" t="s">
        <v>77</v>
      </c>
      <c r="L200">
        <v>0</v>
      </c>
      <c r="M200" t="s">
        <v>122</v>
      </c>
      <c r="N200">
        <v>0</v>
      </c>
      <c r="O200" t="s">
        <v>122</v>
      </c>
      <c r="P200">
        <v>0</v>
      </c>
      <c r="Q200" t="s">
        <v>147</v>
      </c>
      <c r="R200">
        <v>0</v>
      </c>
      <c r="S200" t="s">
        <v>230</v>
      </c>
      <c r="T200" t="s">
        <v>259</v>
      </c>
    </row>
    <row r="201" spans="1:20" x14ac:dyDescent="0.35">
      <c r="A201" t="s">
        <v>842</v>
      </c>
      <c r="B201" t="s">
        <v>843</v>
      </c>
      <c r="C201" t="s">
        <v>37</v>
      </c>
      <c r="D201" t="s">
        <v>515</v>
      </c>
      <c r="F201">
        <v>0</v>
      </c>
      <c r="G201" t="s">
        <v>515</v>
      </c>
      <c r="H201" t="s">
        <v>231</v>
      </c>
      <c r="I201" t="s">
        <v>516</v>
      </c>
      <c r="J201">
        <v>0</v>
      </c>
      <c r="K201" t="s">
        <v>515</v>
      </c>
      <c r="L201">
        <v>0</v>
      </c>
      <c r="M201" t="s">
        <v>515</v>
      </c>
      <c r="N201">
        <v>0</v>
      </c>
      <c r="O201" t="s">
        <v>230</v>
      </c>
      <c r="P201">
        <v>0</v>
      </c>
      <c r="Q201" t="s">
        <v>230</v>
      </c>
      <c r="R201">
        <v>0</v>
      </c>
      <c r="S201" t="s">
        <v>515</v>
      </c>
      <c r="T201" t="s">
        <v>233</v>
      </c>
    </row>
    <row r="202" spans="1:20" x14ac:dyDescent="0.35">
      <c r="A202" t="s">
        <v>844</v>
      </c>
      <c r="B202" t="s">
        <v>845</v>
      </c>
      <c r="C202" t="s">
        <v>44</v>
      </c>
      <c r="D202" t="s">
        <v>251</v>
      </c>
      <c r="F202" t="s">
        <v>216</v>
      </c>
      <c r="G202" t="s">
        <v>216</v>
      </c>
      <c r="H202">
        <v>0</v>
      </c>
      <c r="I202" t="s">
        <v>230</v>
      </c>
      <c r="J202">
        <v>0</v>
      </c>
      <c r="K202" t="s">
        <v>230</v>
      </c>
      <c r="L202">
        <v>0</v>
      </c>
      <c r="M202" t="s">
        <v>251</v>
      </c>
      <c r="N202">
        <v>0</v>
      </c>
      <c r="O202" t="s">
        <v>251</v>
      </c>
      <c r="P202">
        <v>0</v>
      </c>
      <c r="Q202" t="s">
        <v>251</v>
      </c>
      <c r="R202">
        <v>0</v>
      </c>
      <c r="S202" t="s">
        <v>251</v>
      </c>
      <c r="T202" t="s">
        <v>233</v>
      </c>
    </row>
    <row r="203" spans="1:20" x14ac:dyDescent="0.35">
      <c r="A203" t="s">
        <v>846</v>
      </c>
      <c r="B203" t="s">
        <v>847</v>
      </c>
      <c r="C203" t="s">
        <v>267</v>
      </c>
      <c r="D203" t="s">
        <v>848</v>
      </c>
      <c r="F203">
        <v>0</v>
      </c>
      <c r="G203" t="s">
        <v>179</v>
      </c>
      <c r="H203">
        <v>0</v>
      </c>
      <c r="I203" t="s">
        <v>179</v>
      </c>
      <c r="J203" t="s">
        <v>245</v>
      </c>
      <c r="K203" t="s">
        <v>245</v>
      </c>
      <c r="L203">
        <v>0</v>
      </c>
      <c r="M203" t="s">
        <v>179</v>
      </c>
      <c r="N203">
        <v>0</v>
      </c>
      <c r="O203" t="s">
        <v>230</v>
      </c>
      <c r="P203">
        <v>0</v>
      </c>
      <c r="Q203" t="s">
        <v>230</v>
      </c>
      <c r="R203">
        <v>0</v>
      </c>
      <c r="S203" t="s">
        <v>230</v>
      </c>
      <c r="T203" t="s">
        <v>204</v>
      </c>
    </row>
    <row r="204" spans="1:20" x14ac:dyDescent="0.35">
      <c r="A204" t="s">
        <v>849</v>
      </c>
      <c r="B204" t="s">
        <v>850</v>
      </c>
      <c r="C204" t="s">
        <v>37</v>
      </c>
      <c r="D204" t="s">
        <v>630</v>
      </c>
      <c r="F204">
        <v>0</v>
      </c>
      <c r="G204" t="s">
        <v>230</v>
      </c>
      <c r="H204">
        <v>0</v>
      </c>
      <c r="I204" t="s">
        <v>230</v>
      </c>
      <c r="J204">
        <v>0</v>
      </c>
      <c r="K204" t="s">
        <v>630</v>
      </c>
      <c r="L204">
        <v>0</v>
      </c>
      <c r="M204" t="s">
        <v>630</v>
      </c>
      <c r="N204">
        <v>0</v>
      </c>
      <c r="O204" t="s">
        <v>630</v>
      </c>
      <c r="P204">
        <v>0</v>
      </c>
      <c r="Q204" t="s">
        <v>630</v>
      </c>
      <c r="R204">
        <v>0</v>
      </c>
      <c r="S204" t="s">
        <v>630</v>
      </c>
      <c r="T204" t="s">
        <v>233</v>
      </c>
    </row>
    <row r="205" spans="1:20" x14ac:dyDescent="0.35">
      <c r="A205" t="s">
        <v>851</v>
      </c>
      <c r="B205" t="s">
        <v>852</v>
      </c>
      <c r="C205" t="s">
        <v>37</v>
      </c>
      <c r="D205" t="s">
        <v>524</v>
      </c>
      <c r="F205">
        <v>0</v>
      </c>
      <c r="G205" t="s">
        <v>524</v>
      </c>
      <c r="H205">
        <v>0</v>
      </c>
      <c r="I205" t="s">
        <v>524</v>
      </c>
      <c r="J205">
        <v>0</v>
      </c>
      <c r="K205" t="s">
        <v>524</v>
      </c>
      <c r="L205">
        <v>0</v>
      </c>
      <c r="M205" t="s">
        <v>230</v>
      </c>
      <c r="N205">
        <v>0</v>
      </c>
      <c r="O205" t="s">
        <v>230</v>
      </c>
      <c r="P205">
        <v>0</v>
      </c>
      <c r="Q205" t="s">
        <v>524</v>
      </c>
      <c r="R205">
        <v>0</v>
      </c>
      <c r="S205" t="s">
        <v>524</v>
      </c>
      <c r="T205" t="s">
        <v>233</v>
      </c>
    </row>
    <row r="206" spans="1:20" x14ac:dyDescent="0.35">
      <c r="A206" t="s">
        <v>853</v>
      </c>
      <c r="B206" t="s">
        <v>854</v>
      </c>
      <c r="C206" t="s">
        <v>44</v>
      </c>
      <c r="D206" t="s">
        <v>855</v>
      </c>
      <c r="F206">
        <v>0</v>
      </c>
      <c r="G206" t="s">
        <v>709</v>
      </c>
      <c r="H206">
        <v>0</v>
      </c>
      <c r="I206" t="s">
        <v>709</v>
      </c>
      <c r="J206">
        <v>0</v>
      </c>
      <c r="K206" t="s">
        <v>285</v>
      </c>
      <c r="L206" t="s">
        <v>231</v>
      </c>
      <c r="M206" t="s">
        <v>254</v>
      </c>
      <c r="N206">
        <v>0</v>
      </c>
      <c r="O206" t="s">
        <v>569</v>
      </c>
      <c r="P206">
        <v>0</v>
      </c>
      <c r="Q206" t="s">
        <v>230</v>
      </c>
      <c r="R206">
        <v>0</v>
      </c>
      <c r="S206" t="s">
        <v>230</v>
      </c>
      <c r="T206" t="s">
        <v>233</v>
      </c>
    </row>
    <row r="207" spans="1:20" x14ac:dyDescent="0.35">
      <c r="A207" t="s">
        <v>856</v>
      </c>
      <c r="B207" t="s">
        <v>857</v>
      </c>
      <c r="C207" t="s">
        <v>12</v>
      </c>
      <c r="D207" t="s">
        <v>487</v>
      </c>
      <c r="F207">
        <v>0</v>
      </c>
      <c r="G207" t="s">
        <v>230</v>
      </c>
      <c r="H207">
        <v>0</v>
      </c>
      <c r="I207" t="s">
        <v>230</v>
      </c>
      <c r="J207">
        <v>0</v>
      </c>
      <c r="K207" t="s">
        <v>122</v>
      </c>
      <c r="L207">
        <v>0</v>
      </c>
      <c r="M207" t="s">
        <v>146</v>
      </c>
      <c r="N207" t="s">
        <v>245</v>
      </c>
      <c r="O207" t="s">
        <v>245</v>
      </c>
      <c r="P207">
        <v>0</v>
      </c>
      <c r="Q207" t="s">
        <v>240</v>
      </c>
      <c r="R207">
        <v>0</v>
      </c>
      <c r="S207" t="s">
        <v>146</v>
      </c>
      <c r="T207" t="s">
        <v>206</v>
      </c>
    </row>
    <row r="208" spans="1:20" x14ac:dyDescent="0.35">
      <c r="A208" t="s">
        <v>858</v>
      </c>
      <c r="B208" t="s">
        <v>302</v>
      </c>
      <c r="C208" t="s">
        <v>302</v>
      </c>
      <c r="D208" t="s">
        <v>302</v>
      </c>
      <c r="F208">
        <v>0</v>
      </c>
      <c r="G208" t="s">
        <v>302</v>
      </c>
      <c r="H208">
        <v>0</v>
      </c>
      <c r="I208" t="s">
        <v>302</v>
      </c>
      <c r="J208">
        <v>0</v>
      </c>
      <c r="K208" t="s">
        <v>302</v>
      </c>
      <c r="L208">
        <v>0</v>
      </c>
      <c r="M208" t="s">
        <v>302</v>
      </c>
      <c r="N208">
        <v>0</v>
      </c>
      <c r="O208" t="s">
        <v>302</v>
      </c>
      <c r="P208">
        <v>0</v>
      </c>
      <c r="Q208" t="s">
        <v>302</v>
      </c>
      <c r="R208">
        <v>0</v>
      </c>
      <c r="S208" t="s">
        <v>302</v>
      </c>
      <c r="T208" t="s">
        <v>302</v>
      </c>
    </row>
    <row r="209" spans="1:20" x14ac:dyDescent="0.35">
      <c r="A209" t="s">
        <v>859</v>
      </c>
      <c r="B209" t="s">
        <v>860</v>
      </c>
      <c r="C209" t="s">
        <v>12</v>
      </c>
      <c r="D209" t="s">
        <v>861</v>
      </c>
      <c r="F209">
        <v>0</v>
      </c>
      <c r="G209" t="s">
        <v>79</v>
      </c>
      <c r="H209">
        <v>0</v>
      </c>
      <c r="I209" t="s">
        <v>79</v>
      </c>
      <c r="J209">
        <v>0</v>
      </c>
      <c r="K209" t="s">
        <v>230</v>
      </c>
      <c r="L209">
        <v>0</v>
      </c>
      <c r="M209" t="s">
        <v>230</v>
      </c>
      <c r="N209">
        <v>0</v>
      </c>
      <c r="O209" t="s">
        <v>148</v>
      </c>
      <c r="P209">
        <v>0</v>
      </c>
      <c r="Q209" t="s">
        <v>149</v>
      </c>
      <c r="R209">
        <v>0</v>
      </c>
      <c r="S209" t="s">
        <v>151</v>
      </c>
      <c r="T209" t="s">
        <v>206</v>
      </c>
    </row>
    <row r="210" spans="1:20" x14ac:dyDescent="0.35">
      <c r="A210" t="s">
        <v>862</v>
      </c>
      <c r="B210" t="s">
        <v>863</v>
      </c>
      <c r="C210" t="s">
        <v>5</v>
      </c>
      <c r="D210" t="s">
        <v>79</v>
      </c>
      <c r="F210">
        <v>0</v>
      </c>
      <c r="G210" t="s">
        <v>230</v>
      </c>
      <c r="H210">
        <v>0</v>
      </c>
      <c r="I210" t="s">
        <v>230</v>
      </c>
      <c r="J210">
        <v>0</v>
      </c>
      <c r="K210" t="s">
        <v>79</v>
      </c>
      <c r="L210" t="s">
        <v>245</v>
      </c>
      <c r="M210" t="s">
        <v>245</v>
      </c>
      <c r="N210">
        <v>0</v>
      </c>
      <c r="O210" t="s">
        <v>79</v>
      </c>
      <c r="P210">
        <v>0</v>
      </c>
      <c r="Q210" t="s">
        <v>79</v>
      </c>
      <c r="R210">
        <v>0</v>
      </c>
      <c r="S210" t="s">
        <v>79</v>
      </c>
      <c r="T210" t="s">
        <v>259</v>
      </c>
    </row>
    <row r="211" spans="1:20" x14ac:dyDescent="0.35">
      <c r="A211" t="s">
        <v>864</v>
      </c>
      <c r="B211" t="s">
        <v>865</v>
      </c>
      <c r="C211" t="s">
        <v>19</v>
      </c>
      <c r="D211" t="s">
        <v>866</v>
      </c>
      <c r="F211">
        <v>0</v>
      </c>
      <c r="G211" t="s">
        <v>89</v>
      </c>
      <c r="H211">
        <v>0</v>
      </c>
      <c r="I211" t="s">
        <v>89</v>
      </c>
      <c r="J211">
        <v>0</v>
      </c>
      <c r="K211" t="s">
        <v>128</v>
      </c>
      <c r="L211">
        <v>0</v>
      </c>
      <c r="M211" t="s">
        <v>128</v>
      </c>
      <c r="N211" t="s">
        <v>245</v>
      </c>
      <c r="O211" t="s">
        <v>245</v>
      </c>
      <c r="P211">
        <v>0</v>
      </c>
      <c r="Q211" t="s">
        <v>230</v>
      </c>
      <c r="R211">
        <v>0</v>
      </c>
      <c r="S211" t="s">
        <v>230</v>
      </c>
      <c r="T211" t="s">
        <v>259</v>
      </c>
    </row>
    <row r="212" spans="1:20" x14ac:dyDescent="0.35">
      <c r="A212" t="s">
        <v>867</v>
      </c>
      <c r="B212" t="s">
        <v>868</v>
      </c>
      <c r="C212" t="s">
        <v>26</v>
      </c>
      <c r="D212" t="s">
        <v>869</v>
      </c>
      <c r="F212">
        <v>0</v>
      </c>
      <c r="G212" t="s">
        <v>105</v>
      </c>
      <c r="H212">
        <v>0</v>
      </c>
      <c r="I212" t="s">
        <v>136</v>
      </c>
      <c r="J212">
        <v>0</v>
      </c>
      <c r="K212" t="s">
        <v>136</v>
      </c>
      <c r="L212">
        <v>0</v>
      </c>
      <c r="M212" t="s">
        <v>161</v>
      </c>
      <c r="N212">
        <v>0</v>
      </c>
      <c r="O212" t="s">
        <v>230</v>
      </c>
      <c r="P212">
        <v>0</v>
      </c>
      <c r="Q212" t="s">
        <v>230</v>
      </c>
      <c r="R212">
        <v>0</v>
      </c>
      <c r="S212" t="s">
        <v>105</v>
      </c>
      <c r="T212" t="s">
        <v>259</v>
      </c>
    </row>
    <row r="213" spans="1:20" x14ac:dyDescent="0.35">
      <c r="A213" t="s">
        <v>870</v>
      </c>
      <c r="B213" t="s">
        <v>871</v>
      </c>
      <c r="C213" t="s">
        <v>44</v>
      </c>
      <c r="D213" t="s">
        <v>647</v>
      </c>
      <c r="F213">
        <v>0</v>
      </c>
      <c r="G213" t="s">
        <v>647</v>
      </c>
      <c r="H213">
        <v>0</v>
      </c>
      <c r="I213" t="s">
        <v>647</v>
      </c>
      <c r="J213">
        <v>0</v>
      </c>
      <c r="K213" t="s">
        <v>647</v>
      </c>
      <c r="L213">
        <v>0</v>
      </c>
      <c r="M213" t="s">
        <v>230</v>
      </c>
      <c r="N213">
        <v>0</v>
      </c>
      <c r="O213" t="s">
        <v>230</v>
      </c>
      <c r="P213">
        <v>0</v>
      </c>
      <c r="Q213" t="s">
        <v>647</v>
      </c>
      <c r="R213">
        <v>0</v>
      </c>
      <c r="S213" t="s">
        <v>647</v>
      </c>
      <c r="T213" t="s">
        <v>233</v>
      </c>
    </row>
    <row r="214" spans="1:20" x14ac:dyDescent="0.35">
      <c r="A214" t="s">
        <v>872</v>
      </c>
      <c r="B214" t="s">
        <v>873</v>
      </c>
      <c r="C214" t="s">
        <v>19</v>
      </c>
      <c r="D214" t="s">
        <v>127</v>
      </c>
      <c r="F214">
        <v>0</v>
      </c>
      <c r="G214" t="s">
        <v>127</v>
      </c>
      <c r="H214">
        <v>0</v>
      </c>
      <c r="I214" t="s">
        <v>230</v>
      </c>
      <c r="J214">
        <v>0</v>
      </c>
      <c r="K214" t="s">
        <v>230</v>
      </c>
      <c r="L214">
        <v>0</v>
      </c>
      <c r="M214" t="s">
        <v>127</v>
      </c>
      <c r="N214">
        <v>0</v>
      </c>
      <c r="O214" t="s">
        <v>127</v>
      </c>
      <c r="P214">
        <v>0</v>
      </c>
      <c r="Q214" t="s">
        <v>127</v>
      </c>
      <c r="R214">
        <v>0</v>
      </c>
      <c r="S214" t="s">
        <v>127</v>
      </c>
      <c r="T214" t="s">
        <v>259</v>
      </c>
    </row>
    <row r="215" spans="1:20" x14ac:dyDescent="0.35">
      <c r="A215" t="s">
        <v>874</v>
      </c>
      <c r="B215" t="s">
        <v>875</v>
      </c>
      <c r="C215" t="s">
        <v>57</v>
      </c>
      <c r="D215" t="s">
        <v>650</v>
      </c>
      <c r="F215">
        <v>0</v>
      </c>
      <c r="G215" t="s">
        <v>230</v>
      </c>
      <c r="H215">
        <v>0</v>
      </c>
      <c r="I215" t="s">
        <v>230</v>
      </c>
      <c r="J215">
        <v>0</v>
      </c>
      <c r="K215" t="s">
        <v>876</v>
      </c>
      <c r="L215">
        <v>0</v>
      </c>
      <c r="M215" t="s">
        <v>876</v>
      </c>
      <c r="N215">
        <v>0</v>
      </c>
      <c r="O215" t="s">
        <v>876</v>
      </c>
      <c r="P215">
        <v>0</v>
      </c>
      <c r="Q215" t="s">
        <v>876</v>
      </c>
      <c r="R215">
        <v>0</v>
      </c>
      <c r="S215" t="s">
        <v>876</v>
      </c>
      <c r="T215" t="s">
        <v>208</v>
      </c>
    </row>
    <row r="216" spans="1:20" x14ac:dyDescent="0.35">
      <c r="A216" t="s">
        <v>877</v>
      </c>
      <c r="B216" t="s">
        <v>878</v>
      </c>
      <c r="C216" t="s">
        <v>5</v>
      </c>
      <c r="D216" t="s">
        <v>73</v>
      </c>
      <c r="F216">
        <v>0</v>
      </c>
      <c r="G216" t="s">
        <v>230</v>
      </c>
      <c r="H216">
        <v>0</v>
      </c>
      <c r="I216" t="s">
        <v>73</v>
      </c>
      <c r="J216">
        <v>0</v>
      </c>
      <c r="K216" t="s">
        <v>73</v>
      </c>
      <c r="L216">
        <v>0</v>
      </c>
      <c r="M216" t="s">
        <v>73</v>
      </c>
      <c r="N216">
        <v>0</v>
      </c>
      <c r="O216" t="s">
        <v>73</v>
      </c>
      <c r="P216">
        <v>0</v>
      </c>
      <c r="Q216" t="s">
        <v>73</v>
      </c>
      <c r="R216">
        <v>0</v>
      </c>
      <c r="S216" t="s">
        <v>230</v>
      </c>
      <c r="T216" t="s">
        <v>259</v>
      </c>
    </row>
    <row r="217" spans="1:20" x14ac:dyDescent="0.35">
      <c r="A217" t="s">
        <v>879</v>
      </c>
      <c r="B217" t="s">
        <v>880</v>
      </c>
      <c r="C217" t="s">
        <v>44</v>
      </c>
      <c r="D217" t="s">
        <v>497</v>
      </c>
      <c r="F217">
        <v>0</v>
      </c>
      <c r="G217" t="s">
        <v>230</v>
      </c>
      <c r="H217" t="s">
        <v>231</v>
      </c>
      <c r="I217" t="s">
        <v>109</v>
      </c>
      <c r="J217">
        <v>0</v>
      </c>
      <c r="K217" t="s">
        <v>497</v>
      </c>
      <c r="L217">
        <v>0</v>
      </c>
      <c r="M217" t="s">
        <v>497</v>
      </c>
      <c r="N217" t="s">
        <v>391</v>
      </c>
      <c r="O217" t="s">
        <v>391</v>
      </c>
      <c r="P217">
        <v>0</v>
      </c>
      <c r="Q217" t="s">
        <v>497</v>
      </c>
      <c r="R217">
        <v>0</v>
      </c>
      <c r="S217" t="s">
        <v>230</v>
      </c>
      <c r="T217" t="s">
        <v>233</v>
      </c>
    </row>
    <row r="218" spans="1:20" x14ac:dyDescent="0.35">
      <c r="A218" t="s">
        <v>881</v>
      </c>
      <c r="B218" t="s">
        <v>882</v>
      </c>
      <c r="C218" t="s">
        <v>453</v>
      </c>
      <c r="D218" t="s">
        <v>883</v>
      </c>
      <c r="F218">
        <v>0</v>
      </c>
      <c r="G218" t="s">
        <v>230</v>
      </c>
      <c r="H218">
        <v>0</v>
      </c>
      <c r="I218" t="s">
        <v>230</v>
      </c>
      <c r="J218">
        <v>0</v>
      </c>
      <c r="K218" t="s">
        <v>230</v>
      </c>
      <c r="L218">
        <v>0</v>
      </c>
      <c r="M218" t="s">
        <v>230</v>
      </c>
      <c r="N218">
        <v>0</v>
      </c>
      <c r="O218" t="s">
        <v>278</v>
      </c>
      <c r="P218">
        <v>0</v>
      </c>
      <c r="Q218" t="s">
        <v>278</v>
      </c>
      <c r="R218">
        <v>0</v>
      </c>
      <c r="S218" t="s">
        <v>179</v>
      </c>
      <c r="T218" t="s">
        <v>205</v>
      </c>
    </row>
    <row r="219" spans="1:20" x14ac:dyDescent="0.35">
      <c r="A219" t="s">
        <v>884</v>
      </c>
      <c r="B219" t="s">
        <v>885</v>
      </c>
      <c r="C219" t="s">
        <v>15</v>
      </c>
      <c r="D219" t="s">
        <v>519</v>
      </c>
      <c r="F219">
        <v>0</v>
      </c>
      <c r="G219" t="s">
        <v>733</v>
      </c>
      <c r="H219">
        <v>0</v>
      </c>
      <c r="I219" t="s">
        <v>515</v>
      </c>
      <c r="J219">
        <v>0</v>
      </c>
      <c r="K219" t="s">
        <v>230</v>
      </c>
      <c r="L219">
        <v>0</v>
      </c>
      <c r="M219" t="s">
        <v>230</v>
      </c>
      <c r="N219">
        <v>0</v>
      </c>
      <c r="O219" t="s">
        <v>886</v>
      </c>
      <c r="P219">
        <v>0</v>
      </c>
      <c r="Q219" t="s">
        <v>232</v>
      </c>
      <c r="R219">
        <v>0</v>
      </c>
      <c r="S219" t="s">
        <v>1138</v>
      </c>
      <c r="T219" t="s">
        <v>241</v>
      </c>
    </row>
    <row r="220" spans="1:20" x14ac:dyDescent="0.35">
      <c r="A220" t="s">
        <v>887</v>
      </c>
      <c r="B220" t="s">
        <v>888</v>
      </c>
      <c r="C220" t="s">
        <v>26</v>
      </c>
      <c r="D220" t="s">
        <v>166</v>
      </c>
      <c r="F220">
        <v>0</v>
      </c>
      <c r="G220" t="s">
        <v>166</v>
      </c>
      <c r="H220">
        <v>0</v>
      </c>
      <c r="I220" t="s">
        <v>166</v>
      </c>
      <c r="J220">
        <v>0</v>
      </c>
      <c r="K220" t="s">
        <v>166</v>
      </c>
      <c r="L220">
        <v>0</v>
      </c>
      <c r="M220" t="s">
        <v>166</v>
      </c>
      <c r="N220">
        <v>0</v>
      </c>
      <c r="O220" t="s">
        <v>230</v>
      </c>
      <c r="P220">
        <v>0</v>
      </c>
      <c r="Q220" t="s">
        <v>230</v>
      </c>
      <c r="R220" t="s">
        <v>237</v>
      </c>
      <c r="S220" t="s">
        <v>237</v>
      </c>
      <c r="T220" t="s">
        <v>259</v>
      </c>
    </row>
    <row r="221" spans="1:20" x14ac:dyDescent="0.35">
      <c r="A221" t="s">
        <v>889</v>
      </c>
      <c r="B221" t="s">
        <v>890</v>
      </c>
      <c r="C221" t="s">
        <v>31</v>
      </c>
      <c r="D221" t="s">
        <v>668</v>
      </c>
      <c r="F221">
        <v>0</v>
      </c>
      <c r="G221" t="s">
        <v>668</v>
      </c>
      <c r="H221">
        <v>0</v>
      </c>
      <c r="I221" t="s">
        <v>668</v>
      </c>
      <c r="J221">
        <v>0</v>
      </c>
      <c r="K221" t="s">
        <v>668</v>
      </c>
      <c r="L221">
        <v>0</v>
      </c>
      <c r="M221" t="s">
        <v>230</v>
      </c>
      <c r="N221">
        <v>0</v>
      </c>
      <c r="O221" t="s">
        <v>230</v>
      </c>
      <c r="P221">
        <v>0</v>
      </c>
      <c r="Q221" t="s">
        <v>668</v>
      </c>
      <c r="R221">
        <v>0</v>
      </c>
      <c r="S221" t="s">
        <v>668</v>
      </c>
      <c r="T221" t="s">
        <v>233</v>
      </c>
    </row>
    <row r="222" spans="1:20" x14ac:dyDescent="0.35">
      <c r="A222" t="s">
        <v>891</v>
      </c>
      <c r="B222" t="s">
        <v>892</v>
      </c>
      <c r="C222" t="s">
        <v>349</v>
      </c>
      <c r="D222" t="s">
        <v>893</v>
      </c>
      <c r="F222" t="s">
        <v>231</v>
      </c>
      <c r="G222" t="s">
        <v>183</v>
      </c>
      <c r="H222">
        <v>0</v>
      </c>
      <c r="I222" t="s">
        <v>473</v>
      </c>
      <c r="J222">
        <v>0</v>
      </c>
      <c r="K222" t="s">
        <v>473</v>
      </c>
      <c r="L222">
        <v>0</v>
      </c>
      <c r="M222" t="s">
        <v>473</v>
      </c>
      <c r="N222">
        <v>0</v>
      </c>
      <c r="O222" t="s">
        <v>230</v>
      </c>
      <c r="P222">
        <v>0</v>
      </c>
      <c r="Q222" t="s">
        <v>230</v>
      </c>
      <c r="R222">
        <v>0</v>
      </c>
      <c r="S222" t="s">
        <v>230</v>
      </c>
      <c r="T222" t="s">
        <v>279</v>
      </c>
    </row>
    <row r="223" spans="1:20" x14ac:dyDescent="0.35">
      <c r="A223" t="s">
        <v>894</v>
      </c>
      <c r="B223" t="s">
        <v>895</v>
      </c>
      <c r="C223" t="s">
        <v>19</v>
      </c>
      <c r="D223" t="s">
        <v>129</v>
      </c>
      <c r="F223">
        <v>0</v>
      </c>
      <c r="G223" t="s">
        <v>129</v>
      </c>
      <c r="H223">
        <v>0</v>
      </c>
      <c r="I223" t="s">
        <v>129</v>
      </c>
      <c r="J223">
        <v>0</v>
      </c>
      <c r="K223" t="s">
        <v>129</v>
      </c>
      <c r="L223">
        <v>0</v>
      </c>
      <c r="M223" t="s">
        <v>230</v>
      </c>
      <c r="N223">
        <v>0</v>
      </c>
      <c r="O223" t="s">
        <v>230</v>
      </c>
      <c r="P223">
        <v>0</v>
      </c>
      <c r="Q223" t="s">
        <v>129</v>
      </c>
      <c r="R223">
        <v>0</v>
      </c>
      <c r="S223" t="s">
        <v>129</v>
      </c>
      <c r="T223" t="s">
        <v>259</v>
      </c>
    </row>
    <row r="224" spans="1:20" x14ac:dyDescent="0.35">
      <c r="A224" t="s">
        <v>896</v>
      </c>
      <c r="B224" t="s">
        <v>897</v>
      </c>
      <c r="C224" t="s">
        <v>37</v>
      </c>
      <c r="D224" t="s">
        <v>745</v>
      </c>
      <c r="F224">
        <v>0</v>
      </c>
      <c r="G224" t="s">
        <v>230</v>
      </c>
      <c r="H224">
        <v>0</v>
      </c>
      <c r="I224" t="s">
        <v>745</v>
      </c>
      <c r="J224">
        <v>0</v>
      </c>
      <c r="K224" t="s">
        <v>745</v>
      </c>
      <c r="L224">
        <v>0</v>
      </c>
      <c r="M224" t="s">
        <v>745</v>
      </c>
      <c r="N224">
        <v>0</v>
      </c>
      <c r="O224" t="s">
        <v>745</v>
      </c>
      <c r="P224" t="s">
        <v>391</v>
      </c>
      <c r="Q224" t="s">
        <v>391</v>
      </c>
      <c r="R224">
        <v>0</v>
      </c>
      <c r="S224" t="s">
        <v>230</v>
      </c>
      <c r="T224" t="s">
        <v>233</v>
      </c>
    </row>
    <row r="225" spans="1:20" x14ac:dyDescent="0.35">
      <c r="A225" t="s">
        <v>898</v>
      </c>
      <c r="B225" t="s">
        <v>899</v>
      </c>
      <c r="C225" t="s">
        <v>37</v>
      </c>
      <c r="D225" t="s">
        <v>900</v>
      </c>
      <c r="F225" t="s">
        <v>237</v>
      </c>
      <c r="G225" t="s">
        <v>237</v>
      </c>
      <c r="H225">
        <v>0</v>
      </c>
      <c r="I225" t="s">
        <v>757</v>
      </c>
      <c r="J225">
        <v>0</v>
      </c>
      <c r="K225" t="s">
        <v>757</v>
      </c>
      <c r="L225">
        <v>0</v>
      </c>
      <c r="M225" t="s">
        <v>514</v>
      </c>
      <c r="N225">
        <v>0</v>
      </c>
      <c r="O225" t="s">
        <v>230</v>
      </c>
      <c r="P225">
        <v>0</v>
      </c>
      <c r="Q225" t="s">
        <v>230</v>
      </c>
      <c r="R225">
        <v>0</v>
      </c>
      <c r="S225" t="s">
        <v>379</v>
      </c>
      <c r="T225" t="s">
        <v>233</v>
      </c>
    </row>
    <row r="226" spans="1:20" x14ac:dyDescent="0.35">
      <c r="A226" t="s">
        <v>901</v>
      </c>
      <c r="B226" t="s">
        <v>902</v>
      </c>
      <c r="C226" t="s">
        <v>44</v>
      </c>
      <c r="D226" t="s">
        <v>496</v>
      </c>
      <c r="F226">
        <v>0</v>
      </c>
      <c r="G226" t="s">
        <v>496</v>
      </c>
      <c r="H226">
        <v>0</v>
      </c>
      <c r="I226" t="s">
        <v>496</v>
      </c>
      <c r="J226" t="s">
        <v>245</v>
      </c>
      <c r="K226" t="s">
        <v>245</v>
      </c>
      <c r="L226">
        <v>0</v>
      </c>
      <c r="M226" t="s">
        <v>230</v>
      </c>
      <c r="N226">
        <v>0</v>
      </c>
      <c r="O226" t="s">
        <v>230</v>
      </c>
      <c r="P226" t="s">
        <v>245</v>
      </c>
      <c r="Q226" t="s">
        <v>245</v>
      </c>
      <c r="R226">
        <v>0</v>
      </c>
      <c r="S226" t="s">
        <v>496</v>
      </c>
      <c r="T226" t="s">
        <v>233</v>
      </c>
    </row>
    <row r="227" spans="1:20" x14ac:dyDescent="0.35">
      <c r="A227" t="s">
        <v>903</v>
      </c>
      <c r="B227" t="s">
        <v>904</v>
      </c>
      <c r="C227" t="s">
        <v>5</v>
      </c>
      <c r="D227" t="s">
        <v>143</v>
      </c>
      <c r="F227">
        <v>0</v>
      </c>
      <c r="G227" t="s">
        <v>143</v>
      </c>
      <c r="H227">
        <v>0</v>
      </c>
      <c r="I227" t="s">
        <v>143</v>
      </c>
      <c r="J227">
        <v>0</v>
      </c>
      <c r="K227" t="s">
        <v>230</v>
      </c>
      <c r="L227">
        <v>0</v>
      </c>
      <c r="M227" t="s">
        <v>230</v>
      </c>
      <c r="N227">
        <v>0</v>
      </c>
      <c r="O227" t="s">
        <v>143</v>
      </c>
      <c r="P227">
        <v>0</v>
      </c>
      <c r="Q227" t="s">
        <v>143</v>
      </c>
      <c r="R227">
        <v>0</v>
      </c>
      <c r="S227" t="s">
        <v>143</v>
      </c>
      <c r="T227" t="s">
        <v>259</v>
      </c>
    </row>
    <row r="228" spans="1:20" x14ac:dyDescent="0.35">
      <c r="A228" t="s">
        <v>905</v>
      </c>
      <c r="B228" t="s">
        <v>906</v>
      </c>
      <c r="C228" t="s">
        <v>13</v>
      </c>
      <c r="D228" t="s">
        <v>771</v>
      </c>
      <c r="F228">
        <v>0</v>
      </c>
      <c r="G228" t="s">
        <v>230</v>
      </c>
      <c r="H228">
        <v>0</v>
      </c>
      <c r="I228" t="s">
        <v>230</v>
      </c>
      <c r="J228">
        <v>0</v>
      </c>
      <c r="K228" t="s">
        <v>71</v>
      </c>
      <c r="L228">
        <v>0</v>
      </c>
      <c r="M228" t="s">
        <v>83</v>
      </c>
      <c r="N228">
        <v>0</v>
      </c>
      <c r="O228" t="s">
        <v>144</v>
      </c>
      <c r="P228">
        <v>0</v>
      </c>
      <c r="Q228" t="s">
        <v>153</v>
      </c>
      <c r="R228">
        <v>0</v>
      </c>
      <c r="S228" t="s">
        <v>240</v>
      </c>
      <c r="T228" t="s">
        <v>206</v>
      </c>
    </row>
    <row r="229" spans="1:20" x14ac:dyDescent="0.35">
      <c r="A229" t="s">
        <v>907</v>
      </c>
      <c r="B229" t="s">
        <v>908</v>
      </c>
      <c r="C229" t="s">
        <v>31</v>
      </c>
      <c r="D229" t="s">
        <v>438</v>
      </c>
      <c r="F229">
        <v>0</v>
      </c>
      <c r="G229" t="s">
        <v>230</v>
      </c>
      <c r="H229">
        <v>0</v>
      </c>
      <c r="I229" t="s">
        <v>230</v>
      </c>
      <c r="J229">
        <v>0</v>
      </c>
      <c r="K229" t="s">
        <v>438</v>
      </c>
      <c r="L229">
        <v>0</v>
      </c>
      <c r="M229" t="s">
        <v>438</v>
      </c>
      <c r="N229">
        <v>0</v>
      </c>
      <c r="O229" t="s">
        <v>438</v>
      </c>
      <c r="P229">
        <v>0</v>
      </c>
      <c r="Q229" t="s">
        <v>438</v>
      </c>
      <c r="R229">
        <v>0</v>
      </c>
      <c r="S229" t="s">
        <v>438</v>
      </c>
      <c r="T229" t="s">
        <v>233</v>
      </c>
    </row>
    <row r="230" spans="1:20" x14ac:dyDescent="0.35">
      <c r="A230" t="s">
        <v>909</v>
      </c>
      <c r="B230" t="s">
        <v>910</v>
      </c>
      <c r="C230" t="s">
        <v>31</v>
      </c>
      <c r="D230" t="s">
        <v>911</v>
      </c>
      <c r="F230">
        <v>0</v>
      </c>
      <c r="G230" t="s">
        <v>230</v>
      </c>
      <c r="H230" t="s">
        <v>221</v>
      </c>
      <c r="I230" t="s">
        <v>415</v>
      </c>
      <c r="J230" t="s">
        <v>706</v>
      </c>
      <c r="K230" t="s">
        <v>706</v>
      </c>
      <c r="L230">
        <v>0</v>
      </c>
      <c r="M230" t="s">
        <v>911</v>
      </c>
      <c r="N230">
        <v>0</v>
      </c>
      <c r="O230" t="s">
        <v>911</v>
      </c>
      <c r="P230">
        <v>0</v>
      </c>
      <c r="Q230" t="s">
        <v>911</v>
      </c>
      <c r="R230">
        <v>0</v>
      </c>
      <c r="S230" t="s">
        <v>911</v>
      </c>
      <c r="T230" t="s">
        <v>233</v>
      </c>
    </row>
    <row r="231" spans="1:20" x14ac:dyDescent="0.35">
      <c r="A231" t="s">
        <v>912</v>
      </c>
      <c r="B231" t="s">
        <v>913</v>
      </c>
      <c r="C231" t="s">
        <v>276</v>
      </c>
      <c r="D231" t="s">
        <v>914</v>
      </c>
      <c r="F231">
        <v>0</v>
      </c>
      <c r="G231" t="s">
        <v>230</v>
      </c>
      <c r="H231">
        <v>0</v>
      </c>
      <c r="I231" t="s">
        <v>230</v>
      </c>
      <c r="J231">
        <v>0</v>
      </c>
      <c r="K231" t="s">
        <v>230</v>
      </c>
      <c r="L231">
        <v>0</v>
      </c>
      <c r="M231" t="s">
        <v>230</v>
      </c>
      <c r="N231" t="s">
        <v>288</v>
      </c>
      <c r="O231" t="s">
        <v>288</v>
      </c>
      <c r="P231" t="s">
        <v>288</v>
      </c>
      <c r="Q231" t="s">
        <v>288</v>
      </c>
      <c r="R231" t="s">
        <v>288</v>
      </c>
      <c r="S231" t="s">
        <v>288</v>
      </c>
      <c r="T231" t="s">
        <v>279</v>
      </c>
    </row>
    <row r="232" spans="1:20" x14ac:dyDescent="0.35">
      <c r="A232" t="s">
        <v>915</v>
      </c>
      <c r="B232" t="s">
        <v>916</v>
      </c>
      <c r="C232" t="s">
        <v>19</v>
      </c>
      <c r="D232" t="s">
        <v>134</v>
      </c>
      <c r="F232">
        <v>0</v>
      </c>
      <c r="G232" t="s">
        <v>134</v>
      </c>
      <c r="H232">
        <v>0</v>
      </c>
      <c r="I232" t="s">
        <v>230</v>
      </c>
      <c r="J232">
        <v>0</v>
      </c>
      <c r="K232" t="s">
        <v>230</v>
      </c>
      <c r="L232">
        <v>0</v>
      </c>
      <c r="M232" t="s">
        <v>134</v>
      </c>
      <c r="N232">
        <v>0</v>
      </c>
      <c r="O232" t="s">
        <v>134</v>
      </c>
      <c r="P232">
        <v>0</v>
      </c>
      <c r="Q232" t="s">
        <v>134</v>
      </c>
      <c r="R232">
        <v>0</v>
      </c>
      <c r="S232" t="s">
        <v>134</v>
      </c>
      <c r="T232" t="s">
        <v>259</v>
      </c>
    </row>
    <row r="233" spans="1:20" x14ac:dyDescent="0.35">
      <c r="A233" t="s">
        <v>917</v>
      </c>
      <c r="B233" t="s">
        <v>918</v>
      </c>
      <c r="C233" t="s">
        <v>462</v>
      </c>
      <c r="D233" t="s">
        <v>919</v>
      </c>
      <c r="F233" t="s">
        <v>216</v>
      </c>
      <c r="G233" t="s">
        <v>216</v>
      </c>
      <c r="H233">
        <v>0</v>
      </c>
      <c r="I233" t="s">
        <v>187</v>
      </c>
      <c r="J233">
        <v>0</v>
      </c>
      <c r="K233" t="s">
        <v>187</v>
      </c>
      <c r="L233">
        <v>0</v>
      </c>
      <c r="M233" t="s">
        <v>187</v>
      </c>
      <c r="N233">
        <v>0</v>
      </c>
      <c r="O233" t="s">
        <v>230</v>
      </c>
      <c r="P233">
        <v>0</v>
      </c>
      <c r="Q233" t="s">
        <v>230</v>
      </c>
      <c r="R233">
        <v>0</v>
      </c>
      <c r="S233" t="s">
        <v>230</v>
      </c>
      <c r="T233" t="s">
        <v>204</v>
      </c>
    </row>
    <row r="234" spans="1:20" x14ac:dyDescent="0.35">
      <c r="A234" t="s">
        <v>920</v>
      </c>
      <c r="B234" t="s">
        <v>921</v>
      </c>
      <c r="C234" t="s">
        <v>267</v>
      </c>
      <c r="D234" t="s">
        <v>922</v>
      </c>
      <c r="F234">
        <v>0</v>
      </c>
      <c r="G234" t="s">
        <v>181</v>
      </c>
      <c r="H234">
        <v>0</v>
      </c>
      <c r="I234" t="s">
        <v>181</v>
      </c>
      <c r="J234" t="s">
        <v>391</v>
      </c>
      <c r="K234" t="s">
        <v>391</v>
      </c>
      <c r="L234" t="s">
        <v>391</v>
      </c>
      <c r="M234" t="s">
        <v>391</v>
      </c>
      <c r="N234">
        <v>0</v>
      </c>
      <c r="O234" t="s">
        <v>230</v>
      </c>
      <c r="P234">
        <v>0</v>
      </c>
      <c r="Q234" t="s">
        <v>230</v>
      </c>
      <c r="R234">
        <v>0</v>
      </c>
      <c r="S234" t="s">
        <v>230</v>
      </c>
      <c r="T234" t="s">
        <v>204</v>
      </c>
    </row>
    <row r="235" spans="1:20" x14ac:dyDescent="0.35">
      <c r="A235" t="s">
        <v>923</v>
      </c>
      <c r="B235" t="s">
        <v>924</v>
      </c>
      <c r="C235" t="s">
        <v>19</v>
      </c>
      <c r="D235" t="s">
        <v>159</v>
      </c>
      <c r="F235">
        <v>0</v>
      </c>
      <c r="G235" t="s">
        <v>159</v>
      </c>
      <c r="H235">
        <v>0</v>
      </c>
      <c r="I235" t="s">
        <v>159</v>
      </c>
      <c r="J235" t="s">
        <v>354</v>
      </c>
      <c r="K235" t="s">
        <v>354</v>
      </c>
      <c r="L235">
        <v>0</v>
      </c>
      <c r="M235" t="s">
        <v>230</v>
      </c>
      <c r="N235">
        <v>0</v>
      </c>
      <c r="O235" t="s">
        <v>230</v>
      </c>
      <c r="P235">
        <v>0</v>
      </c>
      <c r="Q235" t="s">
        <v>159</v>
      </c>
      <c r="R235">
        <v>0</v>
      </c>
      <c r="S235" t="s">
        <v>159</v>
      </c>
      <c r="T235" t="s">
        <v>259</v>
      </c>
    </row>
    <row r="236" spans="1:20" x14ac:dyDescent="0.35">
      <c r="A236" t="s">
        <v>925</v>
      </c>
      <c r="B236" t="s">
        <v>926</v>
      </c>
      <c r="C236" t="s">
        <v>267</v>
      </c>
      <c r="D236" t="s">
        <v>927</v>
      </c>
      <c r="F236">
        <v>0</v>
      </c>
      <c r="G236" t="s">
        <v>230</v>
      </c>
      <c r="H236">
        <v>0</v>
      </c>
      <c r="I236" t="s">
        <v>230</v>
      </c>
      <c r="J236">
        <v>0</v>
      </c>
      <c r="K236" t="s">
        <v>230</v>
      </c>
      <c r="L236">
        <v>0</v>
      </c>
      <c r="M236" t="s">
        <v>230</v>
      </c>
      <c r="N236" t="s">
        <v>245</v>
      </c>
      <c r="O236" t="s">
        <v>245</v>
      </c>
      <c r="P236" t="s">
        <v>245</v>
      </c>
      <c r="Q236" t="s">
        <v>245</v>
      </c>
      <c r="R236" t="s">
        <v>245</v>
      </c>
      <c r="S236" t="s">
        <v>245</v>
      </c>
      <c r="T236" t="s">
        <v>204</v>
      </c>
    </row>
    <row r="237" spans="1:20" x14ac:dyDescent="0.35">
      <c r="A237" t="s">
        <v>928</v>
      </c>
      <c r="B237" t="s">
        <v>929</v>
      </c>
      <c r="C237" t="s">
        <v>26</v>
      </c>
      <c r="D237" t="s">
        <v>141</v>
      </c>
      <c r="E237" t="s">
        <v>930</v>
      </c>
      <c r="F237" t="s">
        <v>556</v>
      </c>
      <c r="G237" t="s">
        <v>556</v>
      </c>
      <c r="H237" t="s">
        <v>297</v>
      </c>
      <c r="I237" t="s">
        <v>115</v>
      </c>
      <c r="J237" t="s">
        <v>297</v>
      </c>
      <c r="K237" t="s">
        <v>141</v>
      </c>
      <c r="L237" t="s">
        <v>297</v>
      </c>
      <c r="M237" t="s">
        <v>141</v>
      </c>
      <c r="N237" t="s">
        <v>297</v>
      </c>
      <c r="O237" t="s">
        <v>166</v>
      </c>
      <c r="P237" t="s">
        <v>297</v>
      </c>
      <c r="Q237" t="s">
        <v>230</v>
      </c>
      <c r="R237" t="s">
        <v>297</v>
      </c>
      <c r="S237" t="s">
        <v>230</v>
      </c>
      <c r="T237" t="s">
        <v>259</v>
      </c>
    </row>
    <row r="238" spans="1:20" x14ac:dyDescent="0.35">
      <c r="A238" t="s">
        <v>931</v>
      </c>
      <c r="B238" t="s">
        <v>932</v>
      </c>
      <c r="C238" t="s">
        <v>57</v>
      </c>
      <c r="D238" t="s">
        <v>650</v>
      </c>
      <c r="F238">
        <v>0</v>
      </c>
      <c r="G238" t="s">
        <v>230</v>
      </c>
      <c r="H238">
        <v>0</v>
      </c>
      <c r="I238" t="s">
        <v>933</v>
      </c>
      <c r="J238">
        <v>0</v>
      </c>
      <c r="K238" t="s">
        <v>933</v>
      </c>
      <c r="L238">
        <v>0</v>
      </c>
      <c r="M238" t="s">
        <v>933</v>
      </c>
      <c r="N238">
        <v>0</v>
      </c>
      <c r="O238" t="s">
        <v>230</v>
      </c>
      <c r="P238">
        <v>0</v>
      </c>
      <c r="Q238" t="s">
        <v>934</v>
      </c>
      <c r="R238">
        <v>0</v>
      </c>
      <c r="S238" t="s">
        <v>934</v>
      </c>
      <c r="T238" t="s">
        <v>208</v>
      </c>
    </row>
    <row r="239" spans="1:20" x14ac:dyDescent="0.35">
      <c r="A239" t="s">
        <v>935</v>
      </c>
      <c r="B239" t="s">
        <v>936</v>
      </c>
      <c r="C239" t="s">
        <v>37</v>
      </c>
      <c r="D239" t="s">
        <v>513</v>
      </c>
      <c r="F239">
        <v>0</v>
      </c>
      <c r="G239" t="s">
        <v>513</v>
      </c>
      <c r="H239">
        <v>0</v>
      </c>
      <c r="I239" t="s">
        <v>513</v>
      </c>
      <c r="J239">
        <v>0</v>
      </c>
      <c r="K239" t="s">
        <v>513</v>
      </c>
      <c r="L239">
        <v>0</v>
      </c>
      <c r="M239" t="s">
        <v>230</v>
      </c>
      <c r="N239">
        <v>0</v>
      </c>
      <c r="O239" t="s">
        <v>230</v>
      </c>
      <c r="P239">
        <v>0</v>
      </c>
      <c r="Q239" t="s">
        <v>513</v>
      </c>
      <c r="R239">
        <v>0</v>
      </c>
      <c r="S239" t="s">
        <v>513</v>
      </c>
      <c r="T239" t="s">
        <v>233</v>
      </c>
    </row>
    <row r="240" spans="1:20" x14ac:dyDescent="0.35">
      <c r="A240" t="s">
        <v>937</v>
      </c>
      <c r="B240" t="s">
        <v>938</v>
      </c>
      <c r="C240" t="s">
        <v>37</v>
      </c>
      <c r="D240" t="s">
        <v>516</v>
      </c>
      <c r="F240">
        <v>0</v>
      </c>
      <c r="G240" t="s">
        <v>516</v>
      </c>
      <c r="H240" t="s">
        <v>245</v>
      </c>
      <c r="I240" t="s">
        <v>245</v>
      </c>
      <c r="J240">
        <v>0</v>
      </c>
      <c r="K240" t="s">
        <v>516</v>
      </c>
      <c r="L240">
        <v>0</v>
      </c>
      <c r="M240" t="s">
        <v>516</v>
      </c>
      <c r="N240">
        <v>0</v>
      </c>
      <c r="O240" t="s">
        <v>516</v>
      </c>
      <c r="P240">
        <v>0</v>
      </c>
      <c r="Q240" t="s">
        <v>230</v>
      </c>
      <c r="R240">
        <v>0</v>
      </c>
      <c r="S240" t="s">
        <v>230</v>
      </c>
      <c r="T240" t="s">
        <v>233</v>
      </c>
    </row>
    <row r="241" spans="1:20" x14ac:dyDescent="0.35">
      <c r="A241" t="s">
        <v>939</v>
      </c>
      <c r="B241" t="s">
        <v>940</v>
      </c>
      <c r="C241" t="s">
        <v>340</v>
      </c>
      <c r="D241" t="s">
        <v>941</v>
      </c>
      <c r="F241">
        <v>0</v>
      </c>
      <c r="G241" t="s">
        <v>505</v>
      </c>
      <c r="H241">
        <v>0</v>
      </c>
      <c r="I241" t="s">
        <v>505</v>
      </c>
      <c r="J241">
        <v>0</v>
      </c>
      <c r="K241" t="s">
        <v>505</v>
      </c>
      <c r="L241">
        <v>0</v>
      </c>
      <c r="M241" t="s">
        <v>505</v>
      </c>
      <c r="N241">
        <v>0</v>
      </c>
      <c r="O241" t="s">
        <v>230</v>
      </c>
      <c r="P241">
        <v>0</v>
      </c>
      <c r="Q241" t="s">
        <v>230</v>
      </c>
      <c r="R241">
        <v>0</v>
      </c>
      <c r="S241" t="s">
        <v>230</v>
      </c>
      <c r="T241" t="s">
        <v>279</v>
      </c>
    </row>
    <row r="242" spans="1:20" x14ac:dyDescent="0.35">
      <c r="A242" t="s">
        <v>942</v>
      </c>
      <c r="B242" t="s">
        <v>943</v>
      </c>
      <c r="C242" t="s">
        <v>44</v>
      </c>
      <c r="D242" t="s">
        <v>944</v>
      </c>
      <c r="F242">
        <v>0</v>
      </c>
      <c r="G242" t="s">
        <v>230</v>
      </c>
      <c r="H242">
        <v>0</v>
      </c>
      <c r="I242" t="s">
        <v>238</v>
      </c>
      <c r="J242">
        <v>0</v>
      </c>
      <c r="K242" t="s">
        <v>238</v>
      </c>
      <c r="L242">
        <v>0</v>
      </c>
      <c r="M242" t="s">
        <v>716</v>
      </c>
      <c r="N242">
        <v>0</v>
      </c>
      <c r="O242" t="s">
        <v>716</v>
      </c>
      <c r="P242">
        <v>0</v>
      </c>
      <c r="Q242" t="s">
        <v>394</v>
      </c>
      <c r="R242">
        <v>0</v>
      </c>
      <c r="S242" t="s">
        <v>230</v>
      </c>
      <c r="T242" t="s">
        <v>233</v>
      </c>
    </row>
    <row r="243" spans="1:20" x14ac:dyDescent="0.35">
      <c r="A243" t="s">
        <v>945</v>
      </c>
      <c r="B243" t="s">
        <v>946</v>
      </c>
      <c r="C243" t="s">
        <v>13</v>
      </c>
      <c r="D243" t="s">
        <v>771</v>
      </c>
      <c r="F243">
        <v>0</v>
      </c>
      <c r="G243" t="s">
        <v>230</v>
      </c>
      <c r="H243" t="s">
        <v>221</v>
      </c>
      <c r="I243" t="s">
        <v>406</v>
      </c>
      <c r="J243">
        <v>0</v>
      </c>
      <c r="K243" t="s">
        <v>159</v>
      </c>
      <c r="L243">
        <v>0</v>
      </c>
      <c r="M243" t="s">
        <v>495</v>
      </c>
      <c r="N243">
        <v>0</v>
      </c>
      <c r="O243" t="s">
        <v>159</v>
      </c>
      <c r="P243">
        <v>0</v>
      </c>
      <c r="Q243" t="s">
        <v>240</v>
      </c>
      <c r="R243">
        <v>0</v>
      </c>
      <c r="S243" t="s">
        <v>101</v>
      </c>
      <c r="T243" t="s">
        <v>206</v>
      </c>
    </row>
    <row r="244" spans="1:20" x14ac:dyDescent="0.35">
      <c r="A244" t="s">
        <v>947</v>
      </c>
      <c r="B244" t="s">
        <v>948</v>
      </c>
      <c r="C244" t="s">
        <v>12</v>
      </c>
      <c r="D244" t="s">
        <v>244</v>
      </c>
      <c r="F244">
        <v>0</v>
      </c>
      <c r="G244" t="s">
        <v>124</v>
      </c>
      <c r="H244">
        <v>0</v>
      </c>
      <c r="I244" t="s">
        <v>149</v>
      </c>
      <c r="J244">
        <v>0</v>
      </c>
      <c r="K244" t="s">
        <v>149</v>
      </c>
      <c r="L244">
        <v>0</v>
      </c>
      <c r="M244" t="s">
        <v>240</v>
      </c>
      <c r="N244">
        <v>0</v>
      </c>
      <c r="O244" t="s">
        <v>230</v>
      </c>
      <c r="P244">
        <v>0</v>
      </c>
      <c r="Q244" t="s">
        <v>230</v>
      </c>
      <c r="R244">
        <v>0</v>
      </c>
      <c r="S244" t="s">
        <v>240</v>
      </c>
      <c r="T244" t="s">
        <v>206</v>
      </c>
    </row>
    <row r="245" spans="1:20" x14ac:dyDescent="0.35">
      <c r="A245" t="s">
        <v>949</v>
      </c>
      <c r="B245" t="s">
        <v>950</v>
      </c>
      <c r="C245" t="s">
        <v>951</v>
      </c>
      <c r="D245" t="s">
        <v>952</v>
      </c>
      <c r="F245">
        <v>0</v>
      </c>
      <c r="G245" t="s">
        <v>230</v>
      </c>
      <c r="H245">
        <v>0</v>
      </c>
      <c r="I245" t="s">
        <v>230</v>
      </c>
      <c r="J245">
        <v>0</v>
      </c>
      <c r="K245" t="s">
        <v>152</v>
      </c>
      <c r="L245">
        <v>0</v>
      </c>
      <c r="M245" t="s">
        <v>153</v>
      </c>
      <c r="N245">
        <v>0</v>
      </c>
      <c r="O245" t="s">
        <v>154</v>
      </c>
      <c r="P245">
        <v>0</v>
      </c>
      <c r="Q245" t="s">
        <v>151</v>
      </c>
      <c r="R245">
        <v>0</v>
      </c>
      <c r="S245" t="s">
        <v>154</v>
      </c>
      <c r="T245" t="s">
        <v>259</v>
      </c>
    </row>
    <row r="246" spans="1:20" x14ac:dyDescent="0.35">
      <c r="A246" t="s">
        <v>953</v>
      </c>
      <c r="B246" t="s">
        <v>954</v>
      </c>
      <c r="C246" t="s">
        <v>5</v>
      </c>
      <c r="D246" t="s">
        <v>124</v>
      </c>
      <c r="F246" t="s">
        <v>797</v>
      </c>
      <c r="G246" t="s">
        <v>175</v>
      </c>
      <c r="H246">
        <v>0</v>
      </c>
      <c r="I246" t="s">
        <v>230</v>
      </c>
      <c r="J246">
        <v>0</v>
      </c>
      <c r="K246" t="s">
        <v>230</v>
      </c>
      <c r="L246" t="s">
        <v>797</v>
      </c>
      <c r="M246" t="s">
        <v>77</v>
      </c>
      <c r="N246">
        <v>0</v>
      </c>
      <c r="O246" t="s">
        <v>124</v>
      </c>
      <c r="P246">
        <v>0</v>
      </c>
      <c r="Q246" t="s">
        <v>124</v>
      </c>
      <c r="R246">
        <v>0</v>
      </c>
      <c r="S246" t="s">
        <v>124</v>
      </c>
      <c r="T246" t="s">
        <v>259</v>
      </c>
    </row>
    <row r="247" spans="1:20" x14ac:dyDescent="0.35">
      <c r="A247" t="s">
        <v>955</v>
      </c>
      <c r="B247" t="s">
        <v>956</v>
      </c>
      <c r="C247" t="s">
        <v>26</v>
      </c>
      <c r="D247" t="s">
        <v>140</v>
      </c>
      <c r="F247">
        <v>0</v>
      </c>
      <c r="G247" t="s">
        <v>140</v>
      </c>
      <c r="H247">
        <v>0</v>
      </c>
      <c r="I247" t="s">
        <v>140</v>
      </c>
      <c r="J247">
        <v>0</v>
      </c>
      <c r="K247" t="s">
        <v>140</v>
      </c>
      <c r="L247" t="s">
        <v>231</v>
      </c>
      <c r="M247" t="s">
        <v>118</v>
      </c>
      <c r="N247">
        <v>0</v>
      </c>
      <c r="O247" t="s">
        <v>140</v>
      </c>
      <c r="P247" t="s">
        <v>221</v>
      </c>
      <c r="Q247" t="s">
        <v>140</v>
      </c>
      <c r="R247">
        <v>0</v>
      </c>
      <c r="S247" t="s">
        <v>230</v>
      </c>
      <c r="T247" t="s">
        <v>259</v>
      </c>
    </row>
    <row r="248" spans="1:20" x14ac:dyDescent="0.35">
      <c r="A248" t="s">
        <v>957</v>
      </c>
      <c r="B248" t="s">
        <v>958</v>
      </c>
      <c r="C248" t="s">
        <v>19</v>
      </c>
      <c r="D248" t="s">
        <v>959</v>
      </c>
      <c r="F248" t="s">
        <v>216</v>
      </c>
      <c r="G248" t="s">
        <v>216</v>
      </c>
      <c r="H248" t="s">
        <v>216</v>
      </c>
      <c r="I248" t="s">
        <v>216</v>
      </c>
      <c r="J248" t="s">
        <v>216</v>
      </c>
      <c r="K248" t="s">
        <v>216</v>
      </c>
      <c r="L248" t="s">
        <v>216</v>
      </c>
      <c r="M248" t="s">
        <v>216</v>
      </c>
      <c r="N248">
        <v>0</v>
      </c>
      <c r="O248" t="s">
        <v>230</v>
      </c>
      <c r="P248">
        <v>0</v>
      </c>
      <c r="Q248" t="s">
        <v>230</v>
      </c>
      <c r="R248" t="s">
        <v>216</v>
      </c>
      <c r="S248" t="s">
        <v>216</v>
      </c>
      <c r="T248" t="s">
        <v>259</v>
      </c>
    </row>
    <row r="249" spans="1:20" x14ac:dyDescent="0.35">
      <c r="A249" t="s">
        <v>960</v>
      </c>
      <c r="B249" t="s">
        <v>961</v>
      </c>
      <c r="C249" t="s">
        <v>16</v>
      </c>
      <c r="D249" t="s">
        <v>494</v>
      </c>
      <c r="F249">
        <v>0</v>
      </c>
      <c r="G249" t="s">
        <v>240</v>
      </c>
      <c r="H249">
        <v>0</v>
      </c>
      <c r="I249" t="s">
        <v>497</v>
      </c>
      <c r="J249">
        <v>0</v>
      </c>
      <c r="K249" t="s">
        <v>230</v>
      </c>
      <c r="L249">
        <v>0</v>
      </c>
      <c r="M249" t="s">
        <v>230</v>
      </c>
      <c r="N249">
        <v>0</v>
      </c>
      <c r="O249" t="s">
        <v>240</v>
      </c>
      <c r="P249">
        <v>0</v>
      </c>
      <c r="Q249" t="s">
        <v>495</v>
      </c>
      <c r="R249">
        <v>0</v>
      </c>
      <c r="S249" t="s">
        <v>282</v>
      </c>
      <c r="T249" t="s">
        <v>241</v>
      </c>
    </row>
    <row r="250" spans="1:20" x14ac:dyDescent="0.35">
      <c r="A250" t="s">
        <v>962</v>
      </c>
      <c r="B250" t="s">
        <v>963</v>
      </c>
      <c r="C250" t="s">
        <v>262</v>
      </c>
      <c r="D250" t="s">
        <v>964</v>
      </c>
      <c r="F250">
        <v>0</v>
      </c>
      <c r="G250" t="s">
        <v>230</v>
      </c>
      <c r="H250">
        <v>0</v>
      </c>
      <c r="I250" t="s">
        <v>230</v>
      </c>
      <c r="J250">
        <v>0</v>
      </c>
      <c r="K250" t="s">
        <v>230</v>
      </c>
      <c r="L250">
        <v>0</v>
      </c>
      <c r="M250" t="s">
        <v>230</v>
      </c>
      <c r="N250" t="s">
        <v>354</v>
      </c>
      <c r="O250" t="s">
        <v>354</v>
      </c>
      <c r="P250">
        <v>0</v>
      </c>
      <c r="Q250" t="s">
        <v>173</v>
      </c>
      <c r="R250">
        <v>0</v>
      </c>
      <c r="S250" t="s">
        <v>173</v>
      </c>
      <c r="T250" t="s">
        <v>204</v>
      </c>
    </row>
    <row r="251" spans="1:20" x14ac:dyDescent="0.35">
      <c r="A251" t="s">
        <v>965</v>
      </c>
      <c r="B251" t="s">
        <v>966</v>
      </c>
      <c r="C251" t="s">
        <v>19</v>
      </c>
      <c r="D251" t="s">
        <v>153</v>
      </c>
      <c r="F251">
        <v>0</v>
      </c>
      <c r="G251" t="s">
        <v>153</v>
      </c>
      <c r="H251">
        <v>0</v>
      </c>
      <c r="I251" t="s">
        <v>153</v>
      </c>
      <c r="J251">
        <v>0</v>
      </c>
      <c r="K251" t="s">
        <v>153</v>
      </c>
      <c r="L251">
        <v>0</v>
      </c>
      <c r="M251" t="s">
        <v>230</v>
      </c>
      <c r="N251">
        <v>0</v>
      </c>
      <c r="O251" t="s">
        <v>230</v>
      </c>
      <c r="P251">
        <v>0</v>
      </c>
      <c r="Q251" t="s">
        <v>230</v>
      </c>
      <c r="R251" t="s">
        <v>1137</v>
      </c>
      <c r="S251" t="s">
        <v>1137</v>
      </c>
      <c r="T251" t="s">
        <v>259</v>
      </c>
    </row>
    <row r="252" spans="1:20" x14ac:dyDescent="0.35">
      <c r="A252" t="s">
        <v>967</v>
      </c>
      <c r="B252" t="s">
        <v>968</v>
      </c>
      <c r="C252" t="s">
        <v>12</v>
      </c>
      <c r="D252" t="s">
        <v>861</v>
      </c>
      <c r="F252">
        <v>0</v>
      </c>
      <c r="G252" t="s">
        <v>969</v>
      </c>
      <c r="H252">
        <v>0</v>
      </c>
      <c r="I252" t="s">
        <v>71</v>
      </c>
      <c r="J252">
        <v>0</v>
      </c>
      <c r="K252" t="s">
        <v>230</v>
      </c>
      <c r="L252">
        <v>0</v>
      </c>
      <c r="M252" t="s">
        <v>230</v>
      </c>
      <c r="N252" t="s">
        <v>1136</v>
      </c>
      <c r="O252" t="s">
        <v>77</v>
      </c>
      <c r="P252">
        <v>0</v>
      </c>
      <c r="Q252" t="s">
        <v>77</v>
      </c>
      <c r="R252">
        <v>0</v>
      </c>
      <c r="S252" t="s">
        <v>970</v>
      </c>
      <c r="T252" t="s">
        <v>206</v>
      </c>
    </row>
    <row r="253" spans="1:20" x14ac:dyDescent="0.35">
      <c r="A253" t="s">
        <v>971</v>
      </c>
      <c r="B253" t="s">
        <v>972</v>
      </c>
      <c r="C253" t="s">
        <v>19</v>
      </c>
      <c r="D253" t="s">
        <v>973</v>
      </c>
      <c r="F253">
        <v>0</v>
      </c>
      <c r="G253" t="s">
        <v>230</v>
      </c>
      <c r="H253">
        <v>0</v>
      </c>
      <c r="I253" t="s">
        <v>91</v>
      </c>
      <c r="J253">
        <v>0</v>
      </c>
      <c r="K253" t="s">
        <v>91</v>
      </c>
      <c r="L253">
        <v>0</v>
      </c>
      <c r="M253" t="s">
        <v>129</v>
      </c>
      <c r="N253">
        <v>0</v>
      </c>
      <c r="O253" t="s">
        <v>129</v>
      </c>
      <c r="P253">
        <v>0</v>
      </c>
      <c r="Q253" t="s">
        <v>154</v>
      </c>
      <c r="R253">
        <v>0</v>
      </c>
      <c r="S253" t="s">
        <v>230</v>
      </c>
      <c r="T253" t="s">
        <v>259</v>
      </c>
    </row>
    <row r="254" spans="1:20" x14ac:dyDescent="0.35">
      <c r="A254" t="s">
        <v>974</v>
      </c>
      <c r="B254" t="s">
        <v>975</v>
      </c>
      <c r="C254" t="s">
        <v>19</v>
      </c>
      <c r="D254" t="s">
        <v>91</v>
      </c>
      <c r="F254">
        <v>0</v>
      </c>
      <c r="G254" t="s">
        <v>91</v>
      </c>
      <c r="H254">
        <v>0</v>
      </c>
      <c r="I254" t="s">
        <v>230</v>
      </c>
      <c r="J254">
        <v>0</v>
      </c>
      <c r="K254" t="s">
        <v>230</v>
      </c>
      <c r="L254">
        <v>0</v>
      </c>
      <c r="M254" t="s">
        <v>91</v>
      </c>
      <c r="N254">
        <v>0</v>
      </c>
      <c r="O254" t="s">
        <v>91</v>
      </c>
      <c r="P254">
        <v>0</v>
      </c>
      <c r="Q254" t="s">
        <v>91</v>
      </c>
      <c r="R254">
        <v>0</v>
      </c>
      <c r="S254" t="s">
        <v>91</v>
      </c>
      <c r="T254" t="s">
        <v>259</v>
      </c>
    </row>
    <row r="255" spans="1:20" x14ac:dyDescent="0.35">
      <c r="A255" t="s">
        <v>976</v>
      </c>
      <c r="B255" t="s">
        <v>977</v>
      </c>
      <c r="C255" t="s">
        <v>19</v>
      </c>
      <c r="D255" t="s">
        <v>131</v>
      </c>
      <c r="F255">
        <v>0</v>
      </c>
      <c r="G255" t="s">
        <v>131</v>
      </c>
      <c r="H255">
        <v>0</v>
      </c>
      <c r="I255" t="s">
        <v>230</v>
      </c>
      <c r="J255">
        <v>0</v>
      </c>
      <c r="K255" t="s">
        <v>230</v>
      </c>
      <c r="L255">
        <v>0</v>
      </c>
      <c r="M255" t="s">
        <v>131</v>
      </c>
      <c r="N255">
        <v>0</v>
      </c>
      <c r="O255" t="s">
        <v>131</v>
      </c>
      <c r="P255" t="s">
        <v>245</v>
      </c>
      <c r="Q255" t="s">
        <v>245</v>
      </c>
      <c r="R255">
        <v>0</v>
      </c>
      <c r="S255" t="s">
        <v>131</v>
      </c>
      <c r="T255" t="s">
        <v>259</v>
      </c>
    </row>
    <row r="256" spans="1:20" x14ac:dyDescent="0.35">
      <c r="A256" t="s">
        <v>978</v>
      </c>
      <c r="B256" t="s">
        <v>979</v>
      </c>
      <c r="C256" t="s">
        <v>44</v>
      </c>
      <c r="D256" t="s">
        <v>360</v>
      </c>
      <c r="F256">
        <v>0</v>
      </c>
      <c r="G256" t="s">
        <v>360</v>
      </c>
      <c r="H256">
        <v>0</v>
      </c>
      <c r="I256" t="s">
        <v>360</v>
      </c>
      <c r="J256" t="s">
        <v>264</v>
      </c>
      <c r="K256" t="s">
        <v>264</v>
      </c>
      <c r="L256">
        <v>0</v>
      </c>
      <c r="M256" t="s">
        <v>230</v>
      </c>
      <c r="N256">
        <v>0</v>
      </c>
      <c r="O256" t="s">
        <v>230</v>
      </c>
      <c r="P256">
        <v>0</v>
      </c>
      <c r="Q256" t="s">
        <v>360</v>
      </c>
      <c r="R256">
        <v>0</v>
      </c>
      <c r="S256" t="s">
        <v>360</v>
      </c>
      <c r="T256" t="s">
        <v>233</v>
      </c>
    </row>
    <row r="257" spans="1:20" x14ac:dyDescent="0.35">
      <c r="A257" t="s">
        <v>980</v>
      </c>
      <c r="B257" t="s">
        <v>981</v>
      </c>
      <c r="C257" t="s">
        <v>13</v>
      </c>
      <c r="D257" t="s">
        <v>293</v>
      </c>
      <c r="F257">
        <v>0</v>
      </c>
      <c r="G257" t="s">
        <v>95</v>
      </c>
      <c r="H257">
        <v>0</v>
      </c>
      <c r="I257" t="s">
        <v>139</v>
      </c>
      <c r="J257">
        <v>0</v>
      </c>
      <c r="K257" t="s">
        <v>154</v>
      </c>
      <c r="L257">
        <v>0</v>
      </c>
      <c r="M257" t="s">
        <v>154</v>
      </c>
      <c r="N257">
        <v>0</v>
      </c>
      <c r="O257" t="s">
        <v>230</v>
      </c>
      <c r="P257">
        <v>0</v>
      </c>
      <c r="Q257" t="s">
        <v>230</v>
      </c>
      <c r="R257">
        <v>0</v>
      </c>
      <c r="S257" t="s">
        <v>982</v>
      </c>
      <c r="T257" t="s">
        <v>206</v>
      </c>
    </row>
    <row r="258" spans="1:20" x14ac:dyDescent="0.35">
      <c r="A258" t="s">
        <v>983</v>
      </c>
      <c r="B258" t="s">
        <v>984</v>
      </c>
      <c r="C258" t="s">
        <v>19</v>
      </c>
      <c r="D258" t="s">
        <v>296</v>
      </c>
      <c r="F258" t="s">
        <v>302</v>
      </c>
      <c r="G258" t="s">
        <v>985</v>
      </c>
      <c r="H258" t="s">
        <v>302</v>
      </c>
      <c r="I258" t="s">
        <v>985</v>
      </c>
      <c r="J258" t="s">
        <v>302</v>
      </c>
      <c r="K258" t="s">
        <v>985</v>
      </c>
      <c r="L258" t="s">
        <v>237</v>
      </c>
      <c r="M258" t="s">
        <v>237</v>
      </c>
      <c r="N258" t="s">
        <v>302</v>
      </c>
      <c r="O258" t="s">
        <v>230</v>
      </c>
      <c r="P258" t="s">
        <v>302</v>
      </c>
      <c r="Q258" t="s">
        <v>230</v>
      </c>
      <c r="R258" t="s">
        <v>237</v>
      </c>
      <c r="S258" t="s">
        <v>237</v>
      </c>
      <c r="T258" t="s">
        <v>259</v>
      </c>
    </row>
    <row r="259" spans="1:20" x14ac:dyDescent="0.35">
      <c r="A259" t="s">
        <v>986</v>
      </c>
      <c r="B259" t="s">
        <v>987</v>
      </c>
      <c r="C259" t="s">
        <v>37</v>
      </c>
      <c r="D259" t="s">
        <v>988</v>
      </c>
      <c r="F259">
        <v>0</v>
      </c>
      <c r="G259" t="s">
        <v>230</v>
      </c>
      <c r="H259">
        <v>0</v>
      </c>
      <c r="I259" t="s">
        <v>239</v>
      </c>
      <c r="J259" t="s">
        <v>245</v>
      </c>
      <c r="K259" t="s">
        <v>245</v>
      </c>
      <c r="L259" t="s">
        <v>231</v>
      </c>
      <c r="M259" t="s">
        <v>580</v>
      </c>
      <c r="N259">
        <v>0</v>
      </c>
      <c r="O259" t="s">
        <v>254</v>
      </c>
      <c r="P259">
        <v>0</v>
      </c>
      <c r="Q259" t="s">
        <v>516</v>
      </c>
      <c r="R259">
        <v>0</v>
      </c>
      <c r="S259" t="s">
        <v>230</v>
      </c>
      <c r="T259" t="s">
        <v>233</v>
      </c>
    </row>
    <row r="260" spans="1:20" x14ac:dyDescent="0.35">
      <c r="A260" t="s">
        <v>989</v>
      </c>
      <c r="B260" t="s">
        <v>990</v>
      </c>
      <c r="C260" t="s">
        <v>17</v>
      </c>
      <c r="D260" t="s">
        <v>400</v>
      </c>
      <c r="F260">
        <v>0</v>
      </c>
      <c r="G260" t="s">
        <v>230</v>
      </c>
      <c r="H260">
        <v>0</v>
      </c>
      <c r="I260" t="s">
        <v>230</v>
      </c>
      <c r="J260">
        <v>0</v>
      </c>
      <c r="K260" t="s">
        <v>991</v>
      </c>
      <c r="L260">
        <v>0</v>
      </c>
      <c r="M260" t="s">
        <v>991</v>
      </c>
      <c r="N260">
        <v>0</v>
      </c>
      <c r="O260" t="s">
        <v>390</v>
      </c>
      <c r="P260">
        <v>0</v>
      </c>
      <c r="Q260" t="s">
        <v>559</v>
      </c>
      <c r="R260">
        <v>0</v>
      </c>
      <c r="S260" t="s">
        <v>240</v>
      </c>
      <c r="T260" t="s">
        <v>241</v>
      </c>
    </row>
    <row r="261" spans="1:20" x14ac:dyDescent="0.35">
      <c r="A261" t="s">
        <v>992</v>
      </c>
      <c r="B261" t="s">
        <v>993</v>
      </c>
      <c r="C261" t="s">
        <v>14</v>
      </c>
      <c r="D261" t="s">
        <v>315</v>
      </c>
      <c r="F261">
        <v>0</v>
      </c>
      <c r="G261" t="s">
        <v>161</v>
      </c>
      <c r="H261">
        <v>0</v>
      </c>
      <c r="I261" t="s">
        <v>240</v>
      </c>
      <c r="J261">
        <v>0</v>
      </c>
      <c r="K261" t="s">
        <v>109</v>
      </c>
      <c r="L261">
        <v>0</v>
      </c>
      <c r="M261" t="s">
        <v>240</v>
      </c>
      <c r="N261" t="s">
        <v>221</v>
      </c>
      <c r="O261" t="s">
        <v>139</v>
      </c>
      <c r="P261" t="s">
        <v>221</v>
      </c>
      <c r="Q261" t="s">
        <v>139</v>
      </c>
      <c r="R261">
        <v>0</v>
      </c>
      <c r="S261" t="s">
        <v>240</v>
      </c>
      <c r="T261" t="s">
        <v>206</v>
      </c>
    </row>
    <row r="262" spans="1:20" x14ac:dyDescent="0.35">
      <c r="A262" t="s">
        <v>994</v>
      </c>
      <c r="B262" t="s">
        <v>995</v>
      </c>
      <c r="C262" t="s">
        <v>37</v>
      </c>
      <c r="D262" t="s">
        <v>379</v>
      </c>
      <c r="F262">
        <v>0</v>
      </c>
      <c r="G262" t="s">
        <v>230</v>
      </c>
      <c r="H262">
        <v>0</v>
      </c>
      <c r="I262" t="s">
        <v>379</v>
      </c>
      <c r="J262">
        <v>0</v>
      </c>
      <c r="K262" t="s">
        <v>379</v>
      </c>
      <c r="L262">
        <v>0</v>
      </c>
      <c r="M262" t="s">
        <v>379</v>
      </c>
      <c r="N262">
        <v>0</v>
      </c>
      <c r="O262" t="s">
        <v>379</v>
      </c>
      <c r="P262">
        <v>0</v>
      </c>
      <c r="Q262" t="s">
        <v>379</v>
      </c>
      <c r="R262">
        <v>0</v>
      </c>
      <c r="S262" t="s">
        <v>230</v>
      </c>
      <c r="T262" t="s">
        <v>233</v>
      </c>
    </row>
    <row r="263" spans="1:20" x14ac:dyDescent="0.35">
      <c r="A263" t="s">
        <v>996</v>
      </c>
      <c r="B263" t="s">
        <v>997</v>
      </c>
      <c r="C263" t="s">
        <v>44</v>
      </c>
      <c r="D263" t="s">
        <v>998</v>
      </c>
      <c r="F263">
        <v>0</v>
      </c>
      <c r="G263" t="s">
        <v>497</v>
      </c>
      <c r="H263" t="s">
        <v>245</v>
      </c>
      <c r="I263" t="s">
        <v>245</v>
      </c>
      <c r="J263" t="s">
        <v>245</v>
      </c>
      <c r="K263" t="s">
        <v>245</v>
      </c>
      <c r="L263" t="s">
        <v>245</v>
      </c>
      <c r="M263" t="s">
        <v>245</v>
      </c>
      <c r="N263">
        <v>0</v>
      </c>
      <c r="O263" t="s">
        <v>230</v>
      </c>
      <c r="P263">
        <v>0</v>
      </c>
      <c r="Q263" t="s">
        <v>230</v>
      </c>
      <c r="R263">
        <v>0</v>
      </c>
      <c r="S263" t="s">
        <v>497</v>
      </c>
      <c r="T263" t="s">
        <v>233</v>
      </c>
    </row>
    <row r="264" spans="1:20" x14ac:dyDescent="0.35">
      <c r="A264" t="s">
        <v>999</v>
      </c>
      <c r="B264" t="s">
        <v>1000</v>
      </c>
      <c r="C264" t="s">
        <v>56</v>
      </c>
      <c r="D264" t="s">
        <v>654</v>
      </c>
      <c r="F264">
        <v>0</v>
      </c>
      <c r="G264" t="s">
        <v>1001</v>
      </c>
      <c r="H264">
        <v>0</v>
      </c>
      <c r="I264" t="s">
        <v>230</v>
      </c>
      <c r="J264">
        <v>0</v>
      </c>
      <c r="K264" t="s">
        <v>230</v>
      </c>
      <c r="L264">
        <v>0</v>
      </c>
      <c r="M264" t="s">
        <v>985</v>
      </c>
      <c r="N264">
        <v>0</v>
      </c>
      <c r="O264" t="s">
        <v>985</v>
      </c>
      <c r="P264">
        <v>0</v>
      </c>
      <c r="Q264" t="s">
        <v>985</v>
      </c>
      <c r="R264">
        <v>0</v>
      </c>
      <c r="S264" t="s">
        <v>985</v>
      </c>
      <c r="T264" t="s">
        <v>208</v>
      </c>
    </row>
    <row r="265" spans="1:20" x14ac:dyDescent="0.35">
      <c r="A265" t="s">
        <v>1002</v>
      </c>
      <c r="B265" t="s">
        <v>1003</v>
      </c>
      <c r="C265" t="s">
        <v>5</v>
      </c>
      <c r="D265" t="s">
        <v>148</v>
      </c>
      <c r="F265">
        <v>0</v>
      </c>
      <c r="G265" t="s">
        <v>148</v>
      </c>
      <c r="H265">
        <v>0</v>
      </c>
      <c r="I265" t="s">
        <v>148</v>
      </c>
      <c r="J265">
        <v>0</v>
      </c>
      <c r="K265" t="s">
        <v>148</v>
      </c>
      <c r="L265">
        <v>0</v>
      </c>
      <c r="M265" t="s">
        <v>230</v>
      </c>
      <c r="N265">
        <v>0</v>
      </c>
      <c r="O265" t="s">
        <v>230</v>
      </c>
      <c r="P265">
        <v>0</v>
      </c>
      <c r="Q265" t="s">
        <v>148</v>
      </c>
      <c r="R265">
        <v>0</v>
      </c>
      <c r="S265" t="s">
        <v>148</v>
      </c>
      <c r="T265" t="s">
        <v>259</v>
      </c>
    </row>
    <row r="266" spans="1:20" x14ac:dyDescent="0.35">
      <c r="A266" t="s">
        <v>1004</v>
      </c>
      <c r="B266" t="s">
        <v>1005</v>
      </c>
      <c r="C266" t="s">
        <v>19</v>
      </c>
      <c r="D266" t="s">
        <v>156</v>
      </c>
      <c r="F266">
        <v>0</v>
      </c>
      <c r="G266" t="s">
        <v>156</v>
      </c>
      <c r="H266">
        <v>0</v>
      </c>
      <c r="I266" t="s">
        <v>156</v>
      </c>
      <c r="J266">
        <v>0</v>
      </c>
      <c r="K266" t="s">
        <v>230</v>
      </c>
      <c r="L266">
        <v>0</v>
      </c>
      <c r="M266" t="s">
        <v>230</v>
      </c>
      <c r="N266" t="s">
        <v>556</v>
      </c>
      <c r="O266" t="s">
        <v>556</v>
      </c>
      <c r="P266">
        <v>0</v>
      </c>
      <c r="Q266" t="s">
        <v>156</v>
      </c>
      <c r="R266">
        <v>0</v>
      </c>
      <c r="S266" t="s">
        <v>156</v>
      </c>
      <c r="T266" t="s">
        <v>259</v>
      </c>
    </row>
    <row r="267" spans="1:20" x14ac:dyDescent="0.35">
      <c r="A267" t="s">
        <v>1006</v>
      </c>
      <c r="B267" t="s">
        <v>1007</v>
      </c>
      <c r="C267" t="s">
        <v>26</v>
      </c>
      <c r="D267" t="s">
        <v>105</v>
      </c>
      <c r="F267">
        <v>0</v>
      </c>
      <c r="G267" t="s">
        <v>230</v>
      </c>
      <c r="H267">
        <v>0</v>
      </c>
      <c r="I267" t="s">
        <v>105</v>
      </c>
      <c r="J267">
        <v>0</v>
      </c>
      <c r="K267" t="s">
        <v>105</v>
      </c>
      <c r="L267">
        <v>0</v>
      </c>
      <c r="M267" t="s">
        <v>105</v>
      </c>
      <c r="N267">
        <v>0</v>
      </c>
      <c r="O267" t="s">
        <v>105</v>
      </c>
      <c r="P267" t="s">
        <v>245</v>
      </c>
      <c r="Q267" t="s">
        <v>245</v>
      </c>
      <c r="R267">
        <v>0</v>
      </c>
      <c r="S267" t="s">
        <v>230</v>
      </c>
      <c r="T267" t="s">
        <v>259</v>
      </c>
    </row>
    <row r="268" spans="1:20" x14ac:dyDescent="0.35">
      <c r="A268" t="s">
        <v>1008</v>
      </c>
      <c r="B268" t="s">
        <v>1009</v>
      </c>
      <c r="C268" t="s">
        <v>19</v>
      </c>
      <c r="D268" t="s">
        <v>154</v>
      </c>
      <c r="F268" t="s">
        <v>245</v>
      </c>
      <c r="G268" t="s">
        <v>245</v>
      </c>
      <c r="H268" t="s">
        <v>245</v>
      </c>
      <c r="I268" t="s">
        <v>245</v>
      </c>
      <c r="J268" t="s">
        <v>245</v>
      </c>
      <c r="K268" t="s">
        <v>245</v>
      </c>
      <c r="L268" t="s">
        <v>245</v>
      </c>
      <c r="M268" t="s">
        <v>245</v>
      </c>
      <c r="N268" t="s">
        <v>245</v>
      </c>
      <c r="O268" t="s">
        <v>245</v>
      </c>
      <c r="P268" t="s">
        <v>245</v>
      </c>
      <c r="Q268" t="s">
        <v>230</v>
      </c>
      <c r="R268" t="s">
        <v>245</v>
      </c>
      <c r="S268" t="s">
        <v>230</v>
      </c>
      <c r="T268" t="s">
        <v>259</v>
      </c>
    </row>
    <row r="269" spans="1:20" x14ac:dyDescent="0.35">
      <c r="A269" t="s">
        <v>1010</v>
      </c>
      <c r="B269" t="s">
        <v>1011</v>
      </c>
      <c r="C269" t="s">
        <v>16</v>
      </c>
      <c r="D269" t="s">
        <v>1012</v>
      </c>
      <c r="F269">
        <v>0</v>
      </c>
      <c r="G269" t="s">
        <v>230</v>
      </c>
      <c r="H269">
        <v>0</v>
      </c>
      <c r="I269" t="s">
        <v>230</v>
      </c>
      <c r="J269">
        <v>0</v>
      </c>
      <c r="K269" t="s">
        <v>406</v>
      </c>
      <c r="L269">
        <v>0</v>
      </c>
      <c r="M269" t="s">
        <v>285</v>
      </c>
      <c r="N269">
        <v>0</v>
      </c>
      <c r="O269" t="s">
        <v>406</v>
      </c>
      <c r="P269">
        <v>0</v>
      </c>
      <c r="Q269" t="s">
        <v>406</v>
      </c>
      <c r="R269">
        <v>0</v>
      </c>
      <c r="S269" t="s">
        <v>240</v>
      </c>
      <c r="T269" t="s">
        <v>241</v>
      </c>
    </row>
    <row r="270" spans="1:20" x14ac:dyDescent="0.35">
      <c r="A270" t="s">
        <v>1013</v>
      </c>
      <c r="B270" t="s">
        <v>1014</v>
      </c>
      <c r="C270" t="s">
        <v>16</v>
      </c>
      <c r="D270" t="s">
        <v>494</v>
      </c>
      <c r="F270">
        <v>0</v>
      </c>
      <c r="G270" t="s">
        <v>729</v>
      </c>
      <c r="H270">
        <v>0</v>
      </c>
      <c r="I270" t="s">
        <v>729</v>
      </c>
      <c r="J270">
        <v>0</v>
      </c>
      <c r="K270" t="s">
        <v>230</v>
      </c>
      <c r="L270">
        <v>0</v>
      </c>
      <c r="M270" t="s">
        <v>230</v>
      </c>
      <c r="N270" t="s">
        <v>216</v>
      </c>
      <c r="O270" t="s">
        <v>216</v>
      </c>
      <c r="P270">
        <v>0</v>
      </c>
      <c r="Q270" t="s">
        <v>642</v>
      </c>
      <c r="R270">
        <v>0</v>
      </c>
      <c r="S270" t="s">
        <v>729</v>
      </c>
      <c r="T270" t="s">
        <v>241</v>
      </c>
    </row>
    <row r="271" spans="1:20" x14ac:dyDescent="0.35">
      <c r="A271" t="s">
        <v>1015</v>
      </c>
      <c r="B271" t="s">
        <v>1016</v>
      </c>
      <c r="C271" t="s">
        <v>31</v>
      </c>
      <c r="D271" t="s">
        <v>1017</v>
      </c>
      <c r="F271">
        <v>0</v>
      </c>
      <c r="G271" t="s">
        <v>230</v>
      </c>
      <c r="H271">
        <v>0</v>
      </c>
      <c r="I271" t="s">
        <v>230</v>
      </c>
      <c r="J271">
        <v>0</v>
      </c>
      <c r="K271" t="s">
        <v>606</v>
      </c>
      <c r="L271">
        <v>0</v>
      </c>
      <c r="M271" t="s">
        <v>606</v>
      </c>
      <c r="N271">
        <v>0</v>
      </c>
      <c r="O271" t="s">
        <v>439</v>
      </c>
      <c r="P271">
        <v>0</v>
      </c>
      <c r="Q271" t="s">
        <v>439</v>
      </c>
      <c r="R271">
        <v>0</v>
      </c>
      <c r="S271" t="s">
        <v>634</v>
      </c>
      <c r="T271" t="s">
        <v>233</v>
      </c>
    </row>
    <row r="272" spans="1:20" x14ac:dyDescent="0.35">
      <c r="A272" t="s">
        <v>1018</v>
      </c>
      <c r="B272" t="s">
        <v>1019</v>
      </c>
      <c r="C272" t="s">
        <v>26</v>
      </c>
      <c r="D272" t="s">
        <v>930</v>
      </c>
      <c r="F272" t="s">
        <v>245</v>
      </c>
      <c r="G272" t="s">
        <v>245</v>
      </c>
      <c r="H272" t="s">
        <v>245</v>
      </c>
      <c r="I272" t="s">
        <v>245</v>
      </c>
      <c r="J272" t="s">
        <v>245</v>
      </c>
      <c r="K272" t="s">
        <v>245</v>
      </c>
      <c r="L272" t="s">
        <v>245</v>
      </c>
      <c r="M272" t="s">
        <v>245</v>
      </c>
      <c r="N272" t="s">
        <v>245</v>
      </c>
      <c r="O272" t="s">
        <v>245</v>
      </c>
      <c r="P272" t="s">
        <v>245</v>
      </c>
      <c r="Q272" t="s">
        <v>230</v>
      </c>
      <c r="R272" t="s">
        <v>245</v>
      </c>
      <c r="S272" t="s">
        <v>230</v>
      </c>
      <c r="T272" t="s">
        <v>259</v>
      </c>
    </row>
    <row r="273" spans="1:20" x14ac:dyDescent="0.35">
      <c r="A273" t="s">
        <v>1020</v>
      </c>
      <c r="B273" t="s">
        <v>1021</v>
      </c>
      <c r="C273" t="s">
        <v>19</v>
      </c>
      <c r="D273" t="s">
        <v>1022</v>
      </c>
      <c r="F273" t="s">
        <v>288</v>
      </c>
      <c r="G273" t="s">
        <v>288</v>
      </c>
      <c r="H273" t="s">
        <v>288</v>
      </c>
      <c r="I273" t="s">
        <v>288</v>
      </c>
      <c r="J273" t="s">
        <v>288</v>
      </c>
      <c r="K273" t="s">
        <v>288</v>
      </c>
      <c r="L273" t="s">
        <v>288</v>
      </c>
      <c r="M273" t="s">
        <v>288</v>
      </c>
      <c r="N273" t="s">
        <v>302</v>
      </c>
      <c r="O273" t="s">
        <v>230</v>
      </c>
      <c r="P273" t="s">
        <v>302</v>
      </c>
      <c r="Q273" t="s">
        <v>230</v>
      </c>
      <c r="R273" t="s">
        <v>302</v>
      </c>
      <c r="S273" t="s">
        <v>1023</v>
      </c>
      <c r="T273" t="s">
        <v>259</v>
      </c>
    </row>
    <row r="274" spans="1:20" x14ac:dyDescent="0.35">
      <c r="A274" t="s">
        <v>1024</v>
      </c>
      <c r="B274" t="s">
        <v>1025</v>
      </c>
      <c r="C274" t="s">
        <v>583</v>
      </c>
      <c r="D274" t="s">
        <v>1026</v>
      </c>
      <c r="F274">
        <v>0</v>
      </c>
      <c r="G274" t="s">
        <v>230</v>
      </c>
      <c r="H274">
        <v>0</v>
      </c>
      <c r="I274" t="s">
        <v>230</v>
      </c>
      <c r="J274" t="s">
        <v>237</v>
      </c>
      <c r="K274" t="s">
        <v>237</v>
      </c>
      <c r="L274" t="s">
        <v>264</v>
      </c>
      <c r="M274" t="s">
        <v>264</v>
      </c>
      <c r="N274">
        <v>0</v>
      </c>
      <c r="O274" t="s">
        <v>360</v>
      </c>
      <c r="P274">
        <v>0</v>
      </c>
      <c r="Q274" t="s">
        <v>282</v>
      </c>
      <c r="R274">
        <v>0</v>
      </c>
      <c r="S274" t="s">
        <v>570</v>
      </c>
      <c r="T274" t="s">
        <v>233</v>
      </c>
    </row>
    <row r="275" spans="1:20" x14ac:dyDescent="0.35">
      <c r="A275" t="s">
        <v>1027</v>
      </c>
      <c r="B275" t="s">
        <v>1028</v>
      </c>
      <c r="C275" t="s">
        <v>5</v>
      </c>
      <c r="D275" t="s">
        <v>151</v>
      </c>
      <c r="F275">
        <v>0</v>
      </c>
      <c r="G275" t="s">
        <v>151</v>
      </c>
      <c r="H275">
        <v>0</v>
      </c>
      <c r="I275" t="s">
        <v>151</v>
      </c>
      <c r="J275">
        <v>0</v>
      </c>
      <c r="K275" t="s">
        <v>151</v>
      </c>
      <c r="L275">
        <v>0</v>
      </c>
      <c r="M275" t="s">
        <v>151</v>
      </c>
      <c r="N275">
        <v>0</v>
      </c>
      <c r="O275" t="s">
        <v>230</v>
      </c>
      <c r="P275" t="s">
        <v>391</v>
      </c>
      <c r="Q275" t="s">
        <v>230</v>
      </c>
      <c r="R275" t="s">
        <v>391</v>
      </c>
      <c r="S275" t="s">
        <v>391</v>
      </c>
      <c r="T275" t="s">
        <v>259</v>
      </c>
    </row>
    <row r="276" spans="1:20" x14ac:dyDescent="0.35">
      <c r="A276" t="s">
        <v>1029</v>
      </c>
      <c r="B276" t="s">
        <v>1030</v>
      </c>
      <c r="C276" t="s">
        <v>26</v>
      </c>
      <c r="D276" t="s">
        <v>139</v>
      </c>
      <c r="F276">
        <v>0</v>
      </c>
      <c r="G276" t="s">
        <v>139</v>
      </c>
      <c r="H276" t="s">
        <v>1031</v>
      </c>
      <c r="I276" t="s">
        <v>1031</v>
      </c>
      <c r="J276">
        <v>0</v>
      </c>
      <c r="K276" t="s">
        <v>230</v>
      </c>
      <c r="L276">
        <v>0</v>
      </c>
      <c r="M276" t="s">
        <v>230</v>
      </c>
      <c r="N276" t="s">
        <v>288</v>
      </c>
      <c r="O276" t="s">
        <v>288</v>
      </c>
      <c r="P276" t="s">
        <v>288</v>
      </c>
      <c r="Q276" t="s">
        <v>288</v>
      </c>
      <c r="R276" t="s">
        <v>288</v>
      </c>
      <c r="S276" t="s">
        <v>288</v>
      </c>
      <c r="T276" t="s">
        <v>259</v>
      </c>
    </row>
    <row r="277" spans="1:20" x14ac:dyDescent="0.35">
      <c r="A277" t="s">
        <v>1032</v>
      </c>
      <c r="B277" t="s">
        <v>1033</v>
      </c>
      <c r="C277" t="s">
        <v>15</v>
      </c>
      <c r="D277" t="s">
        <v>378</v>
      </c>
      <c r="F277">
        <v>0</v>
      </c>
      <c r="G277" t="s">
        <v>580</v>
      </c>
      <c r="H277">
        <v>0</v>
      </c>
      <c r="I277" t="s">
        <v>1034</v>
      </c>
      <c r="J277">
        <v>0</v>
      </c>
      <c r="K277" t="s">
        <v>1034</v>
      </c>
      <c r="L277">
        <v>0</v>
      </c>
      <c r="M277" t="s">
        <v>631</v>
      </c>
      <c r="N277">
        <v>0</v>
      </c>
      <c r="O277" t="s">
        <v>230</v>
      </c>
      <c r="P277">
        <v>0</v>
      </c>
      <c r="Q277" t="s">
        <v>230</v>
      </c>
      <c r="R277" t="s">
        <v>354</v>
      </c>
      <c r="S277" t="s">
        <v>354</v>
      </c>
      <c r="T277" t="s">
        <v>241</v>
      </c>
    </row>
    <row r="278" spans="1:20" x14ac:dyDescent="0.35">
      <c r="A278" t="s">
        <v>1035</v>
      </c>
      <c r="B278" t="s">
        <v>1036</v>
      </c>
      <c r="C278" t="s">
        <v>44</v>
      </c>
      <c r="D278" t="s">
        <v>1037</v>
      </c>
      <c r="F278">
        <v>0</v>
      </c>
      <c r="G278" t="s">
        <v>805</v>
      </c>
      <c r="H278">
        <v>0</v>
      </c>
      <c r="I278" t="s">
        <v>814</v>
      </c>
      <c r="J278">
        <v>0</v>
      </c>
      <c r="K278" t="s">
        <v>814</v>
      </c>
      <c r="L278">
        <v>0</v>
      </c>
      <c r="M278" t="s">
        <v>647</v>
      </c>
      <c r="N278">
        <v>0</v>
      </c>
      <c r="O278" t="s">
        <v>230</v>
      </c>
      <c r="P278">
        <v>0</v>
      </c>
      <c r="Q278" t="s">
        <v>230</v>
      </c>
      <c r="R278">
        <v>0</v>
      </c>
      <c r="S278" t="s">
        <v>805</v>
      </c>
      <c r="T278" t="s">
        <v>233</v>
      </c>
    </row>
    <row r="279" spans="1:20" x14ac:dyDescent="0.35">
      <c r="A279" t="s">
        <v>1038</v>
      </c>
      <c r="B279" t="s">
        <v>1039</v>
      </c>
      <c r="C279" t="s">
        <v>5</v>
      </c>
      <c r="D279" t="s">
        <v>75</v>
      </c>
      <c r="F279">
        <v>0</v>
      </c>
      <c r="G279" t="s">
        <v>230</v>
      </c>
      <c r="H279">
        <v>0</v>
      </c>
      <c r="I279" t="s">
        <v>230</v>
      </c>
      <c r="J279">
        <v>0</v>
      </c>
      <c r="K279" t="s">
        <v>75</v>
      </c>
      <c r="L279">
        <v>0</v>
      </c>
      <c r="M279" t="s">
        <v>75</v>
      </c>
      <c r="N279">
        <v>0</v>
      </c>
      <c r="O279" t="s">
        <v>75</v>
      </c>
      <c r="P279">
        <v>0</v>
      </c>
      <c r="Q279" t="s">
        <v>75</v>
      </c>
      <c r="R279">
        <v>0</v>
      </c>
      <c r="S279" t="s">
        <v>75</v>
      </c>
      <c r="T279" t="s">
        <v>259</v>
      </c>
    </row>
    <row r="280" spans="1:20" x14ac:dyDescent="0.35">
      <c r="A280" t="s">
        <v>1040</v>
      </c>
      <c r="B280" t="s">
        <v>1041</v>
      </c>
      <c r="C280" t="s">
        <v>44</v>
      </c>
      <c r="D280" t="s">
        <v>729</v>
      </c>
      <c r="F280" t="s">
        <v>245</v>
      </c>
      <c r="G280" t="s">
        <v>245</v>
      </c>
      <c r="H280">
        <v>0</v>
      </c>
      <c r="I280" t="s">
        <v>230</v>
      </c>
      <c r="J280">
        <v>0</v>
      </c>
      <c r="K280" t="s">
        <v>230</v>
      </c>
      <c r="L280">
        <v>0</v>
      </c>
      <c r="M280" t="s">
        <v>729</v>
      </c>
      <c r="N280">
        <v>0</v>
      </c>
      <c r="O280" t="s">
        <v>729</v>
      </c>
      <c r="P280">
        <v>0</v>
      </c>
      <c r="Q280" t="s">
        <v>729</v>
      </c>
      <c r="R280" t="s">
        <v>354</v>
      </c>
      <c r="S280" t="s">
        <v>354</v>
      </c>
      <c r="T280" t="s">
        <v>233</v>
      </c>
    </row>
    <row r="281" spans="1:20" x14ac:dyDescent="0.35">
      <c r="A281" t="s">
        <v>1042</v>
      </c>
      <c r="B281" t="s">
        <v>1043</v>
      </c>
      <c r="C281" t="s">
        <v>17</v>
      </c>
      <c r="D281" t="s">
        <v>437</v>
      </c>
      <c r="F281">
        <v>0</v>
      </c>
      <c r="G281" t="s">
        <v>911</v>
      </c>
      <c r="H281">
        <v>0</v>
      </c>
      <c r="I281" t="s">
        <v>911</v>
      </c>
      <c r="J281">
        <v>0</v>
      </c>
      <c r="K281" t="s">
        <v>911</v>
      </c>
      <c r="L281">
        <v>0</v>
      </c>
      <c r="M281" t="s">
        <v>491</v>
      </c>
      <c r="N281" t="s">
        <v>221</v>
      </c>
      <c r="O281" t="s">
        <v>445</v>
      </c>
      <c r="P281">
        <v>0</v>
      </c>
      <c r="Q281" t="s">
        <v>230</v>
      </c>
      <c r="R281">
        <v>0</v>
      </c>
      <c r="S281" t="s">
        <v>240</v>
      </c>
      <c r="T281" t="s">
        <v>241</v>
      </c>
    </row>
    <row r="282" spans="1:20" x14ac:dyDescent="0.35">
      <c r="A282" t="s">
        <v>1044</v>
      </c>
      <c r="B282" t="s">
        <v>1045</v>
      </c>
      <c r="C282" t="s">
        <v>19</v>
      </c>
      <c r="D282" t="s">
        <v>99</v>
      </c>
      <c r="F282" t="s">
        <v>246</v>
      </c>
      <c r="G282" t="s">
        <v>246</v>
      </c>
      <c r="H282">
        <v>0</v>
      </c>
      <c r="I282" t="s">
        <v>230</v>
      </c>
      <c r="J282">
        <v>0</v>
      </c>
      <c r="K282" t="s">
        <v>230</v>
      </c>
      <c r="L282" t="s">
        <v>216</v>
      </c>
      <c r="M282" t="s">
        <v>216</v>
      </c>
      <c r="N282" t="s">
        <v>216</v>
      </c>
      <c r="O282" t="s">
        <v>216</v>
      </c>
      <c r="P282" t="s">
        <v>216</v>
      </c>
      <c r="Q282" t="s">
        <v>216</v>
      </c>
      <c r="R282">
        <v>0</v>
      </c>
      <c r="S282" t="s">
        <v>99</v>
      </c>
      <c r="T282" t="s">
        <v>259</v>
      </c>
    </row>
    <row r="283" spans="1:20" x14ac:dyDescent="0.35">
      <c r="A283" t="s">
        <v>1046</v>
      </c>
      <c r="B283" t="s">
        <v>1047</v>
      </c>
      <c r="C283" t="s">
        <v>44</v>
      </c>
      <c r="D283" t="s">
        <v>395</v>
      </c>
      <c r="F283">
        <v>0</v>
      </c>
      <c r="G283" t="s">
        <v>395</v>
      </c>
      <c r="H283">
        <v>0</v>
      </c>
      <c r="I283" t="s">
        <v>395</v>
      </c>
      <c r="J283">
        <v>0</v>
      </c>
      <c r="K283" t="s">
        <v>395</v>
      </c>
      <c r="L283">
        <v>0</v>
      </c>
      <c r="M283" t="s">
        <v>230</v>
      </c>
      <c r="N283">
        <v>0</v>
      </c>
      <c r="O283" t="s">
        <v>230</v>
      </c>
      <c r="P283">
        <v>0</v>
      </c>
      <c r="Q283" t="s">
        <v>395</v>
      </c>
      <c r="R283">
        <v>0</v>
      </c>
      <c r="S283" t="s">
        <v>395</v>
      </c>
      <c r="T283" t="s">
        <v>233</v>
      </c>
    </row>
    <row r="284" spans="1:20" x14ac:dyDescent="0.35">
      <c r="A284" t="s">
        <v>1048</v>
      </c>
      <c r="B284" t="s">
        <v>1049</v>
      </c>
      <c r="C284" t="s">
        <v>5</v>
      </c>
      <c r="D284" t="s">
        <v>1050</v>
      </c>
      <c r="F284">
        <v>0</v>
      </c>
      <c r="G284" t="s">
        <v>75</v>
      </c>
      <c r="H284">
        <v>0</v>
      </c>
      <c r="I284" t="s">
        <v>75</v>
      </c>
      <c r="J284">
        <v>0</v>
      </c>
      <c r="K284" t="s">
        <v>121</v>
      </c>
      <c r="L284">
        <v>0</v>
      </c>
      <c r="M284" t="s">
        <v>121</v>
      </c>
      <c r="N284">
        <v>0</v>
      </c>
      <c r="O284" t="s">
        <v>146</v>
      </c>
      <c r="P284">
        <v>0</v>
      </c>
      <c r="Q284" t="s">
        <v>230</v>
      </c>
      <c r="R284">
        <v>0</v>
      </c>
      <c r="S284" t="s">
        <v>230</v>
      </c>
      <c r="T284" t="s">
        <v>259</v>
      </c>
    </row>
    <row r="285" spans="1:20" x14ac:dyDescent="0.35">
      <c r="A285" t="s">
        <v>1051</v>
      </c>
      <c r="B285" t="s">
        <v>1052</v>
      </c>
      <c r="C285" t="s">
        <v>5</v>
      </c>
      <c r="D285" t="s">
        <v>144</v>
      </c>
      <c r="F285" t="s">
        <v>288</v>
      </c>
      <c r="G285" t="s">
        <v>288</v>
      </c>
      <c r="H285" t="s">
        <v>288</v>
      </c>
      <c r="I285" t="s">
        <v>288</v>
      </c>
      <c r="J285" t="s">
        <v>288</v>
      </c>
      <c r="K285" t="s">
        <v>288</v>
      </c>
      <c r="L285">
        <v>0</v>
      </c>
      <c r="M285" t="s">
        <v>230</v>
      </c>
      <c r="N285">
        <v>0</v>
      </c>
      <c r="O285" t="s">
        <v>230</v>
      </c>
      <c r="P285">
        <v>0</v>
      </c>
      <c r="Q285" t="s">
        <v>144</v>
      </c>
      <c r="R285">
        <v>0</v>
      </c>
      <c r="S285" t="s">
        <v>144</v>
      </c>
      <c r="T285" t="s">
        <v>259</v>
      </c>
    </row>
    <row r="286" spans="1:20" x14ac:dyDescent="0.35">
      <c r="A286" t="s">
        <v>1053</v>
      </c>
      <c r="B286" t="s">
        <v>1054</v>
      </c>
      <c r="C286" t="s">
        <v>951</v>
      </c>
      <c r="D286" t="s">
        <v>1055</v>
      </c>
      <c r="E286" t="s">
        <v>99</v>
      </c>
      <c r="F286" t="s">
        <v>297</v>
      </c>
      <c r="G286" t="s">
        <v>99</v>
      </c>
      <c r="H286" t="s">
        <v>221</v>
      </c>
      <c r="I286" t="s">
        <v>127</v>
      </c>
      <c r="J286" t="s">
        <v>297</v>
      </c>
      <c r="K286" t="s">
        <v>230</v>
      </c>
      <c r="L286" t="s">
        <v>246</v>
      </c>
      <c r="M286" t="s">
        <v>99</v>
      </c>
      <c r="N286" t="s">
        <v>297</v>
      </c>
      <c r="O286" t="s">
        <v>99</v>
      </c>
      <c r="P286" t="s">
        <v>297</v>
      </c>
      <c r="Q286" t="s">
        <v>99</v>
      </c>
      <c r="R286" t="s">
        <v>297</v>
      </c>
      <c r="S286" t="s">
        <v>99</v>
      </c>
      <c r="T286" t="s">
        <v>259</v>
      </c>
    </row>
    <row r="287" spans="1:20" x14ac:dyDescent="0.35">
      <c r="B287" t="s">
        <v>302</v>
      </c>
      <c r="C287" t="s">
        <v>302</v>
      </c>
      <c r="D287" t="s">
        <v>302</v>
      </c>
      <c r="T287" t="s">
        <v>302</v>
      </c>
    </row>
    <row r="288" spans="1:20" x14ac:dyDescent="0.35">
      <c r="B288" t="s">
        <v>302</v>
      </c>
      <c r="C288" t="s">
        <v>302</v>
      </c>
      <c r="D288" t="s">
        <v>302</v>
      </c>
      <c r="T288" t="s">
        <v>302</v>
      </c>
    </row>
    <row r="289" spans="2:20" x14ac:dyDescent="0.35">
      <c r="B289" t="s">
        <v>302</v>
      </c>
      <c r="C289" t="s">
        <v>302</v>
      </c>
      <c r="D289" t="s">
        <v>302</v>
      </c>
      <c r="T289" t="s">
        <v>302</v>
      </c>
    </row>
    <row r="290" spans="2:20" x14ac:dyDescent="0.35">
      <c r="B290" t="s">
        <v>302</v>
      </c>
      <c r="C290" t="s">
        <v>302</v>
      </c>
      <c r="D290" t="s">
        <v>302</v>
      </c>
      <c r="T290" t="s">
        <v>302</v>
      </c>
    </row>
    <row r="291" spans="2:20" x14ac:dyDescent="0.35">
      <c r="B291" t="s">
        <v>302</v>
      </c>
      <c r="C291" t="s">
        <v>302</v>
      </c>
      <c r="D291" t="s">
        <v>302</v>
      </c>
      <c r="T291" t="s">
        <v>302</v>
      </c>
    </row>
    <row r="292" spans="2:20" x14ac:dyDescent="0.35">
      <c r="B292" t="s">
        <v>302</v>
      </c>
      <c r="C292" t="s">
        <v>302</v>
      </c>
      <c r="D292" t="s">
        <v>302</v>
      </c>
      <c r="T292" t="s">
        <v>302</v>
      </c>
    </row>
    <row r="293" spans="2:20" x14ac:dyDescent="0.35">
      <c r="B293" t="s">
        <v>302</v>
      </c>
      <c r="C293" t="s">
        <v>302</v>
      </c>
      <c r="D293" t="s">
        <v>302</v>
      </c>
      <c r="T293" t="s">
        <v>302</v>
      </c>
    </row>
    <row r="294" spans="2:20" x14ac:dyDescent="0.35">
      <c r="B294" t="s">
        <v>302</v>
      </c>
      <c r="C294" t="s">
        <v>302</v>
      </c>
      <c r="D294" t="s">
        <v>302</v>
      </c>
      <c r="T294" t="s">
        <v>302</v>
      </c>
    </row>
    <row r="295" spans="2:20" x14ac:dyDescent="0.35">
      <c r="B295" t="s">
        <v>302</v>
      </c>
      <c r="C295" t="s">
        <v>302</v>
      </c>
      <c r="D295" t="s">
        <v>302</v>
      </c>
      <c r="T295" t="s">
        <v>302</v>
      </c>
    </row>
    <row r="296" spans="2:20" x14ac:dyDescent="0.35">
      <c r="B296" t="s">
        <v>302</v>
      </c>
      <c r="C296" t="s">
        <v>302</v>
      </c>
      <c r="D296" t="s">
        <v>302</v>
      </c>
      <c r="T296" t="s">
        <v>302</v>
      </c>
    </row>
    <row r="297" spans="2:20" x14ac:dyDescent="0.35">
      <c r="B297" t="s">
        <v>302</v>
      </c>
      <c r="C297" t="s">
        <v>302</v>
      </c>
      <c r="D297" t="s">
        <v>302</v>
      </c>
      <c r="T297" t="s">
        <v>302</v>
      </c>
    </row>
    <row r="298" spans="2:20" x14ac:dyDescent="0.35">
      <c r="B298" t="s">
        <v>302</v>
      </c>
      <c r="C298" t="s">
        <v>302</v>
      </c>
      <c r="D298" t="s">
        <v>302</v>
      </c>
      <c r="T298" t="s">
        <v>302</v>
      </c>
    </row>
    <row r="299" spans="2:20" x14ac:dyDescent="0.35">
      <c r="B299" t="s">
        <v>302</v>
      </c>
      <c r="C299" t="s">
        <v>302</v>
      </c>
      <c r="D299" t="s">
        <v>302</v>
      </c>
      <c r="T299" t="s">
        <v>302</v>
      </c>
    </row>
    <row r="300" spans="2:20" x14ac:dyDescent="0.35">
      <c r="B300" t="s">
        <v>302</v>
      </c>
      <c r="C300" t="s">
        <v>302</v>
      </c>
      <c r="D300" t="s">
        <v>302</v>
      </c>
      <c r="T300" t="s">
        <v>302</v>
      </c>
    </row>
    <row r="301" spans="2:20" x14ac:dyDescent="0.35">
      <c r="B301" t="s">
        <v>302</v>
      </c>
      <c r="C301" t="s">
        <v>302</v>
      </c>
      <c r="D301" t="s">
        <v>302</v>
      </c>
      <c r="T301" t="s">
        <v>302</v>
      </c>
    </row>
    <row r="302" spans="2:20" x14ac:dyDescent="0.35">
      <c r="B302" t="s">
        <v>302</v>
      </c>
      <c r="C302" t="s">
        <v>302</v>
      </c>
      <c r="D302" t="s">
        <v>302</v>
      </c>
      <c r="T302" t="s">
        <v>302</v>
      </c>
    </row>
    <row r="303" spans="2:20" x14ac:dyDescent="0.35">
      <c r="B303" t="s">
        <v>302</v>
      </c>
      <c r="C303" t="s">
        <v>302</v>
      </c>
      <c r="D303" t="s">
        <v>302</v>
      </c>
      <c r="T303" t="s">
        <v>302</v>
      </c>
    </row>
    <row r="304" spans="2:20" x14ac:dyDescent="0.35">
      <c r="B304" t="s">
        <v>302</v>
      </c>
      <c r="C304" t="s">
        <v>302</v>
      </c>
      <c r="D304" t="s">
        <v>302</v>
      </c>
      <c r="T304" t="s">
        <v>302</v>
      </c>
    </row>
    <row r="305" spans="2:20" x14ac:dyDescent="0.35">
      <c r="B305" t="s">
        <v>302</v>
      </c>
      <c r="C305" t="s">
        <v>302</v>
      </c>
      <c r="D305" t="s">
        <v>302</v>
      </c>
      <c r="T305" t="s">
        <v>302</v>
      </c>
    </row>
    <row r="306" spans="2:20" x14ac:dyDescent="0.35">
      <c r="B306" t="s">
        <v>302</v>
      </c>
      <c r="C306" t="s">
        <v>302</v>
      </c>
      <c r="D306" t="s">
        <v>302</v>
      </c>
      <c r="T306" t="s">
        <v>302</v>
      </c>
    </row>
    <row r="307" spans="2:20" x14ac:dyDescent="0.35">
      <c r="B307" t="s">
        <v>302</v>
      </c>
      <c r="C307" t="s">
        <v>302</v>
      </c>
      <c r="D307" t="s">
        <v>302</v>
      </c>
      <c r="T307" t="s">
        <v>302</v>
      </c>
    </row>
    <row r="308" spans="2:20" x14ac:dyDescent="0.35">
      <c r="B308" t="s">
        <v>302</v>
      </c>
      <c r="C308" t="s">
        <v>302</v>
      </c>
      <c r="D308" t="s">
        <v>302</v>
      </c>
      <c r="T308" t="s">
        <v>302</v>
      </c>
    </row>
    <row r="309" spans="2:20" x14ac:dyDescent="0.35">
      <c r="B309" t="s">
        <v>302</v>
      </c>
      <c r="C309" t="s">
        <v>302</v>
      </c>
      <c r="D309" t="s">
        <v>302</v>
      </c>
      <c r="T309" t="s">
        <v>302</v>
      </c>
    </row>
    <row r="310" spans="2:20" x14ac:dyDescent="0.35">
      <c r="B310" t="s">
        <v>302</v>
      </c>
      <c r="C310" t="s">
        <v>302</v>
      </c>
      <c r="D310" t="s">
        <v>302</v>
      </c>
      <c r="T310" t="s">
        <v>302</v>
      </c>
    </row>
    <row r="311" spans="2:20" x14ac:dyDescent="0.35">
      <c r="B311" t="s">
        <v>302</v>
      </c>
      <c r="C311" t="s">
        <v>302</v>
      </c>
      <c r="D311" t="s">
        <v>302</v>
      </c>
      <c r="T311" t="s">
        <v>302</v>
      </c>
    </row>
    <row r="312" spans="2:20" x14ac:dyDescent="0.35">
      <c r="B312" t="s">
        <v>302</v>
      </c>
      <c r="C312" t="s">
        <v>302</v>
      </c>
      <c r="D312" t="s">
        <v>302</v>
      </c>
      <c r="T312" t="s">
        <v>302</v>
      </c>
    </row>
    <row r="313" spans="2:20" x14ac:dyDescent="0.35">
      <c r="B313" t="s">
        <v>302</v>
      </c>
      <c r="C313" t="s">
        <v>302</v>
      </c>
      <c r="D313" t="s">
        <v>302</v>
      </c>
      <c r="T313" t="s">
        <v>302</v>
      </c>
    </row>
    <row r="314" spans="2:20" x14ac:dyDescent="0.35">
      <c r="B314" t="s">
        <v>302</v>
      </c>
      <c r="C314" t="s">
        <v>302</v>
      </c>
      <c r="D314" t="s">
        <v>302</v>
      </c>
      <c r="T314" t="s">
        <v>302</v>
      </c>
    </row>
    <row r="315" spans="2:20" x14ac:dyDescent="0.35">
      <c r="B315" t="s">
        <v>302</v>
      </c>
      <c r="C315" t="s">
        <v>302</v>
      </c>
      <c r="D315" t="s">
        <v>302</v>
      </c>
      <c r="T315" t="s">
        <v>302</v>
      </c>
    </row>
    <row r="316" spans="2:20" x14ac:dyDescent="0.35">
      <c r="B316" t="s">
        <v>302</v>
      </c>
      <c r="C316" t="s">
        <v>302</v>
      </c>
      <c r="D316" t="s">
        <v>302</v>
      </c>
      <c r="T316" t="s">
        <v>302</v>
      </c>
    </row>
    <row r="317" spans="2:20" x14ac:dyDescent="0.35">
      <c r="B317" t="s">
        <v>302</v>
      </c>
      <c r="C317" t="s">
        <v>302</v>
      </c>
      <c r="D317" t="s">
        <v>302</v>
      </c>
      <c r="T317" t="s">
        <v>302</v>
      </c>
    </row>
    <row r="318" spans="2:20" x14ac:dyDescent="0.35">
      <c r="B318" t="s">
        <v>302</v>
      </c>
      <c r="C318" t="s">
        <v>302</v>
      </c>
      <c r="D318" t="s">
        <v>302</v>
      </c>
      <c r="T318" t="s">
        <v>302</v>
      </c>
    </row>
    <row r="319" spans="2:20" x14ac:dyDescent="0.35">
      <c r="B319" t="s">
        <v>302</v>
      </c>
      <c r="C319" t="s">
        <v>302</v>
      </c>
      <c r="D319" t="s">
        <v>302</v>
      </c>
      <c r="T319" t="s">
        <v>302</v>
      </c>
    </row>
    <row r="320" spans="2:20" x14ac:dyDescent="0.35">
      <c r="B320" t="s">
        <v>302</v>
      </c>
      <c r="C320" t="s">
        <v>302</v>
      </c>
      <c r="D320" t="s">
        <v>302</v>
      </c>
      <c r="T320" t="s">
        <v>302</v>
      </c>
    </row>
    <row r="321" spans="2:20" x14ac:dyDescent="0.35">
      <c r="B321" t="s">
        <v>302</v>
      </c>
      <c r="C321" t="s">
        <v>302</v>
      </c>
      <c r="D321" t="s">
        <v>302</v>
      </c>
      <c r="T321" t="s">
        <v>302</v>
      </c>
    </row>
    <row r="322" spans="2:20" x14ac:dyDescent="0.35">
      <c r="B322" t="s">
        <v>302</v>
      </c>
      <c r="C322" t="s">
        <v>302</v>
      </c>
      <c r="D322" t="s">
        <v>302</v>
      </c>
      <c r="T322" t="s">
        <v>302</v>
      </c>
    </row>
    <row r="323" spans="2:20" x14ac:dyDescent="0.35">
      <c r="B323" t="s">
        <v>302</v>
      </c>
      <c r="C323" t="s">
        <v>302</v>
      </c>
      <c r="D323" t="s">
        <v>302</v>
      </c>
      <c r="T323" t="s">
        <v>302</v>
      </c>
    </row>
    <row r="324" spans="2:20" x14ac:dyDescent="0.35">
      <c r="B324" t="s">
        <v>302</v>
      </c>
      <c r="C324" t="s">
        <v>302</v>
      </c>
      <c r="D324" t="s">
        <v>302</v>
      </c>
      <c r="T324" t="s">
        <v>302</v>
      </c>
    </row>
    <row r="325" spans="2:20" x14ac:dyDescent="0.35">
      <c r="B325" t="s">
        <v>302</v>
      </c>
      <c r="C325" t="s">
        <v>302</v>
      </c>
      <c r="D325" t="s">
        <v>302</v>
      </c>
      <c r="T325" t="s">
        <v>302</v>
      </c>
    </row>
    <row r="326" spans="2:20" x14ac:dyDescent="0.35">
      <c r="B326" t="s">
        <v>302</v>
      </c>
      <c r="C326" t="s">
        <v>302</v>
      </c>
      <c r="D326" t="s">
        <v>302</v>
      </c>
      <c r="T326" t="s">
        <v>302</v>
      </c>
    </row>
    <row r="327" spans="2:20" x14ac:dyDescent="0.35">
      <c r="B327" t="s">
        <v>302</v>
      </c>
      <c r="C327" t="s">
        <v>302</v>
      </c>
      <c r="D327" t="s">
        <v>302</v>
      </c>
      <c r="T327" t="s">
        <v>302</v>
      </c>
    </row>
    <row r="328" spans="2:20" x14ac:dyDescent="0.35">
      <c r="B328" t="s">
        <v>302</v>
      </c>
      <c r="C328" t="s">
        <v>302</v>
      </c>
      <c r="D328" t="s">
        <v>302</v>
      </c>
      <c r="T328" t="s">
        <v>302</v>
      </c>
    </row>
    <row r="329" spans="2:20" x14ac:dyDescent="0.35">
      <c r="B329" t="s">
        <v>302</v>
      </c>
      <c r="C329" t="s">
        <v>302</v>
      </c>
      <c r="D329" t="s">
        <v>302</v>
      </c>
      <c r="T329" t="s">
        <v>302</v>
      </c>
    </row>
    <row r="330" spans="2:20" x14ac:dyDescent="0.35">
      <c r="B330" t="s">
        <v>302</v>
      </c>
      <c r="C330" t="s">
        <v>302</v>
      </c>
      <c r="D330" t="s">
        <v>302</v>
      </c>
      <c r="T330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59AF-F7EB-4160-9EEC-9550C36C8C3A}">
  <sheetPr codeName="Sheet9">
    <tabColor theme="8" tint="0.59999389629810485"/>
    <pageSetUpPr fitToPage="1"/>
  </sheetPr>
  <dimension ref="A1:M304"/>
  <sheetViews>
    <sheetView showGridLines="0" showRowColHeaders="0" topLeftCell="C1" zoomScale="70" zoomScaleNormal="70" workbookViewId="0">
      <pane ySplit="5" topLeftCell="A6" activePane="bottomLeft" state="frozen"/>
      <selection activeCell="J55" activeCellId="1" sqref="J26 J55"/>
      <selection pane="bottomLeft" activeCell="J40" sqref="J40"/>
    </sheetView>
  </sheetViews>
  <sheetFormatPr defaultColWidth="10.58203125" defaultRowHeight="16" x14ac:dyDescent="0.4"/>
  <cols>
    <col min="1" max="2" width="10.58203125" style="167" hidden="1" customWidth="1"/>
    <col min="3" max="3" width="1.58203125" style="152" customWidth="1"/>
    <col min="4" max="4" width="5.58203125" style="152" customWidth="1"/>
    <col min="5" max="5" width="20.5" style="161" hidden="1" customWidth="1"/>
    <col min="6" max="6" width="29" style="204" customWidth="1"/>
    <col min="7" max="13" width="35.58203125" style="152" customWidth="1"/>
    <col min="14" max="19" width="10.58203125" style="152"/>
    <col min="20" max="21" width="10.58203125" style="152" customWidth="1"/>
    <col min="22" max="16384" width="10.58203125" style="152"/>
  </cols>
  <sheetData>
    <row r="1" spans="3:13" ht="11.25" customHeight="1" x14ac:dyDescent="0.4">
      <c r="C1" s="292"/>
      <c r="D1" s="293"/>
      <c r="E1" s="294"/>
      <c r="F1" s="468" t="s">
        <v>1056</v>
      </c>
      <c r="G1" s="401"/>
      <c r="H1" s="401"/>
      <c r="I1" s="401"/>
      <c r="J1" s="401"/>
      <c r="K1" s="401"/>
      <c r="L1" s="401"/>
      <c r="M1" s="402"/>
    </row>
    <row r="2" spans="3:13" ht="11.25" customHeight="1" x14ac:dyDescent="0.4">
      <c r="C2" s="295"/>
      <c r="D2" s="296"/>
      <c r="E2" s="297"/>
      <c r="F2" s="397"/>
      <c r="G2" s="397"/>
      <c r="H2" s="397"/>
      <c r="I2" s="397"/>
      <c r="J2" s="397"/>
      <c r="K2" s="397"/>
      <c r="L2" s="397"/>
      <c r="M2" s="403"/>
    </row>
    <row r="3" spans="3:13" ht="11.25" customHeight="1" thickBot="1" x14ac:dyDescent="0.45">
      <c r="C3" s="295"/>
      <c r="D3" s="296"/>
      <c r="E3" s="298"/>
      <c r="F3" s="404"/>
      <c r="G3" s="404"/>
      <c r="H3" s="404"/>
      <c r="I3" s="404"/>
      <c r="J3" s="404"/>
      <c r="K3" s="404"/>
      <c r="L3" s="404"/>
      <c r="M3" s="405"/>
    </row>
    <row r="4" spans="3:13" ht="18" customHeight="1" x14ac:dyDescent="0.45">
      <c r="C4" s="299"/>
      <c r="D4" s="300"/>
      <c r="E4" s="193"/>
      <c r="F4" s="301"/>
      <c r="G4" s="189" t="str">
        <f t="shared" ref="G4:M4" si="0">TEXT(G5,"dddd")</f>
        <v>Saturday</v>
      </c>
      <c r="H4" s="189" t="str">
        <f t="shared" si="0"/>
        <v>Sunday</v>
      </c>
      <c r="I4" s="189" t="str">
        <f t="shared" si="0"/>
        <v>Monday</v>
      </c>
      <c r="J4" s="189" t="str">
        <f t="shared" si="0"/>
        <v>Tuesday</v>
      </c>
      <c r="K4" s="189" t="str">
        <f t="shared" si="0"/>
        <v>Wednesday</v>
      </c>
      <c r="L4" s="189" t="str">
        <f t="shared" si="0"/>
        <v>Thursday</v>
      </c>
      <c r="M4" s="189" t="str">
        <f t="shared" si="0"/>
        <v>Friday</v>
      </c>
    </row>
    <row r="5" spans="3:13" ht="18" customHeight="1" x14ac:dyDescent="0.4">
      <c r="C5" s="299"/>
      <c r="D5" s="300"/>
      <c r="F5" s="164" t="s">
        <v>66</v>
      </c>
      <c r="G5" s="165">
        <f>Sheet1!F1</f>
        <v>45969</v>
      </c>
      <c r="H5" s="165">
        <f t="shared" ref="H5:M5" si="1">+G5+1</f>
        <v>45970</v>
      </c>
      <c r="I5" s="165">
        <f t="shared" si="1"/>
        <v>45971</v>
      </c>
      <c r="J5" s="165">
        <f t="shared" si="1"/>
        <v>45972</v>
      </c>
      <c r="K5" s="165">
        <f t="shared" si="1"/>
        <v>45973</v>
      </c>
      <c r="L5" s="165">
        <f t="shared" si="1"/>
        <v>45974</v>
      </c>
      <c r="M5" s="165">
        <f t="shared" si="1"/>
        <v>45975</v>
      </c>
    </row>
    <row r="6" spans="3:13" ht="28.5" customHeight="1" x14ac:dyDescent="0.4">
      <c r="C6" s="299"/>
      <c r="D6" s="302"/>
      <c r="F6" s="469" t="s">
        <v>31</v>
      </c>
      <c r="G6" s="470"/>
      <c r="H6" s="470"/>
      <c r="I6" s="470"/>
      <c r="J6" s="470"/>
      <c r="K6" s="470"/>
      <c r="L6" s="470"/>
      <c r="M6" s="471"/>
    </row>
    <row r="7" spans="3:13" ht="17.25" customHeight="1" x14ac:dyDescent="0.4">
      <c r="C7" s="472" t="s">
        <v>67</v>
      </c>
      <c r="D7" s="473"/>
      <c r="E7" s="168" t="s">
        <v>326</v>
      </c>
      <c r="F7" s="465" t="s">
        <v>1057</v>
      </c>
      <c r="G7" s="303" t="str" cm="1">
        <f t="array" ref="G7">IF(RIGHT(_xlfn._xlws.FILTER(Sheet1!$G$2:$G$333,(Sheet1!$G$2:$G$333=$E7)+(Sheet1!$G$2:$G$333=$E8)+(Sheet1!$G$2:$G$333=$E9),""),4)="POST",CONCATENATE(_xlfn._xlws.FILTER(Sheet1!$A$2:$A$333,(Sheet1!$G$2:$G$333=$E7)+(Sheet1!$G$2:$G$333=$E8)+(Sheet1!$G$2:$G$333=$E9),""),"-","POST"),_xlfn._xlws.FILTER(Sheet1!$A$2:$A$333,(Sheet1!$G$2:$G$333=$E7)+(Sheet1!$G$2:$G$333=$E8)+(Sheet1!$G$2:$G$333=$E9),"UNFILLED"))</f>
        <v>ELLIOTT, SHELDON</v>
      </c>
      <c r="H7" s="303" t="str" cm="1">
        <f t="array" ref="H7">IF(RIGHT(_xlfn._xlws.FILTER(Sheet1!$I$2:$I$333,(Sheet1!$I$2:$I$333=$E7)+(Sheet1!$I$2:$I$333=$E8)+(Sheet1!$I$2:$I$333=$E9),""),4)="POST",CONCATENATE(_xlfn._xlws.FILTER(Sheet1!$A$2:$A$333,(Sheet1!$I$2:$I$333=$E7)+(Sheet1!$I$2:$I$333=$E8)+(Sheet1!$I$2:$I$333=$E9),""),"-","POST"),_xlfn._xlws.FILTER(Sheet1!$A$2:$A$333,(Sheet1!$I$2:$I$333=$E7)+(Sheet1!$I$2:$I$333=$E8)+(Sheet1!$I$2:$I$333=$E9),"UNFILLED"))</f>
        <v>BRUNS, DANTRE</v>
      </c>
      <c r="I7" s="303" t="str" cm="1">
        <f t="array" ref="I7">IF(RIGHT(_xlfn._xlws.FILTER(Sheet1!$K$2:$K$333,(Sheet1!$K$2:$K$333=$E7)+(Sheet1!$K$2:$K$333=$E8)+(Sheet1!$K$2:$K$333=$E9),""),4)="POST",CONCATENATE(_xlfn._xlws.FILTER(Sheet1!$A$2:$A$333,(Sheet1!$K$2:$K$333=$E7)+(Sheet1!$K$2:$K$333=$E8)+(Sheet1!$K$2:$K$333=$E9),""),"-","POST"),_xlfn._xlws.FILTER(Sheet1!$A$2:$A$333,(Sheet1!$K$2:$K$333=$E7)+(Sheet1!$K$2:$K$333=$E8)+(Sheet1!$K$2:$K$333=$E9),"UNFILLED"))</f>
        <v>BRUNS, DANTRE</v>
      </c>
      <c r="J7" s="303" t="str" cm="1">
        <f t="array" ref="J7">IF(RIGHT(_xlfn._xlws.FILTER(Sheet1!M$2:M$333,(Sheet1!M$2:M$333=$E7)+(Sheet1!M$2:M$333=$E8)+(Sheet1!M$2:M$333=$E9),""),4)="POST",CONCATENATE(_xlfn._xlws.FILTER(Sheet1!$A$2:$A$333,(Sheet1!M$2:M$333=$E7)+(Sheet1!M$2:M$333=$E8)+(Sheet1!M$2:M$333=$E9),""),"-","POST"),_xlfn._xlws.FILTER(Sheet1!$A$2:$A$333,(Sheet1!M$2:M$333=$E7)+(Sheet1!M$2:M$333=$E8)+(Sheet1!M$2:M$333=$E9),"UNFILLED"))</f>
        <v>ELLIOTT, SHELDON</v>
      </c>
      <c r="K7" s="303" t="str" cm="1">
        <f t="array" ref="K7">IF(RIGHT(_xlfn._xlws.FILTER(Sheet1!$O$2:$O$333,(Sheet1!$O$2:$O$333=$E7)+(Sheet1!$O$2:$O$333=$E8)+(Sheet1!$O$2:$O$333=$E9),""),4)="POST",CONCATENATE(_xlfn._xlws.FILTER(Sheet1!$A$2:$A$333,(Sheet1!$O$2:$O$333=$E7)+(Sheet1!$O$2:$O$333=$E8)+(Sheet1!$O$2:$O$333=$E9),""),"-","POST"),_xlfn._xlws.FILTER(Sheet1!$A$2:$A$333,(Sheet1!$O$2:$O$333=$E7)+(Sheet1!$O$2:$O$333=$E8)+(Sheet1!$O$2:$O$333=$E9),"UNFILLED"))</f>
        <v>ELLIOTT, SHELDON</v>
      </c>
      <c r="L7" s="303" t="str" cm="1">
        <f t="array" ref="L7">IF(RIGHT(_xlfn._xlws.FILTER(Sheet1!$Q$2:$Q$333,(Sheet1!$Q$2:$Q$333=$E7)+(Sheet1!$Q$2:$Q$333=$E8)+(Sheet1!$Q$2:$Q$333=$E9),""),4)="POST",CONCATENATE(_xlfn._xlws.FILTER(Sheet1!$A$2:$A$333,(Sheet1!$Q$2:$Q$333=$E7)+(Sheet1!$Q$2:$Q$333=$E8)+(Sheet1!$Q$2:$Q$333=$E9),""),"-","POST"),_xlfn._xlws.FILTER(Sheet1!$A$2:$A$333,(Sheet1!$Q$2:$Q$333=$E7)+(Sheet1!$Q$2:$Q$333=$E8)+(Sheet1!$Q$2:$Q$333=$E9),"UNFILLED"))</f>
        <v>ELLIOTT, SHELDON</v>
      </c>
      <c r="M7" s="303" t="str" cm="1">
        <f t="array" ref="M7">IF(RIGHT(_xlfn._xlws.FILTER(Sheet1!$S$2:$S$333,(Sheet1!$S$2:$S$333=$E7)+(Sheet1!$S$2:$S$333=$E8)+(Sheet1!$S$2:$S$333=$E9),""),4)="POST",CONCATENATE(_xlfn._xlws.FILTER(Sheet1!$A$2:$A$333,(Sheet1!$S$2:$S$333=$E7)+(Sheet1!$S$2:$S$333=$E8)+(Sheet1!$S$2:$S$333=$E9),""),"-","POST"),_xlfn._xlws.FILTER(Sheet1!$A$2:$A$333,(Sheet1!$S$2:$S$333=$E7)+(Sheet1!$S$2:$S$333=$E8)+(Sheet1!$S$2:$S$333=$E9),"UNFILLED"))</f>
        <v>ELLIOTT, SHELDON</v>
      </c>
    </row>
    <row r="8" spans="3:13" ht="17.25" customHeight="1" x14ac:dyDescent="0.4">
      <c r="C8" s="472"/>
      <c r="D8" s="473"/>
      <c r="E8" s="168" t="str">
        <f>_xlfn.CONCAT(E7,"-","POST")</f>
        <v>NE-1-POST</v>
      </c>
      <c r="F8" s="466"/>
      <c r="G8" s="304"/>
      <c r="H8" s="304"/>
      <c r="I8" s="304"/>
      <c r="J8" s="304"/>
      <c r="K8" s="304"/>
      <c r="L8" s="304"/>
      <c r="M8" s="304"/>
    </row>
    <row r="9" spans="3:13" ht="17.25" customHeight="1" x14ac:dyDescent="0.4">
      <c r="C9" s="472"/>
      <c r="D9" s="473"/>
      <c r="E9" s="168" t="str">
        <f>_xlfn.CONCAT(E7,"-","PILOT")</f>
        <v>NE-1-PILOT</v>
      </c>
      <c r="F9" s="467"/>
      <c r="G9" s="305"/>
      <c r="H9" s="305"/>
      <c r="I9" s="305"/>
      <c r="J9" s="305"/>
      <c r="K9" s="305"/>
      <c r="L9" s="305"/>
      <c r="M9" s="305"/>
    </row>
    <row r="10" spans="3:13" ht="17.25" customHeight="1" x14ac:dyDescent="0.4">
      <c r="C10" s="472"/>
      <c r="D10" s="473"/>
      <c r="E10" s="168" t="s">
        <v>606</v>
      </c>
      <c r="F10" s="465" t="s">
        <v>1058</v>
      </c>
      <c r="G10" s="303" t="str" cm="1">
        <f t="array" ref="G10">IF(RIGHT(_xlfn._xlws.FILTER(Sheet1!$G$2:$G$333,(Sheet1!$G$2:$G$333=$E10)+(Sheet1!$G$2:$G$333=$E11)+(Sheet1!$G$2:$G$333=$E12),""),4)="POST",CONCATENATE(_xlfn._xlws.FILTER(Sheet1!$A$2:$A$333,(Sheet1!$G$2:$G$333=$E10)+(Sheet1!$G$2:$G$333=$E11)+(Sheet1!$G$2:$G$333=$E12),""),"-","POST"),_xlfn._xlws.FILTER(Sheet1!$A$2:$A$333,(Sheet1!$G$2:$G$333=$E10)+(Sheet1!$G$2:$G$333=$E11)+(Sheet1!$G$2:$G$333=$E12),"UNFILLED"))</f>
        <v>HENDRICKS, WILLIAM</v>
      </c>
      <c r="H10" s="303" t="str" cm="1">
        <f t="array" ref="H10">IF(RIGHT(_xlfn._xlws.FILTER(Sheet1!$I$2:$I$333,(Sheet1!$I$2:$I$333=$E10)+(Sheet1!$I$2:$I$333=$E11)+(Sheet1!$I$2:$I$333=$E12),""),4)="POST",CONCATENATE(_xlfn._xlws.FILTER(Sheet1!$A$2:$A$333,(Sheet1!$I$2:$I$333=$E10)+(Sheet1!$I$2:$I$333=$E11)+(Sheet1!$I$2:$I$333=$E12),""),"-","POST"),_xlfn._xlws.FILTER(Sheet1!$A$2:$A$333,(Sheet1!$I$2:$I$333=$E10)+(Sheet1!$I$2:$I$333=$E11)+(Sheet1!$I$2:$I$333=$E12),"UNFILLED"))</f>
        <v>HENDRICKS, WILLIAM</v>
      </c>
      <c r="I10" s="303" t="str" cm="1">
        <f t="array" ref="I10">IF(RIGHT(_xlfn._xlws.FILTER(Sheet1!$K$2:$K$333,(Sheet1!$K$2:$K$333=$E10)+(Sheet1!$K$2:$K$333=$E11)+(Sheet1!$K$2:$K$333=$E12),""),4)="POST",CONCATENATE(_xlfn._xlws.FILTER(Sheet1!$A$2:$A$333,(Sheet1!$K$2:$K$333=$E10)+(Sheet1!$K$2:$K$333=$E11)+(Sheet1!$K$2:$K$333=$E12),""),"-","POST"),_xlfn._xlws.FILTER(Sheet1!$A$2:$A$333,(Sheet1!$K$2:$K$333=$E10)+(Sheet1!$K$2:$K$333=$E11)+(Sheet1!$K$2:$K$333=$E12),"UNFILLED"))</f>
        <v>WILLIAMS, JASMINE</v>
      </c>
      <c r="J10" s="303" t="str" cm="1">
        <f t="array" ref="J10">IF(RIGHT(_xlfn._xlws.FILTER(Sheet1!M$2:M$333,(Sheet1!M$2:M$333=$E10)+(Sheet1!M$2:M$333=$E11)+(Sheet1!M$2:M$333=$E12),""),4)="POST",CONCATENATE(_xlfn._xlws.FILTER(Sheet1!$A$2:$A$333,(Sheet1!M$2:M$333=$E10)+(Sheet1!M$2:M$333=$E11)+(Sheet1!M$2:M$333=$E12),""),"-","POST"),_xlfn._xlws.FILTER(Sheet1!$A$2:$A$333,(Sheet1!M$2:M$333=$E10)+(Sheet1!M$2:M$333=$E11)+(Sheet1!M$2:M$333=$E12),"UNFILLED"))</f>
        <v>WILLIAMS, JASMINE</v>
      </c>
      <c r="K10" s="303" t="str" cm="1">
        <f t="array" ref="K10">IF(RIGHT(_xlfn._xlws.FILTER(Sheet1!$O$2:$O$333,(Sheet1!$O$2:$O$333=$E10)+(Sheet1!$O$2:$O$333=$E11)+(Sheet1!$O$2:$O$333=$E12),""),4)="POST",CONCATENATE(_xlfn._xlws.FILTER(Sheet1!$A$2:$A$333,(Sheet1!$O$2:$O$333=$E10)+(Sheet1!$O$2:$O$333=$E11)+(Sheet1!$O$2:$O$333=$E12),""),"-","POST"),_xlfn._xlws.FILTER(Sheet1!$A$2:$A$333,(Sheet1!$O$2:$O$333=$E10)+(Sheet1!$O$2:$O$333=$E11)+(Sheet1!$O$2:$O$333=$E12),"UNFILLED"))</f>
        <v>HENDRICKS, WILLIAM</v>
      </c>
      <c r="L10" s="303" t="str" cm="1">
        <f t="array" ref="L10">IF(RIGHT(_xlfn._xlws.FILTER(Sheet1!$Q$2:$Q$333,(Sheet1!$Q$2:$Q$333=$E10)+(Sheet1!$Q$2:$Q$333=$E11)+(Sheet1!$Q$2:$Q$333=$E12),""),4)="POST",CONCATENATE(_xlfn._xlws.FILTER(Sheet1!$A$2:$A$333,(Sheet1!$Q$2:$Q$333=$E10)+(Sheet1!$Q$2:$Q$333=$E11)+(Sheet1!$Q$2:$Q$333=$E12),""),"-","POST"),_xlfn._xlws.FILTER(Sheet1!$A$2:$A$333,(Sheet1!$Q$2:$Q$333=$E10)+(Sheet1!$Q$2:$Q$333=$E11)+(Sheet1!$Q$2:$Q$333=$E12),"UNFILLED"))</f>
        <v>IBN RABAH, BILAL</v>
      </c>
      <c r="M10" s="303" t="str" cm="1">
        <f t="array" ref="M10">IF(RIGHT(_xlfn._xlws.FILTER(Sheet1!$S$2:$S$333,(Sheet1!$S$2:$S$333=$E10)+(Sheet1!$S$2:$S$333=$E11)+(Sheet1!$S$2:$S$333=$E12),""),4)="POST",CONCATENATE(_xlfn._xlws.FILTER(Sheet1!$A$2:$A$333,(Sheet1!$S$2:$S$333=$E10)+(Sheet1!$S$2:$S$333=$E11)+(Sheet1!$S$2:$S$333=$E12),""),"-","POST"),_xlfn._xlws.FILTER(Sheet1!$A$2:$A$333,(Sheet1!$S$2:$S$333=$E10)+(Sheet1!$S$2:$S$333=$E11)+(Sheet1!$S$2:$S$333=$E12),"UNFILLED"))</f>
        <v>HENDRICKS, WILLIAM</v>
      </c>
    </row>
    <row r="11" spans="3:13" ht="17.25" customHeight="1" x14ac:dyDescent="0.4">
      <c r="C11" s="472"/>
      <c r="D11" s="473"/>
      <c r="E11" s="168" t="str">
        <f>_xlfn.CONCAT(E10,"-","POST")</f>
        <v>SE-1-POST</v>
      </c>
      <c r="F11" s="466"/>
      <c r="G11" s="304"/>
      <c r="H11" s="304"/>
      <c r="I11" s="304"/>
      <c r="J11" s="304"/>
      <c r="K11" s="304"/>
      <c r="L11" s="304"/>
      <c r="M11" s="304"/>
    </row>
    <row r="12" spans="3:13" ht="17.25" customHeight="1" x14ac:dyDescent="0.4">
      <c r="C12" s="472"/>
      <c r="D12" s="473"/>
      <c r="E12" s="168" t="str">
        <f>_xlfn.CONCAT(E10,"-","PILOT")</f>
        <v>SE-1-PILOT</v>
      </c>
      <c r="F12" s="467"/>
      <c r="G12" s="305"/>
      <c r="H12" s="305"/>
      <c r="I12" s="305"/>
      <c r="J12" s="305"/>
      <c r="K12" s="305"/>
      <c r="L12" s="305"/>
      <c r="M12" s="305"/>
    </row>
    <row r="13" spans="3:13" ht="17.25" customHeight="1" x14ac:dyDescent="0.4">
      <c r="C13" s="472"/>
      <c r="D13" s="473"/>
      <c r="E13" s="168" t="s">
        <v>911</v>
      </c>
      <c r="F13" s="465" t="s">
        <v>1059</v>
      </c>
      <c r="G13" s="303" t="str" cm="1">
        <f t="array" ref="G13">IF(RIGHT(_xlfn._xlws.FILTER(Sheet1!$G$2:$G$333,(Sheet1!$G$2:$G$333=$E13)+(Sheet1!$G$2:$G$333=$E14)+(Sheet1!$G$2:$G$333=$E15),""),4)="POST",CONCATENATE(_xlfn._xlws.FILTER(Sheet1!$A$2:$A$333,(Sheet1!$G$2:$G$333=$E13)+(Sheet1!$G$2:$G$333=$E14)+(Sheet1!$G$2:$G$333=$E15),""),"-","POST"),_xlfn._xlws.FILTER(Sheet1!$A$2:$A$333,(Sheet1!$G$2:$G$333=$E13)+(Sheet1!$G$2:$G$333=$E14)+(Sheet1!$G$2:$G$333=$E15),"UNFILLED"))</f>
        <v>WRIGHT, SHAMARA</v>
      </c>
      <c r="H13" s="303" t="str" cm="1">
        <f t="array" ref="H13">IF(RIGHT(_xlfn._xlws.FILTER(Sheet1!$I$2:$I$333,(Sheet1!$I$2:$I$333=$E13)+(Sheet1!$I$2:$I$333=$E14)+(Sheet1!$I$2:$I$333=$E15),""),4)="POST",CONCATENATE(_xlfn._xlws.FILTER(Sheet1!$A$2:$A$333,(Sheet1!$I$2:$I$333=$E13)+(Sheet1!$I$2:$I$333=$E14)+(Sheet1!$I$2:$I$333=$E15),""),"-","POST"),_xlfn._xlws.FILTER(Sheet1!$A$2:$A$333,(Sheet1!$I$2:$I$333=$E13)+(Sheet1!$I$2:$I$333=$E14)+(Sheet1!$I$2:$I$333=$E15),"UNFILLED"))</f>
        <v>WRIGHT, SHAMARA</v>
      </c>
      <c r="I13" s="303" t="str" cm="1">
        <f t="array" ref="I13:I14">IF(RIGHT(_xlfn._xlws.FILTER(Sheet1!$K$2:$K$333,(Sheet1!$K$2:$K$333=$E13)+(Sheet1!$K$2:$K$333=$E14)+(Sheet1!$K$2:$K$333=$E15),""),4)="POST",CONCATENATE(_xlfn._xlws.FILTER(Sheet1!$A$2:$A$333,(Sheet1!$K$2:$K$333=$E13)+(Sheet1!$K$2:$K$333=$E14)+(Sheet1!$K$2:$K$333=$E15),""),"-","POST"),_xlfn._xlws.FILTER(Sheet1!$A$2:$A$333,(Sheet1!$K$2:$K$333=$E13)+(Sheet1!$K$2:$K$333=$E14)+(Sheet1!$K$2:$K$333=$E15),"UNFILLED"))</f>
        <v>WALLER, CHARLES-POST</v>
      </c>
      <c r="J13" s="303" t="str" cm="1">
        <f t="array" ref="J13:J14">IF(RIGHT(_xlfn._xlws.FILTER(Sheet1!M$2:M$333,(Sheet1!M$2:M$333=$E13)+(Sheet1!M$2:M$333=$E14)+(Sheet1!M$2:M$333=$E15),""),4)="POST",CONCATENATE(_xlfn._xlws.FILTER(Sheet1!$A$2:$A$333,(Sheet1!M$2:M$333=$E13)+(Sheet1!M$2:M$333=$E14)+(Sheet1!M$2:M$333=$E15),""),"-","POST"),_xlfn._xlws.FILTER(Sheet1!$A$2:$A$333,(Sheet1!M$2:M$333=$E13)+(Sheet1!M$2:M$333=$E14)+(Sheet1!M$2:M$333=$E15),"UNFILLED"))</f>
        <v>SMITH, PATRICK</v>
      </c>
      <c r="K13" s="303" t="str" cm="1">
        <f t="array" ref="K13">IF(RIGHT(_xlfn._xlws.FILTER(Sheet1!$O$2:$O$333,(Sheet1!$O$2:$O$333=$E13)+(Sheet1!$O$2:$O$333=$E14)+(Sheet1!$O$2:$O$333=$E15),""),4)="POST",CONCATENATE(_xlfn._xlws.FILTER(Sheet1!$A$2:$A$333,(Sheet1!$O$2:$O$333=$E13)+(Sheet1!$O$2:$O$333=$E14)+(Sheet1!$O$2:$O$333=$E15),""),"-","POST"),_xlfn._xlws.FILTER(Sheet1!$A$2:$A$333,(Sheet1!$O$2:$O$333=$E13)+(Sheet1!$O$2:$O$333=$E14)+(Sheet1!$O$2:$O$333=$E15),"UNFILLED"))</f>
        <v>SMITH, PATRICK</v>
      </c>
      <c r="L13" s="303" t="str" cm="1">
        <f t="array" ref="L13">IF(RIGHT(_xlfn._xlws.FILTER(Sheet1!$Q$2:$Q$333,(Sheet1!$Q$2:$Q$333=$E13)+(Sheet1!$Q$2:$Q$333=$E14)+(Sheet1!$Q$2:$Q$333=$E15),""),4)="POST",CONCATENATE(_xlfn._xlws.FILTER(Sheet1!$A$2:$A$333,(Sheet1!$Q$2:$Q$333=$E13)+(Sheet1!$Q$2:$Q$333=$E14)+(Sheet1!$Q$2:$Q$333=$E15),""),"-","POST"),_xlfn._xlws.FILTER(Sheet1!$A$2:$A$333,(Sheet1!$Q$2:$Q$333=$E13)+(Sheet1!$Q$2:$Q$333=$E14)+(Sheet1!$Q$2:$Q$333=$E15),"UNFILLED"))</f>
        <v>SMITH, PATRICK</v>
      </c>
      <c r="M13" s="303" t="str" cm="1">
        <f t="array" ref="M13">IF(RIGHT(_xlfn._xlws.FILTER(Sheet1!$S$2:$S$333,(Sheet1!$S$2:$S$333=$E13)+(Sheet1!$S$2:$S$333=$E14)+(Sheet1!$S$2:$S$333=$E15),""),4)="POST",CONCATENATE(_xlfn._xlws.FILTER(Sheet1!$A$2:$A$333,(Sheet1!$S$2:$S$333=$E13)+(Sheet1!$S$2:$S$333=$E14)+(Sheet1!$S$2:$S$333=$E15),""),"-","POST"),_xlfn._xlws.FILTER(Sheet1!$A$2:$A$333,(Sheet1!$S$2:$S$333=$E13)+(Sheet1!$S$2:$S$333=$E14)+(Sheet1!$S$2:$S$333=$E15),"UNFILLED"))</f>
        <v>SMITH, PATRICK</v>
      </c>
    </row>
    <row r="14" spans="3:13" ht="17.25" customHeight="1" x14ac:dyDescent="0.4">
      <c r="C14" s="472"/>
      <c r="D14" s="473"/>
      <c r="E14" s="168" t="str">
        <f>_xlfn.CONCAT(E13,"-","POST")</f>
        <v>IN-1-POST</v>
      </c>
      <c r="F14" s="466"/>
      <c r="G14" s="304"/>
      <c r="H14" s="304"/>
      <c r="I14" s="304" t="str">
        <v>WRIGHT, SHAMARA</v>
      </c>
      <c r="J14" s="304" t="str">
        <v>WALLER, CHARLES-POST</v>
      </c>
      <c r="K14" s="304"/>
      <c r="L14" s="304"/>
      <c r="M14" s="304"/>
    </row>
    <row r="15" spans="3:13" ht="17.25" customHeight="1" x14ac:dyDescent="0.4">
      <c r="C15" s="472"/>
      <c r="D15" s="473"/>
      <c r="E15" s="168" t="str">
        <f>_xlfn.CONCAT(E13,"-","PILOT")</f>
        <v>IN-1-PILOT</v>
      </c>
      <c r="F15" s="467"/>
      <c r="G15" s="305"/>
      <c r="H15" s="305"/>
      <c r="I15" s="305"/>
      <c r="J15" s="305"/>
      <c r="K15" s="305"/>
      <c r="L15" s="305"/>
      <c r="M15" s="305"/>
    </row>
    <row r="16" spans="3:13" ht="17.25" customHeight="1" x14ac:dyDescent="0.4">
      <c r="C16" s="472"/>
      <c r="D16" s="473"/>
      <c r="E16" s="168" t="s">
        <v>390</v>
      </c>
      <c r="F16" s="465" t="s">
        <v>1060</v>
      </c>
      <c r="G16" s="303" t="str" cm="1">
        <f t="array" ref="G16">IF(RIGHT(_xlfn._xlws.FILTER(Sheet1!$G$2:$G$333,(Sheet1!$G$2:$G$333=$E16)+(Sheet1!$G$2:$G$333=$E17)+(Sheet1!$G$2:$G$333=$E18),""),4)="POST",CONCATENATE(_xlfn._xlws.FILTER(Sheet1!$A$2:$A$333,(Sheet1!$G$2:$G$333=$E16)+(Sheet1!$G$2:$G$333=$E17)+(Sheet1!$G$2:$G$333=$E18),""),"-","POST"),_xlfn._xlws.FILTER(Sheet1!$A$2:$A$333,(Sheet1!$G$2:$G$333=$E16)+(Sheet1!$G$2:$G$333=$E17)+(Sheet1!$G$2:$G$333=$E18),"UNFILLED"))</f>
        <v>HOBBS, DESIREE</v>
      </c>
      <c r="H16" s="303" t="str" cm="1">
        <f t="array" ref="H16">IF(RIGHT(_xlfn._xlws.FILTER(Sheet1!$I$2:$I$333,(Sheet1!$I$2:$I$333=$E16)+(Sheet1!$I$2:$I$333=$E17)+(Sheet1!$I$2:$I$333=$E18),""),4)="POST",CONCATENATE(_xlfn._xlws.FILTER(Sheet1!$A$2:$A$333,(Sheet1!$I$2:$I$333=$E16)+(Sheet1!$I$2:$I$333=$E17)+(Sheet1!$I$2:$I$333=$E18),""),"-","POST"),_xlfn._xlws.FILTER(Sheet1!$A$2:$A$333,(Sheet1!$I$2:$I$333=$E16)+(Sheet1!$I$2:$I$333=$E17)+(Sheet1!$I$2:$I$333=$E18),"UNFILLED"))</f>
        <v>HOBBS, DESIREE</v>
      </c>
      <c r="I16" s="303" t="str" cm="1">
        <f t="array" ref="I16">IF(RIGHT(_xlfn._xlws.FILTER(Sheet1!$K$2:$K$333,(Sheet1!$K$2:$K$333=$E16)+(Sheet1!$K$2:$K$333=$E17)+(Sheet1!$K$2:$K$333=$E18),""),4)="POST",CONCATENATE(_xlfn._xlws.FILTER(Sheet1!$A$2:$A$333,(Sheet1!$K$2:$K$333=$E16)+(Sheet1!$K$2:$K$333=$E17)+(Sheet1!$K$2:$K$333=$E18),""),"-","POST"),_xlfn._xlws.FILTER(Sheet1!$A$2:$A$333,(Sheet1!$K$2:$K$333=$E16)+(Sheet1!$K$2:$K$333=$E17)+(Sheet1!$K$2:$K$333=$E18),"UNFILLED"))</f>
        <v>COX, DERICK</v>
      </c>
      <c r="J16" s="303" t="str" cm="1">
        <f t="array" ref="J16">IF(RIGHT(_xlfn._xlws.FILTER(Sheet1!M$2:M$333,(Sheet1!M$2:M$333=$E16)+(Sheet1!M$2:M$333=$E17)+(Sheet1!M$2:M$333=$E18),""),4)="POST",CONCATENATE(_xlfn._xlws.FILTER(Sheet1!$A$2:$A$333,(Sheet1!M$2:M$333=$E16)+(Sheet1!M$2:M$333=$E17)+(Sheet1!M$2:M$333=$E18),""),"-","POST"),_xlfn._xlws.FILTER(Sheet1!$A$2:$A$333,(Sheet1!M$2:M$333=$E16)+(Sheet1!M$2:M$333=$E17)+(Sheet1!M$2:M$333=$E18),"UNFILLED"))</f>
        <v>COX, DERICK</v>
      </c>
      <c r="K16" s="303" t="str" cm="1">
        <f t="array" ref="K16">IF(RIGHT(_xlfn._xlws.FILTER(Sheet1!$O$2:$O$333,(Sheet1!$O$2:$O$333=$E16)+(Sheet1!$O$2:$O$333=$E17)+(Sheet1!$O$2:$O$333=$E18),""),4)="POST",CONCATENATE(_xlfn._xlws.FILTER(Sheet1!$A$2:$A$333,(Sheet1!$O$2:$O$333=$E16)+(Sheet1!$O$2:$O$333=$E17)+(Sheet1!$O$2:$O$333=$E18),""),"-","POST"),_xlfn._xlws.FILTER(Sheet1!$A$2:$A$333,(Sheet1!$O$2:$O$333=$E16)+(Sheet1!$O$2:$O$333=$E17)+(Sheet1!$O$2:$O$333=$E18),"UNFILLED"))</f>
        <v>WALLER, CHARLES</v>
      </c>
      <c r="L16" s="303" t="str" cm="1">
        <f t="array" ref="L16">IF(RIGHT(_xlfn._xlws.FILTER(Sheet1!$Q$2:$Q$333,(Sheet1!$Q$2:$Q$333=$E16)+(Sheet1!$Q$2:$Q$333=$E17)+(Sheet1!$Q$2:$Q$333=$E18),""),4)="POST",CONCATENATE(_xlfn._xlws.FILTER(Sheet1!$A$2:$A$333,(Sheet1!$Q$2:$Q$333=$E16)+(Sheet1!$Q$2:$Q$333=$E17)+(Sheet1!$Q$2:$Q$333=$E18),""),"-","POST"),_xlfn._xlws.FILTER(Sheet1!$A$2:$A$333,(Sheet1!$Q$2:$Q$333=$E16)+(Sheet1!$Q$2:$Q$333=$E17)+(Sheet1!$Q$2:$Q$333=$E18),"UNFILLED"))</f>
        <v>COX, DERICK</v>
      </c>
      <c r="M16" s="303" t="str" cm="1">
        <f t="array" ref="M16">IF(RIGHT(_xlfn._xlws.FILTER(Sheet1!$S$2:$S$333,(Sheet1!$S$2:$S$333=$E16)+(Sheet1!$S$2:$S$333=$E17)+(Sheet1!$S$2:$S$333=$E18),""),4)="POST",CONCATENATE(_xlfn._xlws.FILTER(Sheet1!$A$2:$A$333,(Sheet1!$S$2:$S$333=$E16)+(Sheet1!$S$2:$S$333=$E17)+(Sheet1!$S$2:$S$333=$E18),""),"-","POST"),_xlfn._xlws.FILTER(Sheet1!$A$2:$A$333,(Sheet1!$S$2:$S$333=$E16)+(Sheet1!$S$2:$S$333=$E17)+(Sheet1!$S$2:$S$333=$E18),"UNFILLED"))</f>
        <v>COX, DERICK</v>
      </c>
    </row>
    <row r="17" spans="3:13" ht="17.25" customHeight="1" x14ac:dyDescent="0.4">
      <c r="C17" s="472"/>
      <c r="D17" s="473"/>
      <c r="E17" s="168" t="str">
        <f>_xlfn.CONCAT(E16,"-","POST")</f>
        <v>GS-1-POST</v>
      </c>
      <c r="F17" s="466"/>
      <c r="G17" s="304"/>
      <c r="H17" s="304"/>
      <c r="I17" s="304"/>
      <c r="J17" s="304"/>
      <c r="K17" s="304"/>
      <c r="L17" s="304"/>
      <c r="M17" s="304"/>
    </row>
    <row r="18" spans="3:13" ht="17.25" customHeight="1" x14ac:dyDescent="0.4">
      <c r="C18" s="472"/>
      <c r="D18" s="473"/>
      <c r="E18" s="168" t="str">
        <f>_xlfn.CONCAT(E16,"-","PILOT")</f>
        <v>GS-1-PILOT</v>
      </c>
      <c r="F18" s="467"/>
      <c r="G18" s="305"/>
      <c r="H18" s="305"/>
      <c r="I18" s="305"/>
      <c r="J18" s="305"/>
      <c r="K18" s="305"/>
      <c r="L18" s="305"/>
      <c r="M18" s="305"/>
    </row>
    <row r="19" spans="3:13" ht="17.25" customHeight="1" x14ac:dyDescent="0.4">
      <c r="C19" s="472"/>
      <c r="D19" s="473"/>
      <c r="E19" s="168" t="s">
        <v>491</v>
      </c>
      <c r="F19" s="465" t="s">
        <v>1061</v>
      </c>
      <c r="G19" s="303" t="str" cm="1">
        <f t="array" ref="G19">IF(RIGHT(_xlfn._xlws.FILTER(Sheet1!$G$2:$G$333,(Sheet1!$G$2:$G$333=$E19)+(Sheet1!$G$2:$G$333=$E20)+(Sheet1!$G$2:$G$333=$E21),""),4)="POST",CONCATENATE(_xlfn._xlws.FILTER(Sheet1!$A$2:$A$333,(Sheet1!$G$2:$G$333=$E19)+(Sheet1!$G$2:$G$333=$E20)+(Sheet1!$G$2:$G$333=$E21),""),"-","POST"),_xlfn._xlws.FILTER(Sheet1!$A$2:$A$333,(Sheet1!$G$2:$G$333=$E19)+(Sheet1!$G$2:$G$333=$E20)+(Sheet1!$G$2:$G$333=$E21),"UNFILLED"))</f>
        <v>MCGHEE, WAYNE</v>
      </c>
      <c r="H19" s="303" t="str" cm="1">
        <f t="array" ref="H19">IF(RIGHT(_xlfn._xlws.FILTER(Sheet1!$I$2:$I$333,(Sheet1!$I$2:$I$333=$E19)+(Sheet1!$I$2:$I$333=$E20)+(Sheet1!$I$2:$I$333=$E21),""),4)="POST",CONCATENATE(_xlfn._xlws.FILTER(Sheet1!$A$2:$A$333,(Sheet1!$I$2:$I$333=$E19)+(Sheet1!$I$2:$I$333=$E20)+(Sheet1!$I$2:$I$333=$E21),""),"-","POST"),_xlfn._xlws.FILTER(Sheet1!$A$2:$A$333,(Sheet1!$I$2:$I$333=$E19)+(Sheet1!$I$2:$I$333=$E20)+(Sheet1!$I$2:$I$333=$E21),"UNFILLED"))</f>
        <v>FOGLE, MARLO</v>
      </c>
      <c r="I19" s="303" t="str" cm="1">
        <f t="array" ref="I19">IF(RIGHT(_xlfn._xlws.FILTER(Sheet1!$K$2:$K$333,(Sheet1!$K$2:$K$333=$E19)+(Sheet1!$K$2:$K$333=$E20)+(Sheet1!$K$2:$K$333=$E21),""),4)="POST",CONCATENATE(_xlfn._xlws.FILTER(Sheet1!$A$2:$A$333,(Sheet1!$K$2:$K$333=$E19)+(Sheet1!$K$2:$K$333=$E20)+(Sheet1!$K$2:$K$333=$E21),""),"-","POST"),_xlfn._xlws.FILTER(Sheet1!$A$2:$A$333,(Sheet1!$K$2:$K$333=$E19)+(Sheet1!$K$2:$K$333=$E20)+(Sheet1!$K$2:$K$333=$E21),"UNFILLED"))</f>
        <v>FOGLE, MARLO</v>
      </c>
      <c r="J19" s="303" t="str" cm="1">
        <f t="array" ref="J19">IF(RIGHT(_xlfn._xlws.FILTER(Sheet1!M$2:M$333,(Sheet1!M$2:M$333=$E19)+(Sheet1!M$2:M$333=$E20)+(Sheet1!M$2:M$333=$E21),""),4)="POST",CONCATENATE(_xlfn._xlws.FILTER(Sheet1!$A$2:$A$333,(Sheet1!M$2:M$333=$E19)+(Sheet1!M$2:M$333=$E20)+(Sheet1!M$2:M$333=$E21),""),"-","POST"),_xlfn._xlws.FILTER(Sheet1!$A$2:$A$333,(Sheet1!M$2:M$333=$E19)+(Sheet1!M$2:M$333=$E20)+(Sheet1!M$2:M$333=$E21),"UNFILLED"))</f>
        <v>WRIGHT, SHAMARA</v>
      </c>
      <c r="K19" s="303" t="str" cm="1">
        <f t="array" ref="K19:K20">IF(RIGHT(_xlfn._xlws.FILTER(Sheet1!$O$2:$O$333,(Sheet1!$O$2:$O$333=$E19)+(Sheet1!$O$2:$O$333=$E20)+(Sheet1!$O$2:$O$333=$E21),""),4)="POST",CONCATENATE(_xlfn._xlws.FILTER(Sheet1!$A$2:$A$333,(Sheet1!$O$2:$O$333=$E19)+(Sheet1!$O$2:$O$333=$E20)+(Sheet1!$O$2:$O$333=$E21),""),"-","POST"),_xlfn._xlws.FILTER(Sheet1!$A$2:$A$333,(Sheet1!$O$2:$O$333=$E19)+(Sheet1!$O$2:$O$333=$E20)+(Sheet1!$O$2:$O$333=$E21),"UNFILLED"))</f>
        <v>GOSS, PHOENIX</v>
      </c>
      <c r="L19" s="303" t="str" cm="1">
        <f t="array" ref="L19">IF(RIGHT(_xlfn._xlws.FILTER(Sheet1!$Q$2:$Q$333,(Sheet1!$Q$2:$Q$333=$E19)+(Sheet1!$Q$2:$Q$333=$E20)+(Sheet1!$Q$2:$Q$333=$E21),""),4)="POST",CONCATENATE(_xlfn._xlws.FILTER(Sheet1!$A$2:$A$333,(Sheet1!$Q$2:$Q$333=$E19)+(Sheet1!$Q$2:$Q$333=$E20)+(Sheet1!$Q$2:$Q$333=$E21),""),"-","POST"),_xlfn._xlws.FILTER(Sheet1!$A$2:$A$333,(Sheet1!$Q$2:$Q$333=$E19)+(Sheet1!$Q$2:$Q$333=$E20)+(Sheet1!$Q$2:$Q$333=$E21),"UNFILLED"))</f>
        <v>FOGLE, MARLO</v>
      </c>
      <c r="M19" s="303" t="str" cm="1">
        <f t="array" ref="M19">IF(RIGHT(_xlfn._xlws.FILTER(Sheet1!$S$2:$S$333,(Sheet1!$S$2:$S$333=$E19)+(Sheet1!$S$2:$S$333=$E20)+(Sheet1!$S$2:$S$333=$E21),""),4)="POST",CONCATENATE(_xlfn._xlws.FILTER(Sheet1!$A$2:$A$333,(Sheet1!$S$2:$S$333=$E19)+(Sheet1!$S$2:$S$333=$E20)+(Sheet1!$S$2:$S$333=$E21),""),"-","POST"),_xlfn._xlws.FILTER(Sheet1!$A$2:$A$333,(Sheet1!$S$2:$S$333=$E19)+(Sheet1!$S$2:$S$333=$E20)+(Sheet1!$S$2:$S$333=$E21),"UNFILLED"))</f>
        <v>MCGHEE, WAYNE</v>
      </c>
    </row>
    <row r="20" spans="3:13" ht="17.25" customHeight="1" x14ac:dyDescent="0.4">
      <c r="C20" s="472"/>
      <c r="D20" s="473"/>
      <c r="E20" s="168" t="str">
        <f>_xlfn.CONCAT(E19,"-","POST")</f>
        <v>SV-1-POST</v>
      </c>
      <c r="F20" s="466"/>
      <c r="G20" s="304"/>
      <c r="H20" s="304"/>
      <c r="I20" s="304"/>
      <c r="J20" s="304"/>
      <c r="K20" s="304" t="str">
        <v>IBN RABAH, BILAL-POST</v>
      </c>
      <c r="L20" s="304"/>
      <c r="M20" s="304"/>
    </row>
    <row r="21" spans="3:13" ht="17.25" customHeight="1" x14ac:dyDescent="0.4">
      <c r="C21" s="472"/>
      <c r="D21" s="473"/>
      <c r="E21" s="168" t="str">
        <f>_xlfn.CONCAT(E19,"-","PILOT")</f>
        <v>SV-1-PILOT</v>
      </c>
      <c r="F21" s="467"/>
      <c r="G21" s="305"/>
      <c r="H21" s="305"/>
      <c r="I21" s="305"/>
      <c r="J21" s="305"/>
      <c r="K21" s="305"/>
      <c r="L21" s="305"/>
      <c r="M21" s="305"/>
    </row>
    <row r="22" spans="3:13" ht="17.25" customHeight="1" x14ac:dyDescent="0.4">
      <c r="C22" s="472"/>
      <c r="D22" s="473"/>
      <c r="E22" s="168" t="s">
        <v>438</v>
      </c>
      <c r="F22" s="465" t="s">
        <v>1062</v>
      </c>
      <c r="G22" s="303" t="str" cm="1">
        <f t="array" ref="G22">IF(RIGHT(_xlfn._xlws.FILTER(Sheet1!$G$2:$G$333,(Sheet1!$G$2:$G$333=$E22)+(Sheet1!$G$2:$G$333=$E23)+(Sheet1!$G$2:$G$333=$E24),""),4)="POST",CONCATENATE(_xlfn._xlws.FILTER(Sheet1!$A$2:$A$333,(Sheet1!$G$2:$G$333=$E22)+(Sheet1!$G$2:$G$333=$E23)+(Sheet1!$G$2:$G$333=$E24),""),"-","POST"),_xlfn._xlws.FILTER(Sheet1!$A$2:$A$333,(Sheet1!$G$2:$G$333=$E22)+(Sheet1!$G$2:$G$333=$E23)+(Sheet1!$G$2:$G$333=$E24),"UNFILLED"))</f>
        <v>DOBBS, JEREMY</v>
      </c>
      <c r="H22" s="303" t="str" cm="1">
        <f t="array" ref="H22">IF(RIGHT(_xlfn._xlws.FILTER(Sheet1!$I$2:$I$333,(Sheet1!$I$2:$I$333=$E22)+(Sheet1!$I$2:$I$333=$E23)+(Sheet1!$I$2:$I$333=$E24),""),4)="POST",CONCATENATE(_xlfn._xlws.FILTER(Sheet1!$A$2:$A$333,(Sheet1!$I$2:$I$333=$E22)+(Sheet1!$I$2:$I$333=$E23)+(Sheet1!$I$2:$I$333=$E24),""),"-","POST"),_xlfn._xlws.FILTER(Sheet1!$A$2:$A$333,(Sheet1!$I$2:$I$333=$E22)+(Sheet1!$I$2:$I$333=$E23)+(Sheet1!$I$2:$I$333=$E24),"UNFILLED"))</f>
        <v>FERGUSON, CRAIG</v>
      </c>
      <c r="I22" s="303" t="str" cm="1">
        <f t="array" ref="I22">IF(RIGHT(_xlfn._xlws.FILTER(Sheet1!$K$2:$K$333,(Sheet1!$K$2:$K$333=$E22)+(Sheet1!$K$2:$K$333=$E23)+(Sheet1!$K$2:$K$333=$E24),""),4)="POST",CONCATENATE(_xlfn._xlws.FILTER(Sheet1!$A$2:$A$333,(Sheet1!$K$2:$K$333=$E22)+(Sheet1!$K$2:$K$333=$E23)+(Sheet1!$K$2:$K$333=$E24),""),"-","POST"),_xlfn._xlws.FILTER(Sheet1!$A$2:$A$333,(Sheet1!$K$2:$K$333=$E22)+(Sheet1!$K$2:$K$333=$E23)+(Sheet1!$K$2:$K$333=$E24),"UNFILLED"))</f>
        <v>SMITH, GEMOND</v>
      </c>
      <c r="J22" s="303" t="str" cm="1">
        <f t="array" ref="J22">IF(RIGHT(_xlfn._xlws.FILTER(Sheet1!M$2:M$333,(Sheet1!M$2:M$333=$E22)+(Sheet1!M$2:M$333=$E23)+(Sheet1!M$2:M$333=$E24),""),4)="POST",CONCATENATE(_xlfn._xlws.FILTER(Sheet1!$A$2:$A$333,(Sheet1!M$2:M$333=$E22)+(Sheet1!M$2:M$333=$E23)+(Sheet1!M$2:M$333=$E24),""),"-","POST"),_xlfn._xlws.FILTER(Sheet1!$A$2:$A$333,(Sheet1!M$2:M$333=$E22)+(Sheet1!M$2:M$333=$E23)+(Sheet1!M$2:M$333=$E24),"UNFILLED"))</f>
        <v>SMITH, GEMOND</v>
      </c>
      <c r="K22" s="303" t="str" cm="1">
        <f t="array" ref="K22">IF(RIGHT(_xlfn._xlws.FILTER(Sheet1!$O$2:$O$333,(Sheet1!$O$2:$O$333=$E22)+(Sheet1!$O$2:$O$333=$E23)+(Sheet1!$O$2:$O$333=$E24),""),4)="POST",CONCATENATE(_xlfn._xlws.FILTER(Sheet1!$A$2:$A$333,(Sheet1!$O$2:$O$333=$E22)+(Sheet1!$O$2:$O$333=$E23)+(Sheet1!$O$2:$O$333=$E24),""),"-","POST"),_xlfn._xlws.FILTER(Sheet1!$A$2:$A$333,(Sheet1!$O$2:$O$333=$E22)+(Sheet1!$O$2:$O$333=$E23)+(Sheet1!$O$2:$O$333=$E24),"UNFILLED"))</f>
        <v>SMITH, GEMOND</v>
      </c>
      <c r="L22" s="303" t="str" cm="1">
        <f t="array" ref="L22">IF(RIGHT(_xlfn._xlws.FILTER(Sheet1!$Q$2:$Q$333,(Sheet1!$Q$2:$Q$333=$E22)+(Sheet1!$Q$2:$Q$333=$E23)+(Sheet1!$Q$2:$Q$333=$E24),""),4)="POST",CONCATENATE(_xlfn._xlws.FILTER(Sheet1!$A$2:$A$333,(Sheet1!$Q$2:$Q$333=$E22)+(Sheet1!$Q$2:$Q$333=$E23)+(Sheet1!$Q$2:$Q$333=$E24),""),"-","POST"),_xlfn._xlws.FILTER(Sheet1!$A$2:$A$333,(Sheet1!$Q$2:$Q$333=$E22)+(Sheet1!$Q$2:$Q$333=$E23)+(Sheet1!$Q$2:$Q$333=$E24),"UNFILLED"))</f>
        <v>SMITH, GEMOND</v>
      </c>
      <c r="M22" s="303" t="str" cm="1">
        <f t="array" ref="M22">IF(RIGHT(_xlfn._xlws.FILTER(Sheet1!$S$2:$S$333,(Sheet1!$S$2:$S$333=$E22)+(Sheet1!$S$2:$S$333=$E23)+(Sheet1!$S$2:$S$333=$E24),""),4)="POST",CONCATENATE(_xlfn._xlws.FILTER(Sheet1!$A$2:$A$333,(Sheet1!$S$2:$S$333=$E22)+(Sheet1!$S$2:$S$333=$E23)+(Sheet1!$S$2:$S$333=$E24),""),"-","POST"),_xlfn._xlws.FILTER(Sheet1!$A$2:$A$333,(Sheet1!$S$2:$S$333=$E22)+(Sheet1!$S$2:$S$333=$E23)+(Sheet1!$S$2:$S$333=$E24),"UNFILLED"))</f>
        <v>SMITH, GEMOND</v>
      </c>
    </row>
    <row r="23" spans="3:13" ht="17.25" customHeight="1" x14ac:dyDescent="0.4">
      <c r="C23" s="472"/>
      <c r="D23" s="473"/>
      <c r="E23" s="168" t="str">
        <f>_xlfn.CONCAT(E22,"-","POST")</f>
        <v>CH-1-POST</v>
      </c>
      <c r="F23" s="466"/>
      <c r="G23" s="304"/>
      <c r="H23" s="304"/>
      <c r="I23" s="304"/>
      <c r="J23" s="304"/>
      <c r="K23" s="304"/>
      <c r="L23" s="304"/>
      <c r="M23" s="304"/>
    </row>
    <row r="24" spans="3:13" ht="17.25" customHeight="1" thickBot="1" x14ac:dyDescent="0.45">
      <c r="C24" s="472"/>
      <c r="D24" s="473"/>
      <c r="E24" s="168" t="str">
        <f>_xlfn.CONCAT(E22,"-","PILOT")</f>
        <v>CH-1-PILOT</v>
      </c>
      <c r="F24" s="467"/>
      <c r="G24" s="305"/>
      <c r="H24" s="305"/>
      <c r="I24" s="305"/>
      <c r="J24" s="305"/>
      <c r="K24" s="305"/>
      <c r="L24" s="305"/>
      <c r="M24" s="305"/>
    </row>
    <row r="25" spans="3:13" ht="28.5" customHeight="1" thickTop="1" x14ac:dyDescent="0.4">
      <c r="C25" s="472"/>
      <c r="D25" s="473"/>
      <c r="E25" s="174"/>
      <c r="F25" s="474" t="s">
        <v>37</v>
      </c>
      <c r="G25" s="475"/>
      <c r="H25" s="475"/>
      <c r="I25" s="475"/>
      <c r="J25" s="475"/>
      <c r="K25" s="475"/>
      <c r="L25" s="475"/>
      <c r="M25" s="476"/>
    </row>
    <row r="26" spans="3:13" ht="17.25" customHeight="1" x14ac:dyDescent="0.4">
      <c r="C26" s="472"/>
      <c r="D26" s="473"/>
      <c r="E26" s="168" t="s">
        <v>459</v>
      </c>
      <c r="F26" s="465" t="s">
        <v>1063</v>
      </c>
      <c r="G26" s="303" t="str" cm="1">
        <f t="array" ref="G26">IF(RIGHT(_xlfn._xlws.FILTER(Sheet1!$G$2:$G$333,(Sheet1!$G$2:$G$333=$E26)+(Sheet1!$G$2:$G$333=$E27)+(Sheet1!$G$2:$G$333=$E28),""),4)="POST",CONCATENATE(_xlfn._xlws.FILTER(Sheet1!$A$2:$A$333,(Sheet1!$G$2:$G$333=$E26)+(Sheet1!$G$2:$G$333=$E27)+(Sheet1!$G$2:$G$333=$E28),""),"-","POST"),_xlfn._xlws.FILTER(Sheet1!$A$2:$A$333,(Sheet1!$G$2:$G$333=$E26)+(Sheet1!$G$2:$G$333=$E27)+(Sheet1!$G$2:$G$333=$E28),"UNFILLED"))</f>
        <v>FREEMAN, ANGELIQUE</v>
      </c>
      <c r="H26" s="303" t="str" cm="1">
        <f t="array" ref="H26">IF(RIGHT(_xlfn._xlws.FILTER(Sheet1!$I$2:$I$333,(Sheet1!$I$2:$I$333=$E26)+(Sheet1!$I$2:$I$333=$E27)+(Sheet1!$I$2:$I$333=$E28),""),4)="POST",CONCATENATE(_xlfn._xlws.FILTER(Sheet1!$A$2:$A$333,(Sheet1!$I$2:$I$333=$E26)+(Sheet1!$I$2:$I$333=$E27)+(Sheet1!$I$2:$I$333=$E28),""),"-","POST"),_xlfn._xlws.FILTER(Sheet1!$A$2:$A$333,(Sheet1!$I$2:$I$333=$E26)+(Sheet1!$I$2:$I$333=$E27)+(Sheet1!$I$2:$I$333=$E28),"UNFILLED"))</f>
        <v>FREEMAN, ANGELIQUE</v>
      </c>
      <c r="I26" s="303" t="str" cm="1">
        <f t="array" ref="I26">IF(RIGHT(_xlfn._xlws.FILTER(Sheet1!$K$2:$K$333,(Sheet1!$K$2:$K$333=$E26)+(Sheet1!$K$2:$K$333=$E27)+(Sheet1!$K$2:$K$333=$E28),""),4)="POST",CONCATENATE(_xlfn._xlws.FILTER(Sheet1!$A$2:$A$333,(Sheet1!$K$2:$K$333=$E26)+(Sheet1!$K$2:$K$333=$E27)+(Sheet1!$K$2:$K$333=$E28),""),"-","POST"),_xlfn._xlws.FILTER(Sheet1!$A$2:$A$333,(Sheet1!$K$2:$K$333=$E26)+(Sheet1!$K$2:$K$333=$E27)+(Sheet1!$K$2:$K$333=$E28),"UNFILLED"))</f>
        <v>EASTHAM, DARBY</v>
      </c>
      <c r="J26" s="303" t="str" cm="1">
        <f t="array" ref="J26">IF(RIGHT(_xlfn._xlws.FILTER(Sheet1!M$2:M$333,(Sheet1!M$2:M$333=$E26)+(Sheet1!M$2:M$333=$E27)+(Sheet1!M$2:M$333=$E28),""),4)="POST",CONCATENATE(_xlfn._xlws.FILTER(Sheet1!$A$2:$A$333,(Sheet1!M$2:M$333=$E26)+(Sheet1!M$2:M$333=$E27)+(Sheet1!M$2:M$333=$E28),""),"-","POST"),_xlfn._xlws.FILTER(Sheet1!$A$2:$A$333,(Sheet1!M$2:M$333=$E26)+(Sheet1!M$2:M$333=$E27)+(Sheet1!M$2:M$333=$E28),"UNFILLED"))</f>
        <v>EASTHAM, DARBY</v>
      </c>
      <c r="K26" s="303" t="str" cm="1">
        <f t="array" ref="K26">IF(RIGHT(_xlfn._xlws.FILTER(Sheet1!$O$2:$O$333,(Sheet1!$O$2:$O$333=$E26)+(Sheet1!$O$2:$O$333=$E27)+(Sheet1!$O$2:$O$333=$E28),""),4)="POST",CONCATENATE(_xlfn._xlws.FILTER(Sheet1!$A$2:$A$333,(Sheet1!$O$2:$O$333=$E26)+(Sheet1!$O$2:$O$333=$E27)+(Sheet1!$O$2:$O$333=$E28),""),"-","POST"),_xlfn._xlws.FILTER(Sheet1!$A$2:$A$333,(Sheet1!$O$2:$O$333=$E26)+(Sheet1!$O$2:$O$333=$E27)+(Sheet1!$O$2:$O$333=$E28),"UNFILLED"))</f>
        <v>EASTHAM, DARBY</v>
      </c>
      <c r="L26" s="303" t="str" cm="1">
        <f t="array" ref="L26">IF(RIGHT(_xlfn._xlws.FILTER(Sheet1!$Q$2:$Q$333,(Sheet1!$Q$2:$Q$333=$E26)+(Sheet1!$Q$2:$Q$333=$E27)+(Sheet1!$Q$2:$Q$333=$E28),""),4)="POST",CONCATENATE(_xlfn._xlws.FILTER(Sheet1!$A$2:$A$333,(Sheet1!$Q$2:$Q$333=$E26)+(Sheet1!$Q$2:$Q$333=$E27)+(Sheet1!$Q$2:$Q$333=$E28),""),"-","POST"),_xlfn._xlws.FILTER(Sheet1!$A$2:$A$333,(Sheet1!$Q$2:$Q$333=$E26)+(Sheet1!$Q$2:$Q$333=$E27)+(Sheet1!$Q$2:$Q$333=$E28),"UNFILLED"))</f>
        <v>EASTHAM, DARBY</v>
      </c>
      <c r="M26" s="303" t="str" cm="1">
        <f t="array" ref="M26">IF(RIGHT(_xlfn._xlws.FILTER(Sheet1!$S$2:$S$333,(Sheet1!$S$2:$S$333=$E26)+(Sheet1!$S$2:$S$333=$E27)+(Sheet1!$S$2:$S$333=$E28),""),4)="POST",CONCATENATE(_xlfn._xlws.FILTER(Sheet1!$A$2:$A$333,(Sheet1!$S$2:$S$333=$E26)+(Sheet1!$S$2:$S$333=$E27)+(Sheet1!$S$2:$S$333=$E28),""),"-","POST"),_xlfn._xlws.FILTER(Sheet1!$A$2:$A$333,(Sheet1!$S$2:$S$333=$E26)+(Sheet1!$S$2:$S$333=$E27)+(Sheet1!$S$2:$S$333=$E28),"UNFILLED"))</f>
        <v>COBB, MATT</v>
      </c>
    </row>
    <row r="27" spans="3:13" ht="17.25" customHeight="1" x14ac:dyDescent="0.4">
      <c r="C27" s="472"/>
      <c r="D27" s="473"/>
      <c r="E27" s="168" t="str">
        <f>_xlfn.CONCAT(E26,"-","POST")</f>
        <v>ME-1-POST</v>
      </c>
      <c r="F27" s="466"/>
      <c r="G27" s="304"/>
      <c r="H27" s="304"/>
      <c r="I27" s="304"/>
      <c r="J27" s="304"/>
      <c r="K27" s="304"/>
      <c r="L27" s="304"/>
      <c r="M27" s="304"/>
    </row>
    <row r="28" spans="3:13" ht="17.25" customHeight="1" x14ac:dyDescent="0.4">
      <c r="C28" s="472"/>
      <c r="D28" s="473"/>
      <c r="E28" s="168" t="str">
        <f>_xlfn.CONCAT(E26,"-","PILOT")</f>
        <v>ME-1-PILOT</v>
      </c>
      <c r="F28" s="467"/>
      <c r="G28" s="305"/>
      <c r="H28" s="305"/>
      <c r="I28" s="305"/>
      <c r="J28" s="305"/>
      <c r="K28" s="305"/>
      <c r="L28" s="305"/>
      <c r="M28" s="305"/>
    </row>
    <row r="29" spans="3:13" ht="17.25" customHeight="1" x14ac:dyDescent="0.4">
      <c r="C29" s="472"/>
      <c r="D29" s="473"/>
      <c r="E29" s="168" t="s">
        <v>239</v>
      </c>
      <c r="F29" s="465" t="s">
        <v>1064</v>
      </c>
      <c r="G29" s="303" t="str" cm="1">
        <f t="array" ref="G29">IF(RIGHT(_xlfn._xlws.FILTER(Sheet1!$G$2:$G$333,(Sheet1!$G$2:$G$333=$E29)+(Sheet1!$G$2:$G$333=$E30)+(Sheet1!$G$2:$G$333=$E31),""),4)="POST",CONCATENATE(_xlfn._xlws.FILTER(Sheet1!$A$2:$A$333,(Sheet1!$G$2:$G$333=$E29)+(Sheet1!$G$2:$G$333=$E30)+(Sheet1!$G$2:$G$333=$E31),""),"-","POST"),_xlfn._xlws.FILTER(Sheet1!$A$2:$A$333,(Sheet1!$G$2:$G$333=$E29)+(Sheet1!$G$2:$G$333=$E30)+(Sheet1!$G$2:$G$333=$E31),"UNFILLED"))</f>
        <v>JOHNSON, TJ</v>
      </c>
      <c r="H29" s="303" t="str" cm="1">
        <f t="array" ref="H29">IF(RIGHT(_xlfn._xlws.FILTER(Sheet1!$I$2:$I$333,(Sheet1!$I$2:$I$333=$E29)+(Sheet1!$I$2:$I$333=$E30)+(Sheet1!$I$2:$I$333=$E31),""),4)="POST",CONCATENATE(_xlfn._xlws.FILTER(Sheet1!$A$2:$A$333,(Sheet1!$I$2:$I$333=$E29)+(Sheet1!$I$2:$I$333=$E30)+(Sheet1!$I$2:$I$333=$E31),""),"-","POST"),_xlfn._xlws.FILTER(Sheet1!$A$2:$A$333,(Sheet1!$I$2:$I$333=$E29)+(Sheet1!$I$2:$I$333=$E30)+(Sheet1!$I$2:$I$333=$E31),"UNFILLED"))</f>
        <v>WALKER, RODERICK</v>
      </c>
      <c r="I29" s="303" t="str" cm="1">
        <f t="array" ref="I29">IF(RIGHT(_xlfn._xlws.FILTER(Sheet1!$K$2:$K$333,(Sheet1!$K$2:$K$333=$E29)+(Sheet1!$K$2:$K$333=$E30)+(Sheet1!$K$2:$K$333=$E31),""),4)="POST",CONCATENATE(_xlfn._xlws.FILTER(Sheet1!$A$2:$A$333,(Sheet1!$K$2:$K$333=$E29)+(Sheet1!$K$2:$K$333=$E30)+(Sheet1!$K$2:$K$333=$E31),""),"-","POST"),_xlfn._xlws.FILTER(Sheet1!$A$2:$A$333,(Sheet1!$K$2:$K$333=$E29)+(Sheet1!$K$2:$K$333=$E30)+(Sheet1!$K$2:$K$333=$E31),"UNFILLED"))</f>
        <v>HICKS, TREVOR</v>
      </c>
      <c r="J29" s="303" t="str" cm="1">
        <f t="array" ref="J29">IF(RIGHT(_xlfn._xlws.FILTER(Sheet1!M$2:M$333,(Sheet1!M$2:M$333=$E29)+(Sheet1!M$2:M$333=$E30)+(Sheet1!M$2:M$333=$E31),""),4)="POST",CONCATENATE(_xlfn._xlws.FILTER(Sheet1!$A$2:$A$333,(Sheet1!M$2:M$333=$E29)+(Sheet1!M$2:M$333=$E30)+(Sheet1!M$2:M$333=$E31),""),"-","POST"),_xlfn._xlws.FILTER(Sheet1!$A$2:$A$333,(Sheet1!M$2:M$333=$E29)+(Sheet1!M$2:M$333=$E30)+(Sheet1!M$2:M$333=$E31),"UNFILLED"))</f>
        <v>HICKS, TREVOR</v>
      </c>
      <c r="K29" s="303" t="str" cm="1">
        <f t="array" ref="K29">IF(RIGHT(_xlfn._xlws.FILTER(Sheet1!$O$2:$O$333,(Sheet1!$O$2:$O$333=$E29)+(Sheet1!$O$2:$O$333=$E30)+(Sheet1!$O$2:$O$333=$E31),""),4)="POST",CONCATENATE(_xlfn._xlws.FILTER(Sheet1!$A$2:$A$333,(Sheet1!$O$2:$O$333=$E29)+(Sheet1!$O$2:$O$333=$E30)+(Sheet1!$O$2:$O$333=$E31),""),"-","POST"),_xlfn._xlws.FILTER(Sheet1!$A$2:$A$333,(Sheet1!$O$2:$O$333=$E29)+(Sheet1!$O$2:$O$333=$E30)+(Sheet1!$O$2:$O$333=$E31),"UNFILLED"))</f>
        <v>ALICIE, BRANDON</v>
      </c>
      <c r="L29" s="303" t="str" cm="1">
        <f t="array" ref="L29">IF(RIGHT(_xlfn._xlws.FILTER(Sheet1!$Q$2:$Q$333,(Sheet1!$Q$2:$Q$333=$E29)+(Sheet1!$Q$2:$Q$333=$E30)+(Sheet1!$Q$2:$Q$333=$E31),""),4)="POST",CONCATENATE(_xlfn._xlws.FILTER(Sheet1!$A$2:$A$333,(Sheet1!$Q$2:$Q$333=$E29)+(Sheet1!$Q$2:$Q$333=$E30)+(Sheet1!$Q$2:$Q$333=$E31),""),"-","POST"),_xlfn._xlws.FILTER(Sheet1!$A$2:$A$333,(Sheet1!$Q$2:$Q$333=$E29)+(Sheet1!$Q$2:$Q$333=$E30)+(Sheet1!$Q$2:$Q$333=$E31),"UNFILLED"))</f>
        <v>JOHNSON, TJ</v>
      </c>
      <c r="M29" s="303" t="str" cm="1">
        <f t="array" ref="M29">IF(RIGHT(_xlfn._xlws.FILTER(Sheet1!$S$2:$S$333,(Sheet1!$S$2:$S$333=$E29)+(Sheet1!$S$2:$S$333=$E30)+(Sheet1!$S$2:$S$333=$E31),""),4)="POST",CONCATENATE(_xlfn._xlws.FILTER(Sheet1!$A$2:$A$333,(Sheet1!$S$2:$S$333=$E29)+(Sheet1!$S$2:$S$333=$E30)+(Sheet1!$S$2:$S$333=$E31),""),"-","POST"),_xlfn._xlws.FILTER(Sheet1!$A$2:$A$333,(Sheet1!$S$2:$S$333=$E29)+(Sheet1!$S$2:$S$333=$E30)+(Sheet1!$S$2:$S$333=$E31),"UNFILLED"))</f>
        <v>JOHNSON, TJ</v>
      </c>
    </row>
    <row r="30" spans="3:13" ht="17.25" customHeight="1" x14ac:dyDescent="0.4">
      <c r="C30" s="472"/>
      <c r="D30" s="473"/>
      <c r="E30" s="168" t="str">
        <f>_xlfn.CONCAT(E29,"-","POST")</f>
        <v>EE-1-POST</v>
      </c>
      <c r="F30" s="466"/>
      <c r="G30" s="304"/>
      <c r="H30" s="304"/>
      <c r="I30" s="304"/>
      <c r="J30" s="304"/>
      <c r="K30" s="304"/>
      <c r="L30" s="304"/>
      <c r="M30" s="304"/>
    </row>
    <row r="31" spans="3:13" ht="17.25" customHeight="1" x14ac:dyDescent="0.4">
      <c r="C31" s="472"/>
      <c r="D31" s="473"/>
      <c r="E31" s="168" t="str">
        <f>_xlfn.CONCAT(E29,"-","PILOT")</f>
        <v>EE-1-PILOT</v>
      </c>
      <c r="F31" s="467"/>
      <c r="G31" s="305"/>
      <c r="H31" s="305"/>
      <c r="I31" s="305"/>
      <c r="J31" s="305"/>
      <c r="K31" s="305"/>
      <c r="L31" s="305"/>
      <c r="M31" s="305"/>
    </row>
    <row r="32" spans="3:13" ht="17.25" customHeight="1" x14ac:dyDescent="0.4">
      <c r="C32" s="472"/>
      <c r="D32" s="473"/>
      <c r="E32" s="168" t="s">
        <v>379</v>
      </c>
      <c r="F32" s="465" t="s">
        <v>1065</v>
      </c>
      <c r="G32" s="303" t="str" cm="1">
        <f t="array" ref="G32">IF(RIGHT(_xlfn._xlws.FILTER(Sheet1!$G$2:$G$333,(Sheet1!$G$2:$G$333=$E32)+(Sheet1!$G$2:$G$333=$E33)+(Sheet1!$G$2:$G$333=$E34),""),4)="POST",CONCATENATE(_xlfn._xlws.FILTER(Sheet1!$A$2:$A$333,(Sheet1!$G$2:$G$333=$E32)+(Sheet1!$G$2:$G$333=$E33)+(Sheet1!$G$2:$G$333=$E34),""),"-","POST"),_xlfn._xlws.FILTER(Sheet1!$A$2:$A$333,(Sheet1!$G$2:$G$333=$E32)+(Sheet1!$G$2:$G$333=$E33)+(Sheet1!$G$2:$G$333=$E34),"UNFILLED"))</f>
        <v>COBB, MATT</v>
      </c>
      <c r="H32" s="303" t="str" cm="1">
        <f t="array" ref="H32">IF(RIGHT(_xlfn._xlws.FILTER(Sheet1!$I$2:$I$333,(Sheet1!$I$2:$I$333=$E32)+(Sheet1!$I$2:$I$333=$E33)+(Sheet1!$I$2:$I$333=$E34),""),4)="POST",CONCATENATE(_xlfn._xlws.FILTER(Sheet1!$A$2:$A$333,(Sheet1!$I$2:$I$333=$E32)+(Sheet1!$I$2:$I$333=$E33)+(Sheet1!$I$2:$I$333=$E34),""),"-","POST"),_xlfn._xlws.FILTER(Sheet1!$A$2:$A$333,(Sheet1!$I$2:$I$333=$E32)+(Sheet1!$I$2:$I$333=$E33)+(Sheet1!$I$2:$I$333=$E34),"UNFILLED"))</f>
        <v>WATERS, MICHAEL</v>
      </c>
      <c r="I32" s="303" t="str" cm="1">
        <f t="array" ref="I32">IF(RIGHT(_xlfn._xlws.FILTER(Sheet1!$K$2:$K$333,(Sheet1!$K$2:$K$333=$E32)+(Sheet1!$K$2:$K$333=$E33)+(Sheet1!$K$2:$K$333=$E34),""),4)="POST",CONCATENATE(_xlfn._xlws.FILTER(Sheet1!$A$2:$A$333,(Sheet1!$K$2:$K$333=$E32)+(Sheet1!$K$2:$K$333=$E33)+(Sheet1!$K$2:$K$333=$E34),""),"-","POST"),_xlfn._xlws.FILTER(Sheet1!$A$2:$A$333,(Sheet1!$K$2:$K$333=$E32)+(Sheet1!$K$2:$K$333=$E33)+(Sheet1!$K$2:$K$333=$E34),"UNFILLED"))</f>
        <v>WATERS, MICHAEL</v>
      </c>
      <c r="J32" s="303" t="str" cm="1">
        <f t="array" ref="J32">IF(RIGHT(_xlfn._xlws.FILTER(Sheet1!M$2:M$333,(Sheet1!M$2:M$333=$E32)+(Sheet1!M$2:M$333=$E33)+(Sheet1!M$2:M$333=$E34),""),4)="POST",CONCATENATE(_xlfn._xlws.FILTER(Sheet1!$A$2:$A$333,(Sheet1!M$2:M$333=$E32)+(Sheet1!M$2:M$333=$E33)+(Sheet1!M$2:M$333=$E34),""),"-","POST"),_xlfn._xlws.FILTER(Sheet1!$A$2:$A$333,(Sheet1!M$2:M$333=$E32)+(Sheet1!M$2:M$333=$E33)+(Sheet1!M$2:M$333=$E34),"UNFILLED"))</f>
        <v>WATERS, MICHAEL</v>
      </c>
      <c r="K32" s="303" t="str" cm="1">
        <f t="array" ref="K32:K33">IF(RIGHT(_xlfn._xlws.FILTER(Sheet1!$O$2:$O$333,(Sheet1!$O$2:$O$333=$E32)+(Sheet1!$O$2:$O$333=$E33)+(Sheet1!$O$2:$O$333=$E34),""),4)="POST",CONCATENATE(_xlfn._xlws.FILTER(Sheet1!$A$2:$A$333,(Sheet1!$O$2:$O$333=$E32)+(Sheet1!$O$2:$O$333=$E33)+(Sheet1!$O$2:$O$333=$E34),""),"-","POST"),_xlfn._xlws.FILTER(Sheet1!$A$2:$A$333,(Sheet1!$O$2:$O$333=$E32)+(Sheet1!$O$2:$O$333=$E33)+(Sheet1!$O$2:$O$333=$E34),"UNFILLED"))</f>
        <v>RUSSELL, SHALONDIA-POST</v>
      </c>
      <c r="L32" s="303" t="str" cm="1">
        <f t="array" ref="L32">IF(RIGHT(_xlfn._xlws.FILTER(Sheet1!$Q$2:$Q$333,(Sheet1!$Q$2:$Q$333=$E32)+(Sheet1!$Q$2:$Q$333=$E33)+(Sheet1!$Q$2:$Q$333=$E34),""),4)="POST",CONCATENATE(_xlfn._xlws.FILTER(Sheet1!$A$2:$A$333,(Sheet1!$Q$2:$Q$333=$E32)+(Sheet1!$Q$2:$Q$333=$E33)+(Sheet1!$Q$2:$Q$333=$E34),""),"-","POST"),_xlfn._xlws.FILTER(Sheet1!$A$2:$A$333,(Sheet1!$Q$2:$Q$333=$E32)+(Sheet1!$Q$2:$Q$333=$E33)+(Sheet1!$Q$2:$Q$333=$E34),"UNFILLED"))</f>
        <v>WATERS, MICHAEL</v>
      </c>
      <c r="M32" s="303" t="str" cm="1">
        <f t="array" ref="M32">IF(RIGHT(_xlfn._xlws.FILTER(Sheet1!$S$2:$S$333,(Sheet1!$S$2:$S$333=$E32)+(Sheet1!$S$2:$S$333=$E33)+(Sheet1!$S$2:$S$333=$E34),""),4)="POST",CONCATENATE(_xlfn._xlws.FILTER(Sheet1!$A$2:$A$333,(Sheet1!$S$2:$S$333=$E32)+(Sheet1!$S$2:$S$333=$E33)+(Sheet1!$S$2:$S$333=$E34),""),"-","POST"),_xlfn._xlws.FILTER(Sheet1!$A$2:$A$333,(Sheet1!$S$2:$S$333=$E32)+(Sheet1!$S$2:$S$333=$E33)+(Sheet1!$S$2:$S$333=$E34),"UNFILLED"))</f>
        <v>SHAW, ANTHONY</v>
      </c>
    </row>
    <row r="33" spans="3:13" ht="17.25" customHeight="1" x14ac:dyDescent="0.4">
      <c r="C33" s="472"/>
      <c r="D33" s="473"/>
      <c r="E33" s="168" t="str">
        <f>_xlfn.CONCAT(E32,"-","POST")</f>
        <v>BT-1-POST</v>
      </c>
      <c r="F33" s="466"/>
      <c r="G33" s="304"/>
      <c r="H33" s="304"/>
      <c r="I33" s="304"/>
      <c r="J33" s="304"/>
      <c r="K33" s="304" t="str">
        <v>WATERS, MICHAEL</v>
      </c>
      <c r="L33" s="304"/>
      <c r="M33" s="304"/>
    </row>
    <row r="34" spans="3:13" ht="17.25" customHeight="1" x14ac:dyDescent="0.4">
      <c r="C34" s="472"/>
      <c r="D34" s="473"/>
      <c r="E34" s="168" t="str">
        <f>_xlfn.CONCAT(E32,"-","PILOT")</f>
        <v>BT-1-PILOT</v>
      </c>
      <c r="F34" s="467"/>
      <c r="G34" s="305"/>
      <c r="H34" s="305"/>
      <c r="I34" s="305"/>
      <c r="J34" s="305"/>
      <c r="K34" s="305"/>
      <c r="L34" s="305"/>
      <c r="M34" s="305"/>
    </row>
    <row r="35" spans="3:13" ht="17.25" customHeight="1" x14ac:dyDescent="0.45">
      <c r="C35" s="472"/>
      <c r="D35" s="473"/>
      <c r="E35" s="175" t="s">
        <v>630</v>
      </c>
      <c r="F35" s="465" t="s">
        <v>1066</v>
      </c>
      <c r="G35" s="303" t="str" cm="1">
        <f t="array" ref="G35">IF(RIGHT(_xlfn._xlws.FILTER(Sheet1!$G$2:$G$333,(Sheet1!$G$2:$G$333=$E35)+(Sheet1!$G$2:$G$333=$E36)+(Sheet1!$G$2:$G$333=$E37),""),4)="POST",CONCATENATE(_xlfn._xlws.FILTER(Sheet1!$A$2:$A$333,(Sheet1!$G$2:$G$333=$E35)+(Sheet1!$G$2:$G$333=$E36)+(Sheet1!$G$2:$G$333=$E37),""),"-","POST"),_xlfn._xlws.FILTER(Sheet1!$A$2:$A$333,(Sheet1!$G$2:$G$333=$E35)+(Sheet1!$G$2:$G$333=$E36)+(Sheet1!$G$2:$G$333=$E37),"UNFILLED"))</f>
        <v>HUGHES, DESHON</v>
      </c>
      <c r="H35" s="303" t="str" cm="1">
        <f t="array" ref="H35">IF(RIGHT(_xlfn._xlws.FILTER(Sheet1!$I$2:$I$333,(Sheet1!$I$2:$I$333=$E35)+(Sheet1!$I$2:$I$333=$E36)+(Sheet1!$I$2:$I$333=$E37),""),4)="POST",CONCATENATE(_xlfn._xlws.FILTER(Sheet1!$A$2:$A$333,(Sheet1!$I$2:$I$333=$E35)+(Sheet1!$I$2:$I$333=$E36)+(Sheet1!$I$2:$I$333=$E37),""),"-","POST"),_xlfn._xlws.FILTER(Sheet1!$A$2:$A$333,(Sheet1!$I$2:$I$333=$E35)+(Sheet1!$I$2:$I$333=$E36)+(Sheet1!$I$2:$I$333=$E37),"UNFILLED"))</f>
        <v>HUGHES, DESHON</v>
      </c>
      <c r="I35" s="303" t="str" cm="1">
        <f t="array" ref="I35">IF(RIGHT(_xlfn._xlws.FILTER(Sheet1!$K$2:$K$333,(Sheet1!$K$2:$K$333=$E35)+(Sheet1!$K$2:$K$333=$E36)+(Sheet1!$K$2:$K$333=$E37),""),4)="POST",CONCATENATE(_xlfn._xlws.FILTER(Sheet1!$A$2:$A$333,(Sheet1!$K$2:$K$333=$E35)+(Sheet1!$K$2:$K$333=$E36)+(Sheet1!$K$2:$K$333=$E37),""),"-","POST"),_xlfn._xlws.FILTER(Sheet1!$A$2:$A$333,(Sheet1!$K$2:$K$333=$E35)+(Sheet1!$K$2:$K$333=$E36)+(Sheet1!$K$2:$K$333=$E37),"UNFILLED"))</f>
        <v>REACH, JEFF</v>
      </c>
      <c r="J35" s="303" t="str" cm="1">
        <f t="array" ref="J35">IF(RIGHT(_xlfn._xlws.FILTER(Sheet1!M$2:M$333,(Sheet1!M$2:M$333=$E35)+(Sheet1!M$2:M$333=$E36)+(Sheet1!M$2:M$333=$E37),""),4)="POST",CONCATENATE(_xlfn._xlws.FILTER(Sheet1!$A$2:$A$333,(Sheet1!M$2:M$333=$E35)+(Sheet1!M$2:M$333=$E36)+(Sheet1!M$2:M$333=$E37),""),"-","POST"),_xlfn._xlws.FILTER(Sheet1!$A$2:$A$333,(Sheet1!M$2:M$333=$E35)+(Sheet1!M$2:M$333=$E36)+(Sheet1!M$2:M$333=$E37),"UNFILLED"))</f>
        <v>REACH, JEFF</v>
      </c>
      <c r="K35" s="303" t="str" cm="1">
        <f t="array" ref="K35">IF(RIGHT(_xlfn._xlws.FILTER(Sheet1!$O$2:$O$333,(Sheet1!$O$2:$O$333=$E35)+(Sheet1!$O$2:$O$333=$E36)+(Sheet1!$O$2:$O$333=$E37),""),4)="POST",CONCATENATE(_xlfn._xlws.FILTER(Sheet1!$A$2:$A$333,(Sheet1!$O$2:$O$333=$E35)+(Sheet1!$O$2:$O$333=$E36)+(Sheet1!$O$2:$O$333=$E37),""),"-","POST"),_xlfn._xlws.FILTER(Sheet1!$A$2:$A$333,(Sheet1!$O$2:$O$333=$E35)+(Sheet1!$O$2:$O$333=$E36)+(Sheet1!$O$2:$O$333=$E37),"UNFILLED"))</f>
        <v>REACH, JEFF</v>
      </c>
      <c r="L35" s="303" t="str" cm="1">
        <f t="array" ref="L35">IF(RIGHT(_xlfn._xlws.FILTER(Sheet1!$Q$2:$Q$333,(Sheet1!$Q$2:$Q$333=$E35)+(Sheet1!$Q$2:$Q$333=$E36)+(Sheet1!$Q$2:$Q$333=$E37),""),4)="POST",CONCATENATE(_xlfn._xlws.FILTER(Sheet1!$A$2:$A$333,(Sheet1!$Q$2:$Q$333=$E35)+(Sheet1!$Q$2:$Q$333=$E36)+(Sheet1!$Q$2:$Q$333=$E37),""),"-","POST"),_xlfn._xlws.FILTER(Sheet1!$A$2:$A$333,(Sheet1!$Q$2:$Q$333=$E35)+(Sheet1!$Q$2:$Q$333=$E36)+(Sheet1!$Q$2:$Q$333=$E37),"UNFILLED"))</f>
        <v>REACH, JEFF</v>
      </c>
      <c r="M35" s="303" t="str" cm="1">
        <f t="array" ref="M35">IF(RIGHT(_xlfn._xlws.FILTER(Sheet1!$S$2:$S$333,(Sheet1!$S$2:$S$333=$E35)+(Sheet1!$S$2:$S$333=$E36)+(Sheet1!$S$2:$S$333=$E37),""),4)="POST",CONCATENATE(_xlfn._xlws.FILTER(Sheet1!$A$2:$A$333,(Sheet1!$S$2:$S$333=$E35)+(Sheet1!$S$2:$S$333=$E36)+(Sheet1!$S$2:$S$333=$E37),""),"-","POST"),_xlfn._xlws.FILTER(Sheet1!$A$2:$A$333,(Sheet1!$S$2:$S$333=$E35)+(Sheet1!$S$2:$S$333=$E36)+(Sheet1!$S$2:$S$333=$E37),"UNFILLED"))</f>
        <v>REACH, JEFF</v>
      </c>
    </row>
    <row r="36" spans="3:13" ht="17.25" customHeight="1" x14ac:dyDescent="0.4">
      <c r="C36" s="472"/>
      <c r="D36" s="473"/>
      <c r="E36" s="168" t="str">
        <f>_xlfn.CONCAT(E35,"-","POST")</f>
        <v>NO-1-POST</v>
      </c>
      <c r="F36" s="466"/>
      <c r="G36" s="304"/>
      <c r="H36" s="304"/>
      <c r="I36" s="304"/>
      <c r="J36" s="304"/>
      <c r="K36" s="304"/>
      <c r="L36" s="304"/>
      <c r="M36" s="304"/>
    </row>
    <row r="37" spans="3:13" ht="17.25" customHeight="1" x14ac:dyDescent="0.4">
      <c r="C37" s="472"/>
      <c r="D37" s="473"/>
      <c r="E37" s="168" t="str">
        <f>_xlfn.CONCAT(E35,"-","PILOT")</f>
        <v>NO-1-PILOT</v>
      </c>
      <c r="F37" s="467"/>
      <c r="G37" s="305"/>
      <c r="H37" s="305"/>
      <c r="I37" s="305"/>
      <c r="J37" s="305"/>
      <c r="K37" s="305"/>
      <c r="L37" s="305"/>
      <c r="M37" s="305"/>
    </row>
    <row r="38" spans="3:13" ht="17.25" customHeight="1" x14ac:dyDescent="0.45">
      <c r="C38" s="472"/>
      <c r="D38" s="473"/>
      <c r="E38" s="175" t="s">
        <v>733</v>
      </c>
      <c r="F38" s="465" t="s">
        <v>1067</v>
      </c>
      <c r="G38" s="303" t="str" cm="1">
        <f t="array" ref="G38">IF(RIGHT(_xlfn._xlws.FILTER(Sheet1!$G$2:$G$333,(Sheet1!$G$2:$G$333=$E38)+(Sheet1!$G$2:$G$333=$E39)+(Sheet1!$G$2:$G$333=$E40),""),4)="POST",CONCATENATE(_xlfn._xlws.FILTER(Sheet1!$A$2:$A$333,(Sheet1!$G$2:$G$333=$E38)+(Sheet1!$G$2:$G$333=$E39)+(Sheet1!$G$2:$G$333=$E40),""),"-","POST"),_xlfn._xlws.FILTER(Sheet1!$A$2:$A$333,(Sheet1!$G$2:$G$333=$E38)+(Sheet1!$G$2:$G$333=$E39)+(Sheet1!$G$2:$G$333=$E40),"UNFILLED"))</f>
        <v>RUSSELL, SHALONDIA</v>
      </c>
      <c r="H38" s="303" t="str" cm="1">
        <f t="array" ref="H38">IF(RIGHT(_xlfn._xlws.FILTER(Sheet1!$I$2:$I$333,(Sheet1!$I$2:$I$333=$E38)+(Sheet1!$I$2:$I$333=$E39)+(Sheet1!$I$2:$I$333=$E40),""),4)="POST",CONCATENATE(_xlfn._xlws.FILTER(Sheet1!$A$2:$A$333,(Sheet1!$I$2:$I$333=$E38)+(Sheet1!$I$2:$I$333=$E39)+(Sheet1!$I$2:$I$333=$E40),""),"-","POST"),_xlfn._xlws.FILTER(Sheet1!$A$2:$A$333,(Sheet1!$I$2:$I$333=$E38)+(Sheet1!$I$2:$I$333=$E39)+(Sheet1!$I$2:$I$333=$E40),"UNFILLED"))</f>
        <v>PEEPLES, TINA</v>
      </c>
      <c r="I38" s="303" t="str" cm="1">
        <f t="array" ref="I38">IF(RIGHT(_xlfn._xlws.FILTER(Sheet1!$K$2:$K$333,(Sheet1!$K$2:$K$333=$E38)+(Sheet1!$K$2:$K$333=$E39)+(Sheet1!$K$2:$K$333=$E40),""),4)="POST",CONCATENATE(_xlfn._xlws.FILTER(Sheet1!$A$2:$A$333,(Sheet1!$K$2:$K$333=$E38)+(Sheet1!$K$2:$K$333=$E39)+(Sheet1!$K$2:$K$333=$E40),""),"-","POST"),_xlfn._xlws.FILTER(Sheet1!$A$2:$A$333,(Sheet1!$K$2:$K$333=$E38)+(Sheet1!$K$2:$K$333=$E39)+(Sheet1!$K$2:$K$333=$E40),"UNFILLED"))</f>
        <v>PEEPLES, TINA</v>
      </c>
      <c r="J38" s="303" t="str" cm="1">
        <f t="array" ref="J38">IF(RIGHT(_xlfn._xlws.FILTER(Sheet1!M$2:M$333,(Sheet1!M$2:M$333=$E38)+(Sheet1!M$2:M$333=$E39)+(Sheet1!M$2:M$333=$E40),""),4)="POST",CONCATENATE(_xlfn._xlws.FILTER(Sheet1!$A$2:$A$333,(Sheet1!M$2:M$333=$E38)+(Sheet1!M$2:M$333=$E39)+(Sheet1!M$2:M$333=$E40),""),"-","POST"),_xlfn._xlws.FILTER(Sheet1!$A$2:$A$333,(Sheet1!M$2:M$333=$E38)+(Sheet1!M$2:M$333=$E39)+(Sheet1!M$2:M$333=$E40),"UNFILLED"))</f>
        <v>PEEPLES, TINA</v>
      </c>
      <c r="K38" s="303" t="str" cm="1">
        <f t="array" ref="K38">IF(RIGHT(_xlfn._xlws.FILTER(Sheet1!$O$2:$O$333,(Sheet1!$O$2:$O$333=$E38)+(Sheet1!$O$2:$O$333=$E39)+(Sheet1!$O$2:$O$333=$E40),""),4)="POST",CONCATENATE(_xlfn._xlws.FILTER(Sheet1!$A$2:$A$333,(Sheet1!$O$2:$O$333=$E38)+(Sheet1!$O$2:$O$333=$E39)+(Sheet1!$O$2:$O$333=$E40),""),"-","POST"),_xlfn._xlws.FILTER(Sheet1!$A$2:$A$333,(Sheet1!$O$2:$O$333=$E38)+(Sheet1!$O$2:$O$333=$E39)+(Sheet1!$O$2:$O$333=$E40),"UNFILLED"))</f>
        <v>PEEPLES, TINA</v>
      </c>
      <c r="L38" s="303" t="str" cm="1">
        <f t="array" ref="L38">IF(RIGHT(_xlfn._xlws.FILTER(Sheet1!$Q$2:$Q$333,(Sheet1!$Q$2:$Q$333=$E38)+(Sheet1!$Q$2:$Q$333=$E39)+(Sheet1!$Q$2:$Q$333=$E40),""),4)="POST",CONCATENATE(_xlfn._xlws.FILTER(Sheet1!$A$2:$A$333,(Sheet1!$Q$2:$Q$333=$E38)+(Sheet1!$Q$2:$Q$333=$E39)+(Sheet1!$Q$2:$Q$333=$E40),""),"-","POST"),_xlfn._xlws.FILTER(Sheet1!$A$2:$A$333,(Sheet1!$Q$2:$Q$333=$E38)+(Sheet1!$Q$2:$Q$333=$E39)+(Sheet1!$Q$2:$Q$333=$E40),"UNFILLED"))</f>
        <v>PEEPLES, TINA</v>
      </c>
      <c r="M38" s="303" t="str" cm="1">
        <f t="array" ref="M38">IF(RIGHT(_xlfn._xlws.FILTER(Sheet1!$S$2:$S$333,(Sheet1!$S$2:$S$333=$E38)+(Sheet1!$S$2:$S$333=$E39)+(Sheet1!$S$2:$S$333=$E40),""),4)="POST",CONCATENATE(_xlfn._xlws.FILTER(Sheet1!$A$2:$A$333,(Sheet1!$S$2:$S$333=$E38)+(Sheet1!$S$2:$S$333=$E39)+(Sheet1!$S$2:$S$333=$E40),""),"-","POST"),_xlfn._xlws.FILTER(Sheet1!$A$2:$A$333,(Sheet1!$S$2:$S$333=$E38)+(Sheet1!$S$2:$S$333=$E39)+(Sheet1!$S$2:$S$333=$E40),"UNFILLED"))</f>
        <v>LOUIS, EPIPHANY</v>
      </c>
    </row>
    <row r="39" spans="3:13" ht="17.25" customHeight="1" x14ac:dyDescent="0.4">
      <c r="C39" s="472"/>
      <c r="D39" s="473"/>
      <c r="E39" s="168" t="str">
        <f>_xlfn.CONCAT(E38,"-","POST")</f>
        <v>3B-1-POST</v>
      </c>
      <c r="F39" s="466"/>
      <c r="G39" s="304"/>
      <c r="H39" s="304"/>
      <c r="I39" s="304"/>
      <c r="J39" s="304"/>
      <c r="K39" s="304"/>
      <c r="L39" s="304"/>
      <c r="M39" s="304"/>
    </row>
    <row r="40" spans="3:13" ht="17.25" customHeight="1" x14ac:dyDescent="0.4">
      <c r="C40" s="472"/>
      <c r="D40" s="473"/>
      <c r="E40" s="168" t="str">
        <f>_xlfn.CONCAT(E38,"-","PILOT")</f>
        <v>3B-1-PILOT</v>
      </c>
      <c r="F40" s="467"/>
      <c r="G40" s="305"/>
      <c r="H40" s="305"/>
      <c r="I40" s="305"/>
      <c r="J40" s="305"/>
      <c r="K40" s="305"/>
      <c r="L40" s="305"/>
      <c r="M40" s="305"/>
    </row>
    <row r="41" spans="3:13" ht="17.25" customHeight="1" x14ac:dyDescent="0.45">
      <c r="C41" s="472"/>
      <c r="D41" s="473"/>
      <c r="E41" s="175" t="s">
        <v>310</v>
      </c>
      <c r="F41" s="465" t="s">
        <v>1068</v>
      </c>
      <c r="G41" s="303" t="str" cm="1">
        <f t="array" ref="G41">IF(RIGHT(_xlfn._xlws.FILTER(Sheet1!$G$2:$G$333,(Sheet1!$G$2:$G$333=$E41)+(Sheet1!$G$2:$G$333=$E42)+(Sheet1!$G$2:$G$333=$E43),""),4)="POST",CONCATENATE(_xlfn._xlws.FILTER(Sheet1!$A$2:$A$333,(Sheet1!$G$2:$G$333=$E41)+(Sheet1!$G$2:$G$333=$E42)+(Sheet1!$G$2:$G$333=$E43),""),"-","POST"),_xlfn._xlws.FILTER(Sheet1!$A$2:$A$333,(Sheet1!$G$2:$G$333=$E41)+(Sheet1!$G$2:$G$333=$E42)+(Sheet1!$G$2:$G$333=$E43),"UNFILLED"))</f>
        <v>BRAWNER, PEYTON</v>
      </c>
      <c r="H41" s="303" t="str" cm="1">
        <f t="array" ref="H41:H42">IF(RIGHT(_xlfn._xlws.FILTER(Sheet1!$I$2:$I$333,(Sheet1!$I$2:$I$333=$E41)+(Sheet1!$I$2:$I$333=$E42)+(Sheet1!$I$2:$I$333=$E43),""),4)="POST",CONCATENATE(_xlfn._xlws.FILTER(Sheet1!$A$2:$A$333,(Sheet1!$I$2:$I$333=$E41)+(Sheet1!$I$2:$I$333=$E42)+(Sheet1!$I$2:$I$333=$E43),""),"-","POST"),_xlfn._xlws.FILTER(Sheet1!$A$2:$A$333,(Sheet1!$I$2:$I$333=$E41)+(Sheet1!$I$2:$I$333=$E42)+(Sheet1!$I$2:$I$333=$E43),"UNFILLED"))</f>
        <v>BRAWNER, PEYTON</v>
      </c>
      <c r="I41" s="303" t="str" cm="1">
        <f t="array" ref="I41">IF(RIGHT(_xlfn._xlws.FILTER(Sheet1!$K$2:$K$333,(Sheet1!$K$2:$K$333=$E41)+(Sheet1!$K$2:$K$333=$E42)+(Sheet1!$K$2:$K$333=$E43),""),4)="POST",CONCATENATE(_xlfn._xlws.FILTER(Sheet1!$A$2:$A$333,(Sheet1!$K$2:$K$333=$E41)+(Sheet1!$K$2:$K$333=$E42)+(Sheet1!$K$2:$K$333=$E43),""),"-","POST"),_xlfn._xlws.FILTER(Sheet1!$A$2:$A$333,(Sheet1!$K$2:$K$333=$E41)+(Sheet1!$K$2:$K$333=$E42)+(Sheet1!$K$2:$K$333=$E43),"UNFILLED"))</f>
        <v>GILLESPIE, JEREMY</v>
      </c>
      <c r="J41" s="303" t="str" cm="1">
        <f t="array" ref="J41">IF(RIGHT(_xlfn._xlws.FILTER(Sheet1!M$2:M$333,(Sheet1!M$2:M$333=$E41)+(Sheet1!M$2:M$333=$E42)+(Sheet1!M$2:M$333=$E43),""),4)="POST",CONCATENATE(_xlfn._xlws.FILTER(Sheet1!$A$2:$A$333,(Sheet1!M$2:M$333=$E41)+(Sheet1!M$2:M$333=$E42)+(Sheet1!M$2:M$333=$E43),""),"-","POST"),_xlfn._xlws.FILTER(Sheet1!$A$2:$A$333,(Sheet1!M$2:M$333=$E41)+(Sheet1!M$2:M$333=$E42)+(Sheet1!M$2:M$333=$E43),"UNFILLED"))</f>
        <v>GILLESPIE, JEREMY</v>
      </c>
      <c r="K41" s="303" t="str" cm="1">
        <f t="array" ref="K41">IF(RIGHT(_xlfn._xlws.FILTER(Sheet1!$O$2:$O$333,(Sheet1!$O$2:$O$333=$E41)+(Sheet1!$O$2:$O$333=$E42)+(Sheet1!$O$2:$O$333=$E43),""),4)="POST",CONCATENATE(_xlfn._xlws.FILTER(Sheet1!$A$2:$A$333,(Sheet1!$O$2:$O$333=$E41)+(Sheet1!$O$2:$O$333=$E42)+(Sheet1!$O$2:$O$333=$E43),""),"-","POST"),_xlfn._xlws.FILTER(Sheet1!$A$2:$A$333,(Sheet1!$O$2:$O$333=$E41)+(Sheet1!$O$2:$O$333=$E42)+(Sheet1!$O$2:$O$333=$E43),"UNFILLED"))</f>
        <v>GILLESPIE, JEREMY</v>
      </c>
      <c r="L41" s="303" t="str" cm="1">
        <f t="array" ref="L41">IF(RIGHT(_xlfn._xlws.FILTER(Sheet1!$Q$2:$Q$333,(Sheet1!$Q$2:$Q$333=$E41)+(Sheet1!$Q$2:$Q$333=$E42)+(Sheet1!$Q$2:$Q$333=$E43),""),4)="POST",CONCATENATE(_xlfn._xlws.FILTER(Sheet1!$A$2:$A$333,(Sheet1!$Q$2:$Q$333=$E41)+(Sheet1!$Q$2:$Q$333=$E42)+(Sheet1!$Q$2:$Q$333=$E43),""),"-","POST"),_xlfn._xlws.FILTER(Sheet1!$A$2:$A$333,(Sheet1!$Q$2:$Q$333=$E41)+(Sheet1!$Q$2:$Q$333=$E42)+(Sheet1!$Q$2:$Q$333=$E43),"UNFILLED"))</f>
        <v>GILLESPIE, JEREMY</v>
      </c>
      <c r="M41" s="303" t="str" cm="1">
        <f t="array" ref="M41:M42">IF(RIGHT(_xlfn._xlws.FILTER(Sheet1!$S$2:$S$333,(Sheet1!$S$2:$S$333=$E41)+(Sheet1!$S$2:$S$333=$E42)+(Sheet1!$S$2:$S$333=$E43),""),4)="POST",CONCATENATE(_xlfn._xlws.FILTER(Sheet1!$A$2:$A$333,(Sheet1!$S$2:$S$333=$E41)+(Sheet1!$S$2:$S$333=$E42)+(Sheet1!$S$2:$S$333=$E43),""),"-","POST"),_xlfn._xlws.FILTER(Sheet1!$A$2:$A$333,(Sheet1!$S$2:$S$333=$E41)+(Sheet1!$S$2:$S$333=$E42)+(Sheet1!$S$2:$S$333=$E43),"UNFILLED"))</f>
        <v>GILLESPIE, JEREMY</v>
      </c>
    </row>
    <row r="42" spans="3:13" ht="17.25" customHeight="1" x14ac:dyDescent="0.4">
      <c r="C42" s="472"/>
      <c r="D42" s="473"/>
      <c r="E42" s="168" t="str">
        <f>_xlfn.CONCAT(E41,"-","POST")</f>
        <v>CN-1-POST</v>
      </c>
      <c r="F42" s="466"/>
      <c r="G42" s="304"/>
      <c r="H42" s="304" t="str">
        <v>HICKS, TREVOR-POST</v>
      </c>
      <c r="I42" s="304"/>
      <c r="J42" s="304"/>
      <c r="K42" s="304"/>
      <c r="L42" s="304"/>
      <c r="M42" s="304" t="str">
        <v>HICKS, TREVOR-POST</v>
      </c>
    </row>
    <row r="43" spans="3:13" ht="17.25" customHeight="1" x14ac:dyDescent="0.4">
      <c r="C43" s="472"/>
      <c r="D43" s="473"/>
      <c r="E43" s="168" t="str">
        <f>_xlfn.CONCAT(E41,"-","PILOT")</f>
        <v>CN-1-PILOT</v>
      </c>
      <c r="F43" s="467"/>
      <c r="G43" s="305"/>
      <c r="H43" s="305"/>
      <c r="I43" s="305"/>
      <c r="J43" s="305"/>
      <c r="K43" s="305"/>
      <c r="L43" s="305"/>
      <c r="M43" s="305"/>
    </row>
    <row r="44" spans="3:13" ht="17.25" customHeight="1" x14ac:dyDescent="0.45">
      <c r="C44" s="472"/>
      <c r="D44" s="473"/>
      <c r="E44" s="175" t="s">
        <v>745</v>
      </c>
      <c r="F44" s="465" t="s">
        <v>1069</v>
      </c>
      <c r="G44" s="303" t="str" cm="1">
        <f t="array" ref="G44">IF(RIGHT(_xlfn._xlws.FILTER(Sheet1!$G$2:$G$333,(Sheet1!$G$2:$G$333=$E44)+(Sheet1!$G$2:$G$333=$E45)+(Sheet1!$G$2:$G$333=$E46),""),4)="POST",CONCATENATE(_xlfn._xlws.FILTER(Sheet1!$A$2:$A$333,(Sheet1!$G$2:$G$333=$E44)+(Sheet1!$G$2:$G$333=$E45)+(Sheet1!$G$2:$G$333=$E46),""),"-","POST"),_xlfn._xlws.FILTER(Sheet1!$A$2:$A$333,(Sheet1!$G$2:$G$333=$E44)+(Sheet1!$G$2:$G$333=$E45)+(Sheet1!$G$2:$G$333=$E46),"UNFILLED"))</f>
        <v>MANLEY, JOE</v>
      </c>
      <c r="H44" s="303" t="str" cm="1">
        <f t="array" ref="H44">IF(RIGHT(_xlfn._xlws.FILTER(Sheet1!$I$2:$I$333,(Sheet1!$I$2:$I$333=$E44)+(Sheet1!$I$2:$I$333=$E45)+(Sheet1!$I$2:$I$333=$E46),""),4)="POST",CONCATENATE(_xlfn._xlws.FILTER(Sheet1!$A$2:$A$333,(Sheet1!$I$2:$I$333=$E44)+(Sheet1!$I$2:$I$333=$E45)+(Sheet1!$I$2:$I$333=$E46),""),"-","POST"),_xlfn._xlws.FILTER(Sheet1!$A$2:$A$333,(Sheet1!$I$2:$I$333=$E44)+(Sheet1!$I$2:$I$333=$E45)+(Sheet1!$I$2:$I$333=$E46),"UNFILLED"))</f>
        <v>SCOTT, TROY</v>
      </c>
      <c r="I44" s="303" t="str" cm="1">
        <f t="array" ref="I44">IF(RIGHT(_xlfn._xlws.FILTER(Sheet1!$K$2:$K$333,(Sheet1!$K$2:$K$333=$E44)+(Sheet1!$K$2:$K$333=$E45)+(Sheet1!$K$2:$K$333=$E46),""),4)="POST",CONCATENATE(_xlfn._xlws.FILTER(Sheet1!$A$2:$A$333,(Sheet1!$K$2:$K$333=$E44)+(Sheet1!$K$2:$K$333=$E45)+(Sheet1!$K$2:$K$333=$E46),""),"-","POST"),_xlfn._xlws.FILTER(Sheet1!$A$2:$A$333,(Sheet1!$K$2:$K$333=$E44)+(Sheet1!$K$2:$K$333=$E45)+(Sheet1!$K$2:$K$333=$E46),"UNFILLED"))</f>
        <v>SCOTT, TROY</v>
      </c>
      <c r="J44" s="303" t="str" cm="1">
        <f t="array" ref="J44">IF(RIGHT(_xlfn._xlws.FILTER(Sheet1!M$2:M$333,(Sheet1!M$2:M$333=$E44)+(Sheet1!M$2:M$333=$E45)+(Sheet1!M$2:M$333=$E46),""),4)="POST",CONCATENATE(_xlfn._xlws.FILTER(Sheet1!$A$2:$A$333,(Sheet1!M$2:M$333=$E44)+(Sheet1!M$2:M$333=$E45)+(Sheet1!M$2:M$333=$E46),""),"-","POST"),_xlfn._xlws.FILTER(Sheet1!$A$2:$A$333,(Sheet1!M$2:M$333=$E44)+(Sheet1!M$2:M$333=$E45)+(Sheet1!M$2:M$333=$E46),"UNFILLED"))</f>
        <v>SCOTT, TROY</v>
      </c>
      <c r="K44" s="303" t="str" cm="1">
        <f t="array" ref="K44">IF(RIGHT(_xlfn._xlws.FILTER(Sheet1!$O$2:$O$333,(Sheet1!$O$2:$O$333=$E44)+(Sheet1!$O$2:$O$333=$E45)+(Sheet1!$O$2:$O$333=$E46),""),4)="POST",CONCATENATE(_xlfn._xlws.FILTER(Sheet1!$A$2:$A$333,(Sheet1!$O$2:$O$333=$E44)+(Sheet1!$O$2:$O$333=$E45)+(Sheet1!$O$2:$O$333=$E46),""),"-","POST"),_xlfn._xlws.FILTER(Sheet1!$A$2:$A$333,(Sheet1!$O$2:$O$333=$E44)+(Sheet1!$O$2:$O$333=$E45)+(Sheet1!$O$2:$O$333=$E46),"UNFILLED"))</f>
        <v>SCOTT, TROY</v>
      </c>
      <c r="L44" s="303" t="str" cm="1">
        <f t="array" ref="L44">IF(RIGHT(_xlfn._xlws.FILTER(Sheet1!$Q$2:$Q$333,(Sheet1!$Q$2:$Q$333=$E44)+(Sheet1!$Q$2:$Q$333=$E45)+(Sheet1!$Q$2:$Q$333=$E46),""),4)="POST",CONCATENATE(_xlfn._xlws.FILTER(Sheet1!$A$2:$A$333,(Sheet1!$Q$2:$Q$333=$E44)+(Sheet1!$Q$2:$Q$333=$E45)+(Sheet1!$Q$2:$Q$333=$E46),""),"-","POST"),_xlfn._xlws.FILTER(Sheet1!$A$2:$A$333,(Sheet1!$Q$2:$Q$333=$E44)+(Sheet1!$Q$2:$Q$333=$E45)+(Sheet1!$Q$2:$Q$333=$E46),"UNFILLED"))</f>
        <v>ALICIE, BRANDON</v>
      </c>
      <c r="M44" s="303" t="str" cm="1">
        <f t="array" ref="M44">IF(RIGHT(_xlfn._xlws.FILTER(Sheet1!$S$2:$S$333,(Sheet1!$S$2:$S$333=$E44)+(Sheet1!$S$2:$S$333=$E45)+(Sheet1!$S$2:$S$333=$E46),""),4)="POST",CONCATENATE(_xlfn._xlws.FILTER(Sheet1!$A$2:$A$333,(Sheet1!$S$2:$S$333=$E44)+(Sheet1!$S$2:$S$333=$E45)+(Sheet1!$S$2:$S$333=$E46),""),"-","POST"),_xlfn._xlws.FILTER(Sheet1!$A$2:$A$333,(Sheet1!$S$2:$S$333=$E44)+(Sheet1!$S$2:$S$333=$E45)+(Sheet1!$S$2:$S$333=$E46),"UNFILLED"))</f>
        <v>MANLEY, JOE</v>
      </c>
    </row>
    <row r="45" spans="3:13" ht="17.25" customHeight="1" x14ac:dyDescent="0.4">
      <c r="C45" s="472"/>
      <c r="D45" s="473"/>
      <c r="E45" s="168" t="str">
        <f>_xlfn.CONCAT(E44,"-","POST")</f>
        <v>KW-1-POST</v>
      </c>
      <c r="F45" s="466"/>
      <c r="G45" s="304"/>
      <c r="H45" s="304"/>
      <c r="I45" s="304"/>
      <c r="J45" s="304"/>
      <c r="K45" s="304"/>
      <c r="L45" s="304"/>
      <c r="M45" s="304"/>
    </row>
    <row r="46" spans="3:13" ht="17.25" customHeight="1" thickBot="1" x14ac:dyDescent="0.45">
      <c r="C46" s="472"/>
      <c r="D46" s="473"/>
      <c r="E46" s="168" t="str">
        <f>_xlfn.CONCAT(E44,"-","PILOT")</f>
        <v>KW-1-PILOT</v>
      </c>
      <c r="F46" s="467"/>
      <c r="G46" s="305"/>
      <c r="H46" s="305"/>
      <c r="I46" s="305"/>
      <c r="J46" s="305"/>
      <c r="K46" s="305"/>
      <c r="L46" s="305"/>
      <c r="M46" s="305"/>
    </row>
    <row r="47" spans="3:13" ht="28.5" customHeight="1" thickTop="1" x14ac:dyDescent="0.45">
      <c r="C47" s="472"/>
      <c r="D47" s="473"/>
      <c r="E47" s="175"/>
      <c r="F47" s="474" t="s">
        <v>44</v>
      </c>
      <c r="G47" s="475"/>
      <c r="H47" s="475"/>
      <c r="I47" s="475"/>
      <c r="J47" s="475"/>
      <c r="K47" s="475"/>
      <c r="L47" s="475"/>
      <c r="M47" s="476"/>
    </row>
    <row r="48" spans="3:13" ht="17.25" customHeight="1" x14ac:dyDescent="0.45">
      <c r="C48" s="472"/>
      <c r="D48" s="473"/>
      <c r="E48" s="175" t="s">
        <v>497</v>
      </c>
      <c r="F48" s="465" t="s">
        <v>1070</v>
      </c>
      <c r="G48" s="303" t="str" cm="1">
        <f t="array" ref="G48">IF(RIGHT(_xlfn._xlws.FILTER(Sheet1!$G$2:$G$333,(Sheet1!$G$2:$G$333=$E48)+(Sheet1!$G$2:$G$333=$E49)+(Sheet1!$G$2:$G$333=$E50),""),4)="POST",CONCATENATE(_xlfn._xlws.FILTER(Sheet1!$A$2:$A$333,(Sheet1!$G$2:$G$333=$E48)+(Sheet1!$G$2:$G$333=$E49)+(Sheet1!$G$2:$G$333=$E50),""),"-","POST"),_xlfn._xlws.FILTER(Sheet1!$A$2:$A$333,(Sheet1!$G$2:$G$333=$E48)+(Sheet1!$G$2:$G$333=$E49)+(Sheet1!$G$2:$G$333=$E50),"UNFILLED"))</f>
        <v>WATROUS, ERIC</v>
      </c>
      <c r="H48" s="303" t="str" cm="1">
        <f t="array" ref="H48">IF(RIGHT(_xlfn._xlws.FILTER(Sheet1!$I$2:$I$333,(Sheet1!$I$2:$I$333=$E48)+(Sheet1!$I$2:$I$333=$E49)+(Sheet1!$I$2:$I$333=$E50),""),4)="POST",CONCATENATE(_xlfn._xlws.FILTER(Sheet1!$A$2:$A$333,(Sheet1!$I$2:$I$333=$E48)+(Sheet1!$I$2:$I$333=$E49)+(Sheet1!$I$2:$I$333=$E50),""),"-","POST"),_xlfn._xlws.FILTER(Sheet1!$A$2:$A$333,(Sheet1!$I$2:$I$333=$E48)+(Sheet1!$I$2:$I$333=$E49)+(Sheet1!$I$2:$I$333=$E50),"UNFILLED"))</f>
        <v>TINNIEHILL, KENESHIA</v>
      </c>
      <c r="I48" s="303" t="str" cm="1">
        <f t="array" ref="I48">IF(RIGHT(_xlfn._xlws.FILTER(Sheet1!$K$2:$K$333,(Sheet1!$K$2:$K$333=$E48)+(Sheet1!$K$2:$K$333=$E49)+(Sheet1!$K$2:$K$333=$E50),""),4)="POST",CONCATENATE(_xlfn._xlws.FILTER(Sheet1!$A$2:$A$333,(Sheet1!$K$2:$K$333=$E48)+(Sheet1!$K$2:$K$333=$E49)+(Sheet1!$K$2:$K$333=$E50),""),"-","POST"),_xlfn._xlws.FILTER(Sheet1!$A$2:$A$333,(Sheet1!$K$2:$K$333=$E48)+(Sheet1!$K$2:$K$333=$E49)+(Sheet1!$K$2:$K$333=$E50),"UNFILLED"))</f>
        <v>ROUNSAVALL, MIKE</v>
      </c>
      <c r="J48" s="303" t="str" cm="1">
        <f t="array" ref="J48">IF(RIGHT(_xlfn._xlws.FILTER(Sheet1!M$2:M$333,(Sheet1!M$2:M$333=$E48)+(Sheet1!M$2:M$333=$E49)+(Sheet1!M$2:M$333=$E50),""),4)="POST",CONCATENATE(_xlfn._xlws.FILTER(Sheet1!$A$2:$A$333,(Sheet1!M$2:M$333=$E48)+(Sheet1!M$2:M$333=$E49)+(Sheet1!M$2:M$333=$E50),""),"-","POST"),_xlfn._xlws.FILTER(Sheet1!$A$2:$A$333,(Sheet1!M$2:M$333=$E48)+(Sheet1!M$2:M$333=$E49)+(Sheet1!M$2:M$333=$E50),"UNFILLED"))</f>
        <v>ROUNSAVALL, MIKE</v>
      </c>
      <c r="K48" s="303" t="str" cm="1">
        <f t="array" ref="K48">IF(RIGHT(_xlfn._xlws.FILTER(Sheet1!$O$2:$O$333,(Sheet1!$O$2:$O$333=$E48)+(Sheet1!$O$2:$O$333=$E49)+(Sheet1!$O$2:$O$333=$E50),""),4)="POST",CONCATENATE(_xlfn._xlws.FILTER(Sheet1!$A$2:$A$333,(Sheet1!$O$2:$O$333=$E48)+(Sheet1!$O$2:$O$333=$E49)+(Sheet1!$O$2:$O$333=$E50),""),"-","POST"),_xlfn._xlws.FILTER(Sheet1!$A$2:$A$333,(Sheet1!$O$2:$O$333=$E48)+(Sheet1!$O$2:$O$333=$E49)+(Sheet1!$O$2:$O$333=$E50),"UNFILLED"))</f>
        <v>FORREST, AMANDA</v>
      </c>
      <c r="L48" s="303" t="str" cm="1">
        <f t="array" ref="L48">IF(RIGHT(_xlfn._xlws.FILTER(Sheet1!$Q$2:$Q$333,(Sheet1!$Q$2:$Q$333=$E48)+(Sheet1!$Q$2:$Q$333=$E49)+(Sheet1!$Q$2:$Q$333=$E50),""),4)="POST",CONCATENATE(_xlfn._xlws.FILTER(Sheet1!$A$2:$A$333,(Sheet1!$Q$2:$Q$333=$E48)+(Sheet1!$Q$2:$Q$333=$E49)+(Sheet1!$Q$2:$Q$333=$E50),""),"-","POST"),_xlfn._xlws.FILTER(Sheet1!$A$2:$A$333,(Sheet1!$Q$2:$Q$333=$E48)+(Sheet1!$Q$2:$Q$333=$E49)+(Sheet1!$Q$2:$Q$333=$E50),"UNFILLED"))</f>
        <v>ROUNSAVALL, MIKE</v>
      </c>
      <c r="M48" s="303" t="str" cm="1">
        <f t="array" ref="M48">IF(RIGHT(_xlfn._xlws.FILTER(Sheet1!$S$2:$S$333,(Sheet1!$S$2:$S$333=$E48)+(Sheet1!$S$2:$S$333=$E49)+(Sheet1!$S$2:$S$333=$E50),""),4)="POST",CONCATENATE(_xlfn._xlws.FILTER(Sheet1!$A$2:$A$333,(Sheet1!$S$2:$S$333=$E48)+(Sheet1!$S$2:$S$333=$E49)+(Sheet1!$S$2:$S$333=$E50),""),"-","POST"),_xlfn._xlws.FILTER(Sheet1!$A$2:$A$333,(Sheet1!$S$2:$S$333=$E48)+(Sheet1!$S$2:$S$333=$E49)+(Sheet1!$S$2:$S$333=$E50),"UNFILLED"))</f>
        <v>WATROUS, ERIC</v>
      </c>
    </row>
    <row r="49" spans="3:13" ht="17.25" customHeight="1" x14ac:dyDescent="0.4">
      <c r="C49" s="472"/>
      <c r="D49" s="473"/>
      <c r="E49" s="168" t="str">
        <f>_xlfn.CONCAT(E48,"-","POST")</f>
        <v>KN-1-POST</v>
      </c>
      <c r="F49" s="466"/>
      <c r="G49" s="304"/>
      <c r="H49" s="304"/>
      <c r="I49" s="304"/>
      <c r="J49" s="304"/>
      <c r="K49" s="304"/>
      <c r="L49" s="304"/>
      <c r="M49" s="304"/>
    </row>
    <row r="50" spans="3:13" ht="17.25" customHeight="1" x14ac:dyDescent="0.4">
      <c r="C50" s="472"/>
      <c r="D50" s="473"/>
      <c r="E50" s="168" t="str">
        <f>_xlfn.CONCAT(E48,"-","PILOT")</f>
        <v>KN-1-PILOT</v>
      </c>
      <c r="F50" s="467"/>
      <c r="G50" s="305"/>
      <c r="H50" s="305"/>
      <c r="I50" s="305"/>
      <c r="J50" s="305"/>
      <c r="K50" s="305"/>
      <c r="L50" s="305"/>
      <c r="M50" s="305"/>
    </row>
    <row r="51" spans="3:13" ht="17.25" customHeight="1" x14ac:dyDescent="0.45">
      <c r="C51" s="472"/>
      <c r="D51" s="473"/>
      <c r="E51" s="175" t="s">
        <v>250</v>
      </c>
      <c r="F51" s="465" t="s">
        <v>1071</v>
      </c>
      <c r="G51" s="303" t="str" cm="1">
        <f t="array" ref="G51">IF(RIGHT(_xlfn._xlws.FILTER(Sheet1!$G$2:$G$333,(Sheet1!$G$2:$G$333=$E51)+(Sheet1!$G$2:$G$333=$E52)+(Sheet1!$G$2:$G$333=$E53),""),4)="POST",CONCATENATE(_xlfn._xlws.FILTER(Sheet1!$A$2:$A$333,(Sheet1!$G$2:$G$333=$E51)+(Sheet1!$G$2:$G$333=$E52)+(Sheet1!$G$2:$G$333=$E53),""),"-","POST"),_xlfn._xlws.FILTER(Sheet1!$A$2:$A$333,(Sheet1!$G$2:$G$333=$E51)+(Sheet1!$G$2:$G$333=$E52)+(Sheet1!$G$2:$G$333=$E53),"UNFILLED"))</f>
        <v>ARGYRAKIS, URIAH</v>
      </c>
      <c r="H51" s="303" t="str" cm="1">
        <f t="array" ref="H51">IF(RIGHT(_xlfn._xlws.FILTER(Sheet1!$I$2:$I$333,(Sheet1!$I$2:$I$333=$E51)+(Sheet1!$I$2:$I$333=$E52)+(Sheet1!$I$2:$I$333=$E53),""),4)="POST",CONCATENATE(_xlfn._xlws.FILTER(Sheet1!$A$2:$A$333,(Sheet1!$I$2:$I$333=$E51)+(Sheet1!$I$2:$I$333=$E52)+(Sheet1!$I$2:$I$333=$E53),""),"-","POST"),_xlfn._xlws.FILTER(Sheet1!$A$2:$A$333,(Sheet1!$I$2:$I$333=$E51)+(Sheet1!$I$2:$I$333=$E52)+(Sheet1!$I$2:$I$333=$E53),"UNFILLED"))</f>
        <v>BAILEY, LORRIE</v>
      </c>
      <c r="I51" s="303" t="str" cm="1">
        <f t="array" ref="I51">IF(RIGHT(_xlfn._xlws.FILTER(Sheet1!$K$2:$K$333,(Sheet1!$K$2:$K$333=$E51)+(Sheet1!$K$2:$K$333=$E52)+(Sheet1!$K$2:$K$333=$E53),""),4)="POST",CONCATENATE(_xlfn._xlws.FILTER(Sheet1!$A$2:$A$333,(Sheet1!$K$2:$K$333=$E51)+(Sheet1!$K$2:$K$333=$E52)+(Sheet1!$K$2:$K$333=$E53),""),"-","POST"),_xlfn._xlws.FILTER(Sheet1!$A$2:$A$333,(Sheet1!$K$2:$K$333=$E51)+(Sheet1!$K$2:$K$333=$E52)+(Sheet1!$K$2:$K$333=$E53),"UNFILLED"))</f>
        <v>BAILEY, LORRIE</v>
      </c>
      <c r="J51" s="303" t="str" cm="1">
        <f t="array" ref="J51">IF(RIGHT(_xlfn._xlws.FILTER(Sheet1!M$2:M$333,(Sheet1!M$2:M$333=$E51)+(Sheet1!M$2:M$333=$E52)+(Sheet1!M$2:M$333=$E53),""),4)="POST",CONCATENATE(_xlfn._xlws.FILTER(Sheet1!$A$2:$A$333,(Sheet1!M$2:M$333=$E51)+(Sheet1!M$2:M$333=$E52)+(Sheet1!M$2:M$333=$E53),""),"-","POST"),_xlfn._xlws.FILTER(Sheet1!$A$2:$A$333,(Sheet1!M$2:M$333=$E51)+(Sheet1!M$2:M$333=$E52)+(Sheet1!M$2:M$333=$E53),"UNFILLED"))</f>
        <v>BAILEY, LORRIE</v>
      </c>
      <c r="K51" s="303" t="str" cm="1">
        <f t="array" ref="K51">IF(RIGHT(_xlfn._xlws.FILTER(Sheet1!$O$2:$O$333,(Sheet1!$O$2:$O$333=$E51)+(Sheet1!$O$2:$O$333=$E52)+(Sheet1!$O$2:$O$333=$E53),""),4)="POST",CONCATENATE(_xlfn._xlws.FILTER(Sheet1!$A$2:$A$333,(Sheet1!$O$2:$O$333=$E51)+(Sheet1!$O$2:$O$333=$E52)+(Sheet1!$O$2:$O$333=$E53),""),"-","POST"),_xlfn._xlws.FILTER(Sheet1!$A$2:$A$333,(Sheet1!$O$2:$O$333=$E51)+(Sheet1!$O$2:$O$333=$E52)+(Sheet1!$O$2:$O$333=$E53),"UNFILLED"))</f>
        <v>BAILEY, LORRIE</v>
      </c>
      <c r="L51" s="303" t="str" cm="1">
        <f t="array" ref="L51">IF(RIGHT(_xlfn._xlws.FILTER(Sheet1!$Q$2:$Q$333,(Sheet1!$Q$2:$Q$333=$E51)+(Sheet1!$Q$2:$Q$333=$E52)+(Sheet1!$Q$2:$Q$333=$E53),""),4)="POST",CONCATENATE(_xlfn._xlws.FILTER(Sheet1!$A$2:$A$333,(Sheet1!$Q$2:$Q$333=$E51)+(Sheet1!$Q$2:$Q$333=$E52)+(Sheet1!$Q$2:$Q$333=$E53),""),"-","POST"),_xlfn._xlws.FILTER(Sheet1!$A$2:$A$333,(Sheet1!$Q$2:$Q$333=$E51)+(Sheet1!$Q$2:$Q$333=$E52)+(Sheet1!$Q$2:$Q$333=$E53),"UNFILLED"))</f>
        <v>BAILEY, LORRIE</v>
      </c>
      <c r="M51" s="303" t="str" cm="1">
        <f t="array" ref="M51">IF(RIGHT(_xlfn._xlws.FILTER(Sheet1!$S$2:$S$333,(Sheet1!$S$2:$S$333=$E51)+(Sheet1!$S$2:$S$333=$E52)+(Sheet1!$S$2:$S$333=$E53),""),4)="POST",CONCATENATE(_xlfn._xlws.FILTER(Sheet1!$A$2:$A$333,(Sheet1!$S$2:$S$333=$E51)+(Sheet1!$S$2:$S$333=$E52)+(Sheet1!$S$2:$S$333=$E53),""),"-","POST"),_xlfn._xlws.FILTER(Sheet1!$A$2:$A$333,(Sheet1!$S$2:$S$333=$E51)+(Sheet1!$S$2:$S$333=$E52)+(Sheet1!$S$2:$S$333=$E53),"UNFILLED"))</f>
        <v>ARGYRAKIS, URIAH</v>
      </c>
    </row>
    <row r="52" spans="3:13" ht="17.25" customHeight="1" x14ac:dyDescent="0.4">
      <c r="C52" s="472"/>
      <c r="D52" s="473"/>
      <c r="E52" s="168" t="str">
        <f>_xlfn.CONCAT(E51,"-","POST")</f>
        <v>PO-1-POST</v>
      </c>
      <c r="F52" s="466"/>
      <c r="G52" s="304"/>
      <c r="H52" s="304"/>
      <c r="I52" s="304"/>
      <c r="J52" s="304"/>
      <c r="K52" s="304"/>
      <c r="L52" s="304"/>
      <c r="M52" s="304"/>
    </row>
    <row r="53" spans="3:13" ht="17.25" customHeight="1" x14ac:dyDescent="0.4">
      <c r="C53" s="472"/>
      <c r="D53" s="473"/>
      <c r="E53" s="168" t="str">
        <f>_xlfn.CONCAT(E51,"-","PILOT")</f>
        <v>PO-1-PILOT</v>
      </c>
      <c r="F53" s="467"/>
      <c r="G53" s="305"/>
      <c r="H53" s="305"/>
      <c r="I53" s="305"/>
      <c r="J53" s="305"/>
      <c r="K53" s="305"/>
      <c r="L53" s="305"/>
      <c r="M53" s="305"/>
    </row>
    <row r="54" spans="3:13" ht="17.25" customHeight="1" x14ac:dyDescent="0.45">
      <c r="C54" s="472"/>
      <c r="D54" s="473"/>
      <c r="E54" s="175" t="s">
        <v>358</v>
      </c>
      <c r="F54" s="465" t="s">
        <v>1072</v>
      </c>
      <c r="G54" s="303" t="str" cm="1">
        <f t="array" ref="G54">IF(RIGHT(_xlfn._xlws.FILTER(Sheet1!$G$2:$G$333,(Sheet1!$G$2:$G$333=$E54)+(Sheet1!$G$2:$G$333=$E55)+(Sheet1!$G$2:$G$333=$E56),""),4)="POST",CONCATENATE(_xlfn._xlws.FILTER(Sheet1!$A$2:$A$333,(Sheet1!$G$2:$G$333=$E54)+(Sheet1!$G$2:$G$333=$E55)+(Sheet1!$G$2:$G$333=$E56),""),"-","POST"),_xlfn._xlws.FILTER(Sheet1!$A$2:$A$333,(Sheet1!$G$2:$G$333=$E54)+(Sheet1!$G$2:$G$333=$E55)+(Sheet1!$G$2:$G$333=$E56),"UNFILLED"))</f>
        <v>CARTER, TREY</v>
      </c>
      <c r="H54" s="303" t="str" cm="1">
        <f t="array" ref="H54">IF(RIGHT(_xlfn._xlws.FILTER(Sheet1!$I$2:$I$333,(Sheet1!$I$2:$I$333=$E54)+(Sheet1!$I$2:$I$333=$E55)+(Sheet1!$I$2:$I$333=$E56),""),4)="POST",CONCATENATE(_xlfn._xlws.FILTER(Sheet1!$A$2:$A$333,(Sheet1!$I$2:$I$333=$E54)+(Sheet1!$I$2:$I$333=$E55)+(Sheet1!$I$2:$I$333=$E56),""),"-","POST"),_xlfn._xlws.FILTER(Sheet1!$A$2:$A$333,(Sheet1!$I$2:$I$333=$E54)+(Sheet1!$I$2:$I$333=$E55)+(Sheet1!$I$2:$I$333=$E56),"UNFILLED"))</f>
        <v>LEDBETTER, SYLVIA</v>
      </c>
      <c r="I54" s="303" t="str" cm="1">
        <f t="array" ref="I54">IF(RIGHT(_xlfn._xlws.FILTER(Sheet1!$K$2:$K$333,(Sheet1!$K$2:$K$333=$E54)+(Sheet1!$K$2:$K$333=$E55)+(Sheet1!$K$2:$K$333=$E56),""),4)="POST",CONCATENATE(_xlfn._xlws.FILTER(Sheet1!$A$2:$A$333,(Sheet1!$K$2:$K$333=$E54)+(Sheet1!$K$2:$K$333=$E55)+(Sheet1!$K$2:$K$333=$E56),""),"-","POST"),_xlfn._xlws.FILTER(Sheet1!$A$2:$A$333,(Sheet1!$K$2:$K$333=$E54)+(Sheet1!$K$2:$K$333=$E55)+(Sheet1!$K$2:$K$333=$E56),"UNFILLED"))</f>
        <v>DICKERSON, RUSSELL</v>
      </c>
      <c r="J54" s="303" t="str" cm="1">
        <f t="array" ref="J54">IF(RIGHT(_xlfn._xlws.FILTER(Sheet1!M$2:M$333,(Sheet1!M$2:M$333=$E54)+(Sheet1!M$2:M$333=$E55)+(Sheet1!M$2:M$333=$E56),""),4)="POST",CONCATENATE(_xlfn._xlws.FILTER(Sheet1!$A$2:$A$333,(Sheet1!M$2:M$333=$E54)+(Sheet1!M$2:M$333=$E55)+(Sheet1!M$2:M$333=$E56),""),"-","POST"),_xlfn._xlws.FILTER(Sheet1!$A$2:$A$333,(Sheet1!M$2:M$333=$E54)+(Sheet1!M$2:M$333=$E55)+(Sheet1!M$2:M$333=$E56),"UNFILLED"))</f>
        <v>DICKERSON, RUSSELL</v>
      </c>
      <c r="K54" s="303" t="str" cm="1">
        <f t="array" ref="K54">IF(RIGHT(_xlfn._xlws.FILTER(Sheet1!$O$2:$O$333,(Sheet1!$O$2:$O$333=$E54)+(Sheet1!$O$2:$O$333=$E55)+(Sheet1!$O$2:$O$333=$E56),""),4)="POST",CONCATENATE(_xlfn._xlws.FILTER(Sheet1!$A$2:$A$333,(Sheet1!$O$2:$O$333=$E54)+(Sheet1!$O$2:$O$333=$E55)+(Sheet1!$O$2:$O$333=$E56),""),"-","POST"),_xlfn._xlws.FILTER(Sheet1!$A$2:$A$333,(Sheet1!$O$2:$O$333=$E54)+(Sheet1!$O$2:$O$333=$E55)+(Sheet1!$O$2:$O$333=$E56),"UNFILLED"))</f>
        <v>DICKERSON, RUSSELL</v>
      </c>
      <c r="L54" s="303" t="str" cm="1">
        <f t="array" ref="L54">IF(RIGHT(_xlfn._xlws.FILTER(Sheet1!$Q$2:$Q$333,(Sheet1!$Q$2:$Q$333=$E54)+(Sheet1!$Q$2:$Q$333=$E55)+(Sheet1!$Q$2:$Q$333=$E56),""),4)="POST",CONCATENATE(_xlfn._xlws.FILTER(Sheet1!$A$2:$A$333,(Sheet1!$Q$2:$Q$333=$E54)+(Sheet1!$Q$2:$Q$333=$E55)+(Sheet1!$Q$2:$Q$333=$E56),""),"-","POST"),_xlfn._xlws.FILTER(Sheet1!$A$2:$A$333,(Sheet1!$Q$2:$Q$333=$E54)+(Sheet1!$Q$2:$Q$333=$E55)+(Sheet1!$Q$2:$Q$333=$E56),"UNFILLED"))</f>
        <v>DICKERSON, RUSSELL</v>
      </c>
      <c r="M54" s="303" t="str" cm="1">
        <f t="array" ref="M54">IF(RIGHT(_xlfn._xlws.FILTER(Sheet1!$S$2:$S$333,(Sheet1!$S$2:$S$333=$E54)+(Sheet1!$S$2:$S$333=$E55)+(Sheet1!$S$2:$S$333=$E56),""),4)="POST",CONCATENATE(_xlfn._xlws.FILTER(Sheet1!$A$2:$A$333,(Sheet1!$S$2:$S$333=$E54)+(Sheet1!$S$2:$S$333=$E55)+(Sheet1!$S$2:$S$333=$E56),""),"-","POST"),_xlfn._xlws.FILTER(Sheet1!$A$2:$A$333,(Sheet1!$S$2:$S$333=$E54)+(Sheet1!$S$2:$S$333=$E55)+(Sheet1!$S$2:$S$333=$E56),"UNFILLED"))</f>
        <v>DICKERSON, RUSSELL</v>
      </c>
    </row>
    <row r="55" spans="3:13" ht="17.25" customHeight="1" x14ac:dyDescent="0.4">
      <c r="C55" s="472"/>
      <c r="D55" s="473"/>
      <c r="E55" s="168" t="str">
        <f>_xlfn.CONCAT(E54,"-","POST")</f>
        <v>NR-1-POST</v>
      </c>
      <c r="F55" s="466"/>
      <c r="G55" s="304"/>
      <c r="H55" s="304"/>
      <c r="I55" s="304"/>
      <c r="J55" s="304"/>
      <c r="K55" s="304"/>
      <c r="L55" s="304"/>
      <c r="M55" s="304"/>
    </row>
    <row r="56" spans="3:13" ht="17.25" customHeight="1" x14ac:dyDescent="0.4">
      <c r="C56" s="472"/>
      <c r="D56" s="473"/>
      <c r="E56" s="168" t="str">
        <f>_xlfn.CONCAT(E54,"-","PILOT")</f>
        <v>NR-1-PILOT</v>
      </c>
      <c r="F56" s="467"/>
      <c r="G56" s="305"/>
      <c r="H56" s="305"/>
      <c r="I56" s="305"/>
      <c r="J56" s="305"/>
      <c r="K56" s="305"/>
      <c r="L56" s="305"/>
      <c r="M56" s="305"/>
    </row>
    <row r="57" spans="3:13" ht="17.25" customHeight="1" x14ac:dyDescent="0.45">
      <c r="C57" s="472"/>
      <c r="D57" s="473"/>
      <c r="E57" s="175" t="s">
        <v>709</v>
      </c>
      <c r="F57" s="465" t="s">
        <v>1073</v>
      </c>
      <c r="G57" s="303" t="str" cm="1">
        <f t="array" ref="G57">IF(RIGHT(_xlfn._xlws.FILTER(Sheet1!$G$2:$G$333,(Sheet1!$G$2:$G$333=$E57)+(Sheet1!$G$2:$G$333=$E58)+(Sheet1!$G$2:$G$333=$E59),""),4)="POST",CONCATENATE(_xlfn._xlws.FILTER(Sheet1!$A$2:$A$333,(Sheet1!$G$2:$G$333=$E57)+(Sheet1!$G$2:$G$333=$E58)+(Sheet1!$G$2:$G$333=$E59),""),"-","POST"),_xlfn._xlws.FILTER(Sheet1!$A$2:$A$333,(Sheet1!$G$2:$G$333=$E57)+(Sheet1!$G$2:$G$333=$E58)+(Sheet1!$G$2:$G$333=$E59),"UNFILLED"))</f>
        <v>REED, JAMES</v>
      </c>
      <c r="H57" s="303" t="str" cm="1">
        <f t="array" ref="H57">IF(RIGHT(_xlfn._xlws.FILTER(Sheet1!$I$2:$I$333,(Sheet1!$I$2:$I$333=$E57)+(Sheet1!$I$2:$I$333=$E58)+(Sheet1!$I$2:$I$333=$E59),""),4)="POST",CONCATENATE(_xlfn._xlws.FILTER(Sheet1!$A$2:$A$333,(Sheet1!$I$2:$I$333=$E57)+(Sheet1!$I$2:$I$333=$E58)+(Sheet1!$I$2:$I$333=$E59),""),"-","POST"),_xlfn._xlws.FILTER(Sheet1!$A$2:$A$333,(Sheet1!$I$2:$I$333=$E57)+(Sheet1!$I$2:$I$333=$E58)+(Sheet1!$I$2:$I$333=$E59),"UNFILLED"))</f>
        <v>REED, JAMES</v>
      </c>
      <c r="I57" s="303" t="str" cm="1">
        <f t="array" ref="I57">IF(RIGHT(_xlfn._xlws.FILTER(Sheet1!$K$2:$K$333,(Sheet1!$K$2:$K$333=$E57)+(Sheet1!$K$2:$K$333=$E58)+(Sheet1!$K$2:$K$333=$E59),""),4)="POST",CONCATENATE(_xlfn._xlws.FILTER(Sheet1!$A$2:$A$333,(Sheet1!$K$2:$K$333=$E57)+(Sheet1!$K$2:$K$333=$E58)+(Sheet1!$K$2:$K$333=$E59),""),"-","POST"),_xlfn._xlws.FILTER(Sheet1!$A$2:$A$333,(Sheet1!$K$2:$K$333=$E57)+(Sheet1!$K$2:$K$333=$E58)+(Sheet1!$K$2:$K$333=$E59),"UNFILLED"))</f>
        <v>KRZYZANOWSKI, RENEE</v>
      </c>
      <c r="J57" s="303" t="str" cm="1">
        <f t="array" ref="J57">IF(RIGHT(_xlfn._xlws.FILTER(Sheet1!M$2:M$333,(Sheet1!M$2:M$333=$E57)+(Sheet1!M$2:M$333=$E58)+(Sheet1!M$2:M$333=$E59),""),4)="POST",CONCATENATE(_xlfn._xlws.FILTER(Sheet1!$A$2:$A$333,(Sheet1!M$2:M$333=$E57)+(Sheet1!M$2:M$333=$E58)+(Sheet1!M$2:M$333=$E59),""),"-","POST"),_xlfn._xlws.FILTER(Sheet1!$A$2:$A$333,(Sheet1!M$2:M$333=$E57)+(Sheet1!M$2:M$333=$E58)+(Sheet1!M$2:M$333=$E59),"UNFILLED"))</f>
        <v>KRZYZANOWSKI, RENEE</v>
      </c>
      <c r="K57" s="303" t="str" cm="1">
        <f t="array" ref="K57">IF(RIGHT(_xlfn._xlws.FILTER(Sheet1!$O$2:$O$333,(Sheet1!$O$2:$O$333=$E57)+(Sheet1!$O$2:$O$333=$E58)+(Sheet1!$O$2:$O$333=$E59),""),4)="POST",CONCATENATE(_xlfn._xlws.FILTER(Sheet1!$A$2:$A$333,(Sheet1!$O$2:$O$333=$E57)+(Sheet1!$O$2:$O$333=$E58)+(Sheet1!$O$2:$O$333=$E59),""),"-","POST"),_xlfn._xlws.FILTER(Sheet1!$A$2:$A$333,(Sheet1!$O$2:$O$333=$E57)+(Sheet1!$O$2:$O$333=$E58)+(Sheet1!$O$2:$O$333=$E59),"UNFILLED"))</f>
        <v>KRZYZANOWSKI, RENEE</v>
      </c>
      <c r="L57" s="303" t="str" cm="1">
        <f t="array" ref="L57">IF(RIGHT(_xlfn._xlws.FILTER(Sheet1!$Q$2:$Q$333,(Sheet1!$Q$2:$Q$333=$E57)+(Sheet1!$Q$2:$Q$333=$E58)+(Sheet1!$Q$2:$Q$333=$E59),""),4)="POST",CONCATENATE(_xlfn._xlws.FILTER(Sheet1!$A$2:$A$333,(Sheet1!$Q$2:$Q$333=$E57)+(Sheet1!$Q$2:$Q$333=$E58)+(Sheet1!$Q$2:$Q$333=$E59),""),"-","POST"),_xlfn._xlws.FILTER(Sheet1!$A$2:$A$333,(Sheet1!$Q$2:$Q$333=$E57)+(Sheet1!$Q$2:$Q$333=$E58)+(Sheet1!$Q$2:$Q$333=$E59),"UNFILLED"))</f>
        <v>KRZYZANOWSKI, RENEE</v>
      </c>
      <c r="M57" s="303" t="str" cm="1">
        <f t="array" ref="M57">IF(RIGHT(_xlfn._xlws.FILTER(Sheet1!$S$2:$S$333,(Sheet1!$S$2:$S$333=$E57)+(Sheet1!$S$2:$S$333=$E58)+(Sheet1!$S$2:$S$333=$E59),""),4)="POST",CONCATENATE(_xlfn._xlws.FILTER(Sheet1!$A$2:$A$333,(Sheet1!$S$2:$S$333=$E57)+(Sheet1!$S$2:$S$333=$E58)+(Sheet1!$S$2:$S$333=$E59),""),"-","POST"),_xlfn._xlws.FILTER(Sheet1!$A$2:$A$333,(Sheet1!$S$2:$S$333=$E57)+(Sheet1!$S$2:$S$333=$E58)+(Sheet1!$S$2:$S$333=$E59),"UNFILLED"))</f>
        <v>KRZYZANOWSKI, RENEE</v>
      </c>
    </row>
    <row r="58" spans="3:13" ht="17.25" customHeight="1" x14ac:dyDescent="0.4">
      <c r="C58" s="472"/>
      <c r="D58" s="473"/>
      <c r="E58" s="168" t="str">
        <f>_xlfn.CONCAT(E57,"-","POST")</f>
        <v>ET-1-POST</v>
      </c>
      <c r="F58" s="466"/>
      <c r="G58" s="304"/>
      <c r="H58" s="304"/>
      <c r="I58" s="304"/>
      <c r="J58" s="304"/>
      <c r="K58" s="304"/>
      <c r="L58" s="304"/>
      <c r="M58" s="304"/>
    </row>
    <row r="59" spans="3:13" ht="17.25" customHeight="1" x14ac:dyDescent="0.4">
      <c r="C59" s="472"/>
      <c r="D59" s="473"/>
      <c r="E59" s="168" t="str">
        <f>_xlfn.CONCAT(E57,"-","PILOT")</f>
        <v>ET-1-PILOT</v>
      </c>
      <c r="F59" s="467"/>
      <c r="G59" s="305"/>
      <c r="H59" s="305"/>
      <c r="I59" s="305"/>
      <c r="J59" s="305"/>
      <c r="K59" s="305"/>
      <c r="L59" s="305"/>
      <c r="M59" s="305"/>
    </row>
    <row r="60" spans="3:13" ht="17.25" customHeight="1" x14ac:dyDescent="0.45">
      <c r="C60" s="472"/>
      <c r="D60" s="473"/>
      <c r="E60" s="175" t="s">
        <v>238</v>
      </c>
      <c r="F60" s="465" t="s">
        <v>1074</v>
      </c>
      <c r="G60" s="303" t="str" cm="1">
        <f t="array" ref="G60">IF(RIGHT(_xlfn._xlws.FILTER(Sheet1!$G$2:$G$333,(Sheet1!$G$2:$G$333=$E60)+(Sheet1!$G$2:$G$333=$E61)+(Sheet1!$G$2:$G$333=$E62),""),4)="POST",CONCATENATE(_xlfn._xlws.FILTER(Sheet1!$A$2:$A$333,(Sheet1!$G$2:$G$333=$E60)+(Sheet1!$G$2:$G$333=$E61)+(Sheet1!$G$2:$G$333=$E62),""),"-","POST"),_xlfn._xlws.FILTER(Sheet1!$A$2:$A$333,(Sheet1!$G$2:$G$333=$E60)+(Sheet1!$G$2:$G$333=$E61)+(Sheet1!$G$2:$G$333=$E62),"UNFILLED"))</f>
        <v>GOEBEL, IAN</v>
      </c>
      <c r="H60" s="303" t="str" cm="1">
        <f t="array" ref="H60">IF(RIGHT(_xlfn._xlws.FILTER(Sheet1!$I$2:$I$333,(Sheet1!$I$2:$I$333=$E60)+(Sheet1!$I$2:$I$333=$E61)+(Sheet1!$I$2:$I$333=$E62),""),4)="POST",CONCATENATE(_xlfn._xlws.FILTER(Sheet1!$A$2:$A$333,(Sheet1!$I$2:$I$333=$E60)+(Sheet1!$I$2:$I$333=$E61)+(Sheet1!$I$2:$I$333=$E62),""),"-","POST"),_xlfn._xlws.FILTER(Sheet1!$A$2:$A$333,(Sheet1!$I$2:$I$333=$E60)+(Sheet1!$I$2:$I$333=$E61)+(Sheet1!$I$2:$I$333=$E62),"UNFILLED"))</f>
        <v>TALLEY, OHAN</v>
      </c>
      <c r="I60" s="303" t="str" cm="1">
        <f t="array" ref="I60">IF(RIGHT(_xlfn._xlws.FILTER(Sheet1!$K$2:$K$333,(Sheet1!$K$2:$K$333=$E60)+(Sheet1!$K$2:$K$333=$E61)+(Sheet1!$K$2:$K$333=$E62),""),4)="POST",CONCATENATE(_xlfn._xlws.FILTER(Sheet1!$A$2:$A$333,(Sheet1!$K$2:$K$333=$E60)+(Sheet1!$K$2:$K$333=$E61)+(Sheet1!$K$2:$K$333=$E62),""),"-","POST"),_xlfn._xlws.FILTER(Sheet1!$A$2:$A$333,(Sheet1!$K$2:$K$333=$E60)+(Sheet1!$K$2:$K$333=$E61)+(Sheet1!$K$2:$K$333=$E62),"UNFILLED"))</f>
        <v>TALLEY, OHAN</v>
      </c>
      <c r="J60" s="303" t="str" cm="1">
        <f t="array" ref="J60:J61">IF(RIGHT(_xlfn._xlws.FILTER(Sheet1!M$2:M$333,(Sheet1!M$2:M$333=$E60)+(Sheet1!M$2:M$333=$E61)+(Sheet1!M$2:M$333=$E62),""),4)="POST",CONCATENATE(_xlfn._xlws.FILTER(Sheet1!$A$2:$A$333,(Sheet1!M$2:M$333=$E60)+(Sheet1!M$2:M$333=$E61)+(Sheet1!M$2:M$333=$E62),""),"-","POST"),_xlfn._xlws.FILTER(Sheet1!$A$2:$A$333,(Sheet1!M$2:M$333=$E60)+(Sheet1!M$2:M$333=$E61)+(Sheet1!M$2:M$333=$E62),"UNFILLED"))</f>
        <v>ALICIE, BRANDON</v>
      </c>
      <c r="K60" s="303" t="str" cm="1">
        <f t="array" ref="K60">IF(RIGHT(_xlfn._xlws.FILTER(Sheet1!$O$2:$O$333,(Sheet1!$O$2:$O$333=$E60)+(Sheet1!$O$2:$O$333=$E61)+(Sheet1!$O$2:$O$333=$E62),""),4)="POST",CONCATENATE(_xlfn._xlws.FILTER(Sheet1!$A$2:$A$333,(Sheet1!$O$2:$O$333=$E60)+(Sheet1!$O$2:$O$333=$E61)+(Sheet1!$O$2:$O$333=$E62),""),"-","POST"),_xlfn._xlws.FILTER(Sheet1!$A$2:$A$333,(Sheet1!$O$2:$O$333=$E60)+(Sheet1!$O$2:$O$333=$E61)+(Sheet1!$O$2:$O$333=$E62),"UNFILLED"))</f>
        <v>GOEBEL, IAN</v>
      </c>
      <c r="L60" s="303" t="str" cm="1">
        <f t="array" ref="L60">IF(RIGHT(_xlfn._xlws.FILTER(Sheet1!$Q$2:$Q$333,(Sheet1!$Q$2:$Q$333=$E60)+(Sheet1!$Q$2:$Q$333=$E61)+(Sheet1!$Q$2:$Q$333=$E62),""),4)="POST",CONCATENATE(_xlfn._xlws.FILTER(Sheet1!$A$2:$A$333,(Sheet1!$Q$2:$Q$333=$E60)+(Sheet1!$Q$2:$Q$333=$E61)+(Sheet1!$Q$2:$Q$333=$E62),""),"-","POST"),_xlfn._xlws.FILTER(Sheet1!$A$2:$A$333,(Sheet1!$Q$2:$Q$333=$E60)+(Sheet1!$Q$2:$Q$333=$E61)+(Sheet1!$Q$2:$Q$333=$E62),"UNFILLED"))</f>
        <v>GOEBEL, IAN</v>
      </c>
      <c r="M60" s="303" t="str" cm="1">
        <f t="array" ref="M60">IF(RIGHT(_xlfn._xlws.FILTER(Sheet1!$S$2:$S$333,(Sheet1!$S$2:$S$333=$E60)+(Sheet1!$S$2:$S$333=$E61)+(Sheet1!$S$2:$S$333=$E62),""),4)="POST",CONCATENATE(_xlfn._xlws.FILTER(Sheet1!$A$2:$A$333,(Sheet1!$S$2:$S$333=$E60)+(Sheet1!$S$2:$S$333=$E61)+(Sheet1!$S$2:$S$333=$E62),""),"-","POST"),_xlfn._xlws.FILTER(Sheet1!$A$2:$A$333,(Sheet1!$S$2:$S$333=$E60)+(Sheet1!$S$2:$S$333=$E61)+(Sheet1!$S$2:$S$333=$E62),"UNFILLED"))</f>
        <v>GOEBEL, IAN</v>
      </c>
    </row>
    <row r="61" spans="3:13" ht="17.25" customHeight="1" x14ac:dyDescent="0.4">
      <c r="C61" s="472"/>
      <c r="D61" s="473"/>
      <c r="E61" s="168" t="str">
        <f>_xlfn.CONCAT(E60,"-","POST")</f>
        <v>RT-1-POST</v>
      </c>
      <c r="F61" s="466"/>
      <c r="G61" s="304"/>
      <c r="H61" s="304"/>
      <c r="I61" s="304"/>
      <c r="J61" s="304" t="str">
        <v>MENDOZA-MORGAN, BROOKLYN-POST</v>
      </c>
      <c r="K61" s="304"/>
      <c r="L61" s="304"/>
      <c r="M61" s="304"/>
    </row>
    <row r="62" spans="3:13" ht="17.25" customHeight="1" x14ac:dyDescent="0.4">
      <c r="C62" s="472"/>
      <c r="D62" s="473"/>
      <c r="E62" s="168" t="str">
        <f>_xlfn.CONCAT(E60,"-","PILOT")</f>
        <v>RT-1-PILOT</v>
      </c>
      <c r="F62" s="467"/>
      <c r="G62" s="305"/>
      <c r="H62" s="305"/>
      <c r="I62" s="305"/>
      <c r="J62" s="305"/>
      <c r="K62" s="305"/>
      <c r="L62" s="305"/>
      <c r="M62" s="305"/>
    </row>
    <row r="63" spans="3:13" ht="17.25" customHeight="1" x14ac:dyDescent="0.45">
      <c r="C63" s="472"/>
      <c r="D63" s="473"/>
      <c r="E63" s="175" t="s">
        <v>805</v>
      </c>
      <c r="F63" s="465" t="s">
        <v>1075</v>
      </c>
      <c r="G63" s="303" t="str" cm="1">
        <f t="array" ref="G63">IF(RIGHT(_xlfn._xlws.FILTER(Sheet1!$G$2:$G$333,(Sheet1!$G$2:$G$333=$E63)+(Sheet1!$G$2:$G$333=$E64)+(Sheet1!$G$2:$G$333=$E65),""),4)="POST",CONCATENATE(_xlfn._xlws.FILTER(Sheet1!$A$2:$A$333,(Sheet1!$G$2:$G$333=$E63)+(Sheet1!$G$2:$G$333=$E64)+(Sheet1!$G$2:$G$333=$E65),""),"-","POST"),_xlfn._xlws.FILTER(Sheet1!$A$2:$A$333,(Sheet1!$G$2:$G$333=$E63)+(Sheet1!$G$2:$G$333=$E64)+(Sheet1!$G$2:$G$333=$E65),"UNFILLED"))</f>
        <v>WILSON, AISHA</v>
      </c>
      <c r="H63" s="303" t="str" cm="1">
        <f t="array" ref="H63">IF(RIGHT(_xlfn._xlws.FILTER(Sheet1!$I$2:$I$333,(Sheet1!$I$2:$I$333=$E63)+(Sheet1!$I$2:$I$333=$E64)+(Sheet1!$I$2:$I$333=$E65),""),4)="POST",CONCATENATE(_xlfn._xlws.FILTER(Sheet1!$A$2:$A$333,(Sheet1!$I$2:$I$333=$E63)+(Sheet1!$I$2:$I$333=$E64)+(Sheet1!$I$2:$I$333=$E65),""),"-","POST"),_xlfn._xlws.FILTER(Sheet1!$A$2:$A$333,(Sheet1!$I$2:$I$333=$E63)+(Sheet1!$I$2:$I$333=$E64)+(Sheet1!$I$2:$I$333=$E65),"UNFILLED"))</f>
        <v>MULLEN, RYAN</v>
      </c>
      <c r="I63" s="303" t="str" cm="1">
        <f t="array" ref="I63">IF(RIGHT(_xlfn._xlws.FILTER(Sheet1!$K$2:$K$333,(Sheet1!$K$2:$K$333=$E63)+(Sheet1!$K$2:$K$333=$E64)+(Sheet1!$K$2:$K$333=$E65),""),4)="POST",CONCATENATE(_xlfn._xlws.FILTER(Sheet1!$A$2:$A$333,(Sheet1!$K$2:$K$333=$E63)+(Sheet1!$K$2:$K$333=$E64)+(Sheet1!$K$2:$K$333=$E65),""),"-","POST"),_xlfn._xlws.FILTER(Sheet1!$A$2:$A$333,(Sheet1!$K$2:$K$333=$E63)+(Sheet1!$K$2:$K$333=$E64)+(Sheet1!$K$2:$K$333=$E65),"UNFILLED"))</f>
        <v>MULLEN, RYAN</v>
      </c>
      <c r="J63" s="303" t="str" cm="1">
        <f t="array" ref="J63">IF(RIGHT(_xlfn._xlws.FILTER(Sheet1!M$2:M$333,(Sheet1!M$2:M$333=$E63)+(Sheet1!M$2:M$333=$E64)+(Sheet1!M$2:M$333=$E65),""),4)="POST",CONCATENATE(_xlfn._xlws.FILTER(Sheet1!$A$2:$A$333,(Sheet1!M$2:M$333=$E63)+(Sheet1!M$2:M$333=$E64)+(Sheet1!M$2:M$333=$E65),""),"-","POST"),_xlfn._xlws.FILTER(Sheet1!$A$2:$A$333,(Sheet1!M$2:M$333=$E63)+(Sheet1!M$2:M$333=$E64)+(Sheet1!M$2:M$333=$E65),"UNFILLED"))</f>
        <v>MULLEN, RYAN</v>
      </c>
      <c r="K63" s="303" t="str" cm="1">
        <f t="array" ref="K63">IF(RIGHT(_xlfn._xlws.FILTER(Sheet1!$O$2:$O$333,(Sheet1!$O$2:$O$333=$E63)+(Sheet1!$O$2:$O$333=$E64)+(Sheet1!$O$2:$O$333=$E65),""),4)="POST",CONCATENATE(_xlfn._xlws.FILTER(Sheet1!$A$2:$A$333,(Sheet1!$O$2:$O$333=$E63)+(Sheet1!$O$2:$O$333=$E64)+(Sheet1!$O$2:$O$333=$E65),""),"-","POST"),_xlfn._xlws.FILTER(Sheet1!$A$2:$A$333,(Sheet1!$O$2:$O$333=$E63)+(Sheet1!$O$2:$O$333=$E64)+(Sheet1!$O$2:$O$333=$E65),"UNFILLED"))</f>
        <v>MULLEN, RYAN</v>
      </c>
      <c r="L63" s="303" t="str" cm="1">
        <f t="array" ref="L63:L64">IF(RIGHT(_xlfn._xlws.FILTER(Sheet1!$Q$2:$Q$333,(Sheet1!$Q$2:$Q$333=$E63)+(Sheet1!$Q$2:$Q$333=$E64)+(Sheet1!$Q$2:$Q$333=$E65),""),4)="POST",CONCATENATE(_xlfn._xlws.FILTER(Sheet1!$A$2:$A$333,(Sheet1!$Q$2:$Q$333=$E63)+(Sheet1!$Q$2:$Q$333=$E64)+(Sheet1!$Q$2:$Q$333=$E65),""),"-","POST"),_xlfn._xlws.FILTER(Sheet1!$A$2:$A$333,(Sheet1!$Q$2:$Q$333=$E63)+(Sheet1!$Q$2:$Q$333=$E64)+(Sheet1!$Q$2:$Q$333=$E65),"UNFILLED"))</f>
        <v>INVENINATO, JUSTIN-POST</v>
      </c>
      <c r="M63" s="303" t="str" cm="1">
        <f t="array" ref="M63">IF(RIGHT(_xlfn._xlws.FILTER(Sheet1!$S$2:$S$333,(Sheet1!$S$2:$S$333=$E63)+(Sheet1!$S$2:$S$333=$E64)+(Sheet1!$S$2:$S$333=$E65),""),4)="POST",CONCATENATE(_xlfn._xlws.FILTER(Sheet1!$A$2:$A$333,(Sheet1!$S$2:$S$333=$E63)+(Sheet1!$S$2:$S$333=$E64)+(Sheet1!$S$2:$S$333=$E65),""),"-","POST"),_xlfn._xlws.FILTER(Sheet1!$A$2:$A$333,(Sheet1!$S$2:$S$333=$E63)+(Sheet1!$S$2:$S$333=$E64)+(Sheet1!$S$2:$S$333=$E65),"UNFILLED"))</f>
        <v>WILSON, AISHA</v>
      </c>
    </row>
    <row r="64" spans="3:13" ht="17.25" customHeight="1" x14ac:dyDescent="0.4">
      <c r="C64" s="472"/>
      <c r="D64" s="473"/>
      <c r="E64" s="168" t="str">
        <f>_xlfn.CONCAT(E63,"-","POST")</f>
        <v>VA-1-POST</v>
      </c>
      <c r="F64" s="466"/>
      <c r="G64" s="304"/>
      <c r="H64" s="304"/>
      <c r="I64" s="304"/>
      <c r="J64" s="304"/>
      <c r="K64" s="304"/>
      <c r="L64" s="304" t="str">
        <v>MULLEN, RYAN</v>
      </c>
      <c r="M64" s="304"/>
    </row>
    <row r="65" spans="3:13" ht="17.25" customHeight="1" x14ac:dyDescent="0.4">
      <c r="C65" s="472"/>
      <c r="D65" s="473"/>
      <c r="E65" s="168" t="str">
        <f>_xlfn.CONCAT(E63,"-","PILOT")</f>
        <v>VA-1-PILOT</v>
      </c>
      <c r="F65" s="467"/>
      <c r="G65" s="305"/>
      <c r="H65" s="305"/>
      <c r="I65" s="305"/>
      <c r="J65" s="305"/>
      <c r="K65" s="305"/>
      <c r="L65" s="305"/>
      <c r="M65" s="305"/>
    </row>
    <row r="66" spans="3:13" ht="17.25" customHeight="1" x14ac:dyDescent="0.45">
      <c r="C66" s="472"/>
      <c r="D66" s="473"/>
      <c r="E66" s="175" t="s">
        <v>508</v>
      </c>
      <c r="F66" s="465" t="s">
        <v>1076</v>
      </c>
      <c r="G66" s="303" t="str" cm="1">
        <f t="array" ref="G66">IF(RIGHT(_xlfn._xlws.FILTER(Sheet1!$G$2:$G$333,(Sheet1!$G$2:$G$333=$E66)+(Sheet1!$G$2:$G$333=$E67)+(Sheet1!$G$2:$G$333=$E68),""),4)="POST",CONCATENATE(_xlfn._xlws.FILTER(Sheet1!$A$2:$A$333,(Sheet1!$G$2:$G$333=$E66)+(Sheet1!$G$2:$G$333=$E67)+(Sheet1!$G$2:$G$333=$E68),""),"-","POST"),_xlfn._xlws.FILTER(Sheet1!$A$2:$A$333,(Sheet1!$G$2:$G$333=$E66)+(Sheet1!$G$2:$G$333=$E67)+(Sheet1!$G$2:$G$333=$E68),"UNFILLED"))</f>
        <v>GODFREY, DENNIS</v>
      </c>
      <c r="H66" s="303" t="str" cm="1">
        <f t="array" ref="H66">IF(RIGHT(_xlfn._xlws.FILTER(Sheet1!$I$2:$I$333,(Sheet1!$I$2:$I$333=$E66)+(Sheet1!$I$2:$I$333=$E67)+(Sheet1!$I$2:$I$333=$E68),""),4)="POST",CONCATENATE(_xlfn._xlws.FILTER(Sheet1!$A$2:$A$333,(Sheet1!$I$2:$I$333=$E66)+(Sheet1!$I$2:$I$333=$E67)+(Sheet1!$I$2:$I$333=$E68),""),"-","POST"),_xlfn._xlws.FILTER(Sheet1!$A$2:$A$333,(Sheet1!$I$2:$I$333=$E66)+(Sheet1!$I$2:$I$333=$E67)+(Sheet1!$I$2:$I$333=$E68),"UNFILLED"))</f>
        <v>FRAZIER, PATRICK</v>
      </c>
      <c r="I66" s="303" t="str" cm="1">
        <f t="array" ref="I66">IF(RIGHT(_xlfn._xlws.FILTER(Sheet1!$K$2:$K$333,(Sheet1!$K$2:$K$333=$E66)+(Sheet1!$K$2:$K$333=$E67)+(Sheet1!$K$2:$K$333=$E68),""),4)="POST",CONCATENATE(_xlfn._xlws.FILTER(Sheet1!$A$2:$A$333,(Sheet1!$K$2:$K$333=$E66)+(Sheet1!$K$2:$K$333=$E67)+(Sheet1!$K$2:$K$333=$E68),""),"-","POST"),_xlfn._xlws.FILTER(Sheet1!$A$2:$A$333,(Sheet1!$K$2:$K$333=$E66)+(Sheet1!$K$2:$K$333=$E67)+(Sheet1!$K$2:$K$333=$E68),"UNFILLED"))</f>
        <v>FRAZIER, PATRICK</v>
      </c>
      <c r="J66" s="303" t="str" cm="1">
        <f t="array" ref="J66">IF(RIGHT(_xlfn._xlws.FILTER(Sheet1!M$2:M$333,(Sheet1!M$2:M$333=$E66)+(Sheet1!M$2:M$333=$E67)+(Sheet1!M$2:M$333=$E68),""),4)="POST",CONCATENATE(_xlfn._xlws.FILTER(Sheet1!$A$2:$A$333,(Sheet1!M$2:M$333=$E66)+(Sheet1!M$2:M$333=$E67)+(Sheet1!M$2:M$333=$E68),""),"-","POST"),_xlfn._xlws.FILTER(Sheet1!$A$2:$A$333,(Sheet1!M$2:M$333=$E66)+(Sheet1!M$2:M$333=$E67)+(Sheet1!M$2:M$333=$E68),"UNFILLED"))</f>
        <v>FRAZIER, PATRICK</v>
      </c>
      <c r="K66" s="303" t="str" cm="1">
        <f t="array" ref="K66">IF(RIGHT(_xlfn._xlws.FILTER(Sheet1!$O$2:$O$333,(Sheet1!$O$2:$O$333=$E66)+(Sheet1!$O$2:$O$333=$E67)+(Sheet1!$O$2:$O$333=$E68),""),4)="POST",CONCATENATE(_xlfn._xlws.FILTER(Sheet1!$A$2:$A$333,(Sheet1!$O$2:$O$333=$E66)+(Sheet1!$O$2:$O$333=$E67)+(Sheet1!$O$2:$O$333=$E68),""),"-","POST"),_xlfn._xlws.FILTER(Sheet1!$A$2:$A$333,(Sheet1!$O$2:$O$333=$E66)+(Sheet1!$O$2:$O$333=$E67)+(Sheet1!$O$2:$O$333=$E68),"UNFILLED"))</f>
        <v>FRAZIER, PATRICK</v>
      </c>
      <c r="L66" s="303" t="str" cm="1">
        <f t="array" ref="L66">IF(RIGHT(_xlfn._xlws.FILTER(Sheet1!$Q$2:$Q$333,(Sheet1!$Q$2:$Q$333=$E66)+(Sheet1!$Q$2:$Q$333=$E67)+(Sheet1!$Q$2:$Q$333=$E68),""),4)="POST",CONCATENATE(_xlfn._xlws.FILTER(Sheet1!$A$2:$A$333,(Sheet1!$Q$2:$Q$333=$E66)+(Sheet1!$Q$2:$Q$333=$E67)+(Sheet1!$Q$2:$Q$333=$E68),""),"-","POST"),_xlfn._xlws.FILTER(Sheet1!$A$2:$A$333,(Sheet1!$Q$2:$Q$333=$E66)+(Sheet1!$Q$2:$Q$333=$E67)+(Sheet1!$Q$2:$Q$333=$E68),"UNFILLED"))</f>
        <v>FRAZIER, PATRICK</v>
      </c>
      <c r="M66" s="303" t="str" cm="1">
        <f t="array" ref="M66">IF(RIGHT(_xlfn._xlws.FILTER(Sheet1!$S$2:$S$333,(Sheet1!$S$2:$S$333=$E66)+(Sheet1!$S$2:$S$333=$E67)+(Sheet1!$S$2:$S$333=$E68),""),4)="POST",CONCATENATE(_xlfn._xlws.FILTER(Sheet1!$A$2:$A$333,(Sheet1!$S$2:$S$333=$E66)+(Sheet1!$S$2:$S$333=$E67)+(Sheet1!$S$2:$S$333=$E68),""),"-","POST"),_xlfn._xlws.FILTER(Sheet1!$A$2:$A$333,(Sheet1!$S$2:$S$333=$E66)+(Sheet1!$S$2:$S$333=$E67)+(Sheet1!$S$2:$S$333=$E68),"UNFILLED"))</f>
        <v>GODFREY, DENNIS</v>
      </c>
    </row>
    <row r="67" spans="3:13" ht="17.25" customHeight="1" x14ac:dyDescent="0.4">
      <c r="C67" s="472"/>
      <c r="D67" s="473"/>
      <c r="E67" s="168" t="str">
        <f>_xlfn.CONCAT(E66,"-","POST")</f>
        <v>AS-1-POST</v>
      </c>
      <c r="F67" s="466"/>
      <c r="G67" s="304"/>
      <c r="H67" s="304"/>
      <c r="I67" s="304"/>
      <c r="J67" s="304"/>
      <c r="K67" s="304"/>
      <c r="L67" s="304"/>
      <c r="M67" s="304"/>
    </row>
    <row r="68" spans="3:13" ht="17.25" customHeight="1" x14ac:dyDescent="0.4">
      <c r="C68" s="472"/>
      <c r="D68" s="473"/>
      <c r="E68" s="168" t="str">
        <f>_xlfn.CONCAT(E66,"-","PILOT")</f>
        <v>AS-1-PILOT</v>
      </c>
      <c r="F68" s="467"/>
      <c r="G68" s="305"/>
      <c r="H68" s="305"/>
      <c r="I68" s="305"/>
      <c r="J68" s="305"/>
      <c r="K68" s="305"/>
      <c r="L68" s="305"/>
      <c r="M68" s="305"/>
    </row>
    <row r="69" spans="3:13" ht="17.25" customHeight="1" x14ac:dyDescent="0.45">
      <c r="C69" s="472"/>
      <c r="D69" s="473"/>
      <c r="E69" s="175" t="s">
        <v>359</v>
      </c>
      <c r="F69" s="465" t="s">
        <v>1077</v>
      </c>
      <c r="G69" s="303" t="str" cm="1">
        <f t="array" ref="G69">IF(RIGHT(_xlfn._xlws.FILTER(Sheet1!$G$2:$G$333,(Sheet1!$G$2:$G$333=$E69)+(Sheet1!$G$2:$G$333=$E70)+(Sheet1!$G$2:$G$333=$E71),""),4)="POST",CONCATENATE(_xlfn._xlws.FILTER(Sheet1!$A$2:$A$333,(Sheet1!$G$2:$G$333=$E69)+(Sheet1!$G$2:$G$333=$E70)+(Sheet1!$G$2:$G$333=$E71),""),"-","POST"),_xlfn._xlws.FILTER(Sheet1!$A$2:$A$333,(Sheet1!$G$2:$G$333=$E69)+(Sheet1!$G$2:$G$333=$E70)+(Sheet1!$G$2:$G$333=$E71),"UNFILLED"))</f>
        <v>LOUIS, BRANDON</v>
      </c>
      <c r="H69" s="303" t="str" cm="1">
        <f t="array" ref="H69">IF(RIGHT(_xlfn._xlws.FILTER(Sheet1!$I$2:$I$333,(Sheet1!$I$2:$I$333=$E69)+(Sheet1!$I$2:$I$333=$E70)+(Sheet1!$I$2:$I$333=$E71),""),4)="POST",CONCATENATE(_xlfn._xlws.FILTER(Sheet1!$A$2:$A$333,(Sheet1!$I$2:$I$333=$E69)+(Sheet1!$I$2:$I$333=$E70)+(Sheet1!$I$2:$I$333=$E71),""),"-","POST"),_xlfn._xlws.FILTER(Sheet1!$A$2:$A$333,(Sheet1!$I$2:$I$333=$E69)+(Sheet1!$I$2:$I$333=$E70)+(Sheet1!$I$2:$I$333=$E71),"UNFILLED"))</f>
        <v>CARTER, TREY</v>
      </c>
      <c r="I69" s="303" t="str" cm="1">
        <f t="array" ref="I69">IF(RIGHT(_xlfn._xlws.FILTER(Sheet1!$K$2:$K$333,(Sheet1!$K$2:$K$333=$E69)+(Sheet1!$K$2:$K$333=$E70)+(Sheet1!$K$2:$K$333=$E71),""),4)="POST",CONCATENATE(_xlfn._xlws.FILTER(Sheet1!$A$2:$A$333,(Sheet1!$K$2:$K$333=$E69)+(Sheet1!$K$2:$K$333=$E70)+(Sheet1!$K$2:$K$333=$E71),""),"-","POST"),_xlfn._xlws.FILTER(Sheet1!$A$2:$A$333,(Sheet1!$K$2:$K$333=$E69)+(Sheet1!$K$2:$K$333=$E70)+(Sheet1!$K$2:$K$333=$E71),"UNFILLED"))</f>
        <v>HATTON, ROBERT</v>
      </c>
      <c r="J69" s="303" t="str" cm="1">
        <f t="array" ref="J69">IF(RIGHT(_xlfn._xlws.FILTER(Sheet1!M$2:M$333,(Sheet1!M$2:M$333=$E69)+(Sheet1!M$2:M$333=$E70)+(Sheet1!M$2:M$333=$E71),""),4)="POST",CONCATENATE(_xlfn._xlws.FILTER(Sheet1!$A$2:$A$333,(Sheet1!M$2:M$333=$E69)+(Sheet1!M$2:M$333=$E70)+(Sheet1!M$2:M$333=$E71),""),"-","POST"),_xlfn._xlws.FILTER(Sheet1!$A$2:$A$333,(Sheet1!M$2:M$333=$E69)+(Sheet1!M$2:M$333=$E70)+(Sheet1!M$2:M$333=$E71),"UNFILLED"))</f>
        <v>HATTON, ROBERT</v>
      </c>
      <c r="K69" s="303" t="str" cm="1">
        <f t="array" ref="K69">IF(RIGHT(_xlfn._xlws.FILTER(Sheet1!$O$2:$O$333,(Sheet1!$O$2:$O$333=$E69)+(Sheet1!$O$2:$O$333=$E70)+(Sheet1!$O$2:$O$333=$E71),""),4)="POST",CONCATENATE(_xlfn._xlws.FILTER(Sheet1!$A$2:$A$333,(Sheet1!$O$2:$O$333=$E69)+(Sheet1!$O$2:$O$333=$E70)+(Sheet1!$O$2:$O$333=$E71),""),"-","POST"),_xlfn._xlws.FILTER(Sheet1!$A$2:$A$333,(Sheet1!$O$2:$O$333=$E69)+(Sheet1!$O$2:$O$333=$E70)+(Sheet1!$O$2:$O$333=$E71),"UNFILLED"))</f>
        <v>HATTON, ROBERT</v>
      </c>
      <c r="L69" s="303" t="str" cm="1">
        <f t="array" ref="L69">IF(RIGHT(_xlfn._xlws.FILTER(Sheet1!$Q$2:$Q$333,(Sheet1!$Q$2:$Q$333=$E69)+(Sheet1!$Q$2:$Q$333=$E70)+(Sheet1!$Q$2:$Q$333=$E71),""),4)="POST",CONCATENATE(_xlfn._xlws.FILTER(Sheet1!$A$2:$A$333,(Sheet1!$Q$2:$Q$333=$E69)+(Sheet1!$Q$2:$Q$333=$E70)+(Sheet1!$Q$2:$Q$333=$E71),""),"-","POST"),_xlfn._xlws.FILTER(Sheet1!$A$2:$A$333,(Sheet1!$Q$2:$Q$333=$E69)+(Sheet1!$Q$2:$Q$333=$E70)+(Sheet1!$Q$2:$Q$333=$E71),"UNFILLED"))</f>
        <v>HATTON, ROBERT</v>
      </c>
      <c r="M69" s="303" t="str" cm="1">
        <f t="array" ref="M69">IF(RIGHT(_xlfn._xlws.FILTER(Sheet1!$S$2:$S$333,(Sheet1!$S$2:$S$333=$E69)+(Sheet1!$S$2:$S$333=$E70)+(Sheet1!$S$2:$S$333=$E71),""),4)="POST",CONCATENATE(_xlfn._xlws.FILTER(Sheet1!$A$2:$A$333,(Sheet1!$S$2:$S$333=$E69)+(Sheet1!$S$2:$S$333=$E70)+(Sheet1!$S$2:$S$333=$E71),""),"-","POST"),_xlfn._xlws.FILTER(Sheet1!$A$2:$A$333,(Sheet1!$S$2:$S$333=$E69)+(Sheet1!$S$2:$S$333=$E70)+(Sheet1!$S$2:$S$333=$E71),"UNFILLED"))</f>
        <v>CARTER, TREY</v>
      </c>
    </row>
    <row r="70" spans="3:13" ht="17.25" customHeight="1" x14ac:dyDescent="0.4">
      <c r="C70" s="472"/>
      <c r="D70" s="473"/>
      <c r="E70" s="168" t="str">
        <f>_xlfn.CONCAT(E69,"-","POST")</f>
        <v>DV-1-POST</v>
      </c>
      <c r="F70" s="466"/>
      <c r="G70" s="304"/>
      <c r="H70" s="304"/>
      <c r="I70" s="304"/>
      <c r="J70" s="304"/>
      <c r="K70" s="304"/>
      <c r="L70" s="304"/>
      <c r="M70" s="304"/>
    </row>
    <row r="71" spans="3:13" ht="17.25" customHeight="1" x14ac:dyDescent="0.4">
      <c r="C71" s="472"/>
      <c r="D71" s="473"/>
      <c r="E71" s="168" t="str">
        <f>_xlfn.CONCAT(E69,"-","PILOT")</f>
        <v>DV-1-PILOT</v>
      </c>
      <c r="F71" s="467"/>
      <c r="G71" s="305"/>
      <c r="H71" s="305"/>
      <c r="I71" s="305"/>
      <c r="J71" s="305"/>
      <c r="K71" s="305"/>
      <c r="L71" s="305"/>
      <c r="M71" s="305"/>
    </row>
    <row r="72" spans="3:13" ht="17.25" customHeight="1" x14ac:dyDescent="0.45">
      <c r="C72" s="472"/>
      <c r="D72" s="473"/>
      <c r="E72" s="175" t="s">
        <v>426</v>
      </c>
      <c r="F72" s="465" t="s">
        <v>1078</v>
      </c>
      <c r="G72" s="303" t="str" cm="1">
        <f t="array" ref="G72">IF(RIGHT(_xlfn._xlws.FILTER(Sheet1!$G$2:$G$333,(Sheet1!$G$2:$G$333=$E72)+(Sheet1!$G$2:$G$333=$E73)+(Sheet1!$G$2:$G$333=$E74),""),4)="POST",CONCATENATE(_xlfn._xlws.FILTER(Sheet1!$A$2:$A$333,(Sheet1!$G$2:$G$333=$E72)+(Sheet1!$G$2:$G$333=$E73)+(Sheet1!$G$2:$G$333=$E74),""),"-","POST"),_xlfn._xlws.FILTER(Sheet1!$A$2:$A$333,(Sheet1!$G$2:$G$333=$E72)+(Sheet1!$G$2:$G$333=$E73)+(Sheet1!$G$2:$G$333=$E74),"UNFILLED"))</f>
        <v>LITTLES, MARK</v>
      </c>
      <c r="H72" s="303" t="str" cm="1">
        <f t="array" ref="H72">IF(RIGHT(_xlfn._xlws.FILTER(Sheet1!$I$2:$I$333,(Sheet1!$I$2:$I$333=$E72)+(Sheet1!$I$2:$I$333=$E73)+(Sheet1!$I$2:$I$333=$E74),""),4)="POST",CONCATENATE(_xlfn._xlws.FILTER(Sheet1!$A$2:$A$333,(Sheet1!$I$2:$I$333=$E72)+(Sheet1!$I$2:$I$333=$E73)+(Sheet1!$I$2:$I$333=$E74),""),"-","POST"),_xlfn._xlws.FILTER(Sheet1!$A$2:$A$333,(Sheet1!$I$2:$I$333=$E72)+(Sheet1!$I$2:$I$333=$E73)+(Sheet1!$I$2:$I$333=$E74),"UNFILLED"))</f>
        <v>LITTLES, MARK</v>
      </c>
      <c r="I72" s="303" t="str" cm="1">
        <f t="array" ref="I72">IF(RIGHT(_xlfn._xlws.FILTER(Sheet1!$K$2:$K$333,(Sheet1!$K$2:$K$333=$E72)+(Sheet1!$K$2:$K$333=$E73)+(Sheet1!$K$2:$K$333=$E74),""),4)="POST",CONCATENATE(_xlfn._xlws.FILTER(Sheet1!$A$2:$A$333,(Sheet1!$K$2:$K$333=$E72)+(Sheet1!$K$2:$K$333=$E73)+(Sheet1!$K$2:$K$333=$E74),""),"-","POST"),_xlfn._xlws.FILTER(Sheet1!$A$2:$A$333,(Sheet1!$K$2:$K$333=$E72)+(Sheet1!$K$2:$K$333=$E73)+(Sheet1!$K$2:$K$333=$E74),"UNFILLED"))</f>
        <v>DILL, GERALD</v>
      </c>
      <c r="J72" s="303" t="str" cm="1">
        <f t="array" ref="J72">IF(RIGHT(_xlfn._xlws.FILTER(Sheet1!M$2:M$333,(Sheet1!M$2:M$333=$E72)+(Sheet1!M$2:M$333=$E73)+(Sheet1!M$2:M$333=$E74),""),4)="POST",CONCATENATE(_xlfn._xlws.FILTER(Sheet1!$A$2:$A$333,(Sheet1!M$2:M$333=$E72)+(Sheet1!M$2:M$333=$E73)+(Sheet1!M$2:M$333=$E74),""),"-","POST"),_xlfn._xlws.FILTER(Sheet1!$A$2:$A$333,(Sheet1!M$2:M$333=$E72)+(Sheet1!M$2:M$333=$E73)+(Sheet1!M$2:M$333=$E74),"UNFILLED"))</f>
        <v>DILL, GERALD</v>
      </c>
      <c r="K72" s="303" t="str" cm="1">
        <f t="array" ref="K72">IF(RIGHT(_xlfn._xlws.FILTER(Sheet1!$O$2:$O$333,(Sheet1!$O$2:$O$333=$E72)+(Sheet1!$O$2:$O$333=$E73)+(Sheet1!$O$2:$O$333=$E74),""),4)="POST",CONCATENATE(_xlfn._xlws.FILTER(Sheet1!$A$2:$A$333,(Sheet1!$O$2:$O$333=$E72)+(Sheet1!$O$2:$O$333=$E73)+(Sheet1!$O$2:$O$333=$E74),""),"-","POST"),_xlfn._xlws.FILTER(Sheet1!$A$2:$A$333,(Sheet1!$O$2:$O$333=$E72)+(Sheet1!$O$2:$O$333=$E73)+(Sheet1!$O$2:$O$333=$E74),"UNFILLED"))</f>
        <v>DILL, GERALD</v>
      </c>
      <c r="L72" s="303" t="str" cm="1">
        <f t="array" ref="L72">IF(RIGHT(_xlfn._xlws.FILTER(Sheet1!$Q$2:$Q$333,(Sheet1!$Q$2:$Q$333=$E72)+(Sheet1!$Q$2:$Q$333=$E73)+(Sheet1!$Q$2:$Q$333=$E74),""),4)="POST",CONCATENATE(_xlfn._xlws.FILTER(Sheet1!$A$2:$A$333,(Sheet1!$Q$2:$Q$333=$E72)+(Sheet1!$Q$2:$Q$333=$E73)+(Sheet1!$Q$2:$Q$333=$E74),""),"-","POST"),_xlfn._xlws.FILTER(Sheet1!$A$2:$A$333,(Sheet1!$Q$2:$Q$333=$E72)+(Sheet1!$Q$2:$Q$333=$E73)+(Sheet1!$Q$2:$Q$333=$E74),"UNFILLED"))</f>
        <v>DILL, GERALD</v>
      </c>
      <c r="M72" s="303" t="str" cm="1">
        <f t="array" ref="M72">IF(RIGHT(_xlfn._xlws.FILTER(Sheet1!$S$2:$S$333,(Sheet1!$S$2:$S$333=$E72)+(Sheet1!$S$2:$S$333=$E73)+(Sheet1!$S$2:$S$333=$E74),""),4)="POST",CONCATENATE(_xlfn._xlws.FILTER(Sheet1!$A$2:$A$333,(Sheet1!$S$2:$S$333=$E72)+(Sheet1!$S$2:$S$333=$E73)+(Sheet1!$S$2:$S$333=$E74),""),"-","POST"),_xlfn._xlws.FILTER(Sheet1!$A$2:$A$333,(Sheet1!$S$2:$S$333=$E72)+(Sheet1!$S$2:$S$333=$E73)+(Sheet1!$S$2:$S$333=$E74),"UNFILLED"))</f>
        <v>DILL, GERALD</v>
      </c>
    </row>
    <row r="73" spans="3:13" ht="17.25" customHeight="1" x14ac:dyDescent="0.4">
      <c r="C73" s="472"/>
      <c r="D73" s="473"/>
      <c r="E73" s="168" t="str">
        <f>_xlfn.CONCAT(E72,"-","POST")</f>
        <v>HG-1-POST</v>
      </c>
      <c r="F73" s="466"/>
      <c r="G73" s="304"/>
      <c r="H73" s="304"/>
      <c r="I73" s="304"/>
      <c r="J73" s="304"/>
      <c r="K73" s="304"/>
      <c r="L73" s="304"/>
      <c r="M73" s="304"/>
    </row>
    <row r="74" spans="3:13" ht="17.25" customHeight="1" thickBot="1" x14ac:dyDescent="0.45">
      <c r="C74" s="472"/>
      <c r="D74" s="473"/>
      <c r="E74" s="168" t="str">
        <f>_xlfn.CONCAT(E72,"-","PILOT")</f>
        <v>HG-1-PILOT</v>
      </c>
      <c r="F74" s="466"/>
      <c r="G74" s="305"/>
      <c r="H74" s="305"/>
      <c r="I74" s="305"/>
      <c r="J74" s="305"/>
      <c r="K74" s="305"/>
      <c r="L74" s="305"/>
      <c r="M74" s="305"/>
    </row>
    <row r="75" spans="3:13" ht="24" customHeight="1" thickBot="1" x14ac:dyDescent="0.55000000000000004">
      <c r="C75" s="306"/>
      <c r="D75" s="307"/>
      <c r="E75" s="308"/>
      <c r="F75" s="309"/>
      <c r="G75" s="310"/>
      <c r="H75" s="310"/>
      <c r="I75" s="310"/>
      <c r="J75" s="310"/>
      <c r="K75" s="310"/>
      <c r="L75" s="310"/>
      <c r="M75" s="311"/>
    </row>
    <row r="76" spans="3:13" ht="11.25" customHeight="1" x14ac:dyDescent="0.4">
      <c r="C76" s="299"/>
      <c r="D76" s="300"/>
      <c r="F76" s="477" t="s">
        <v>1056</v>
      </c>
      <c r="G76" s="477"/>
      <c r="H76" s="477"/>
      <c r="I76" s="477"/>
      <c r="J76" s="477"/>
      <c r="K76" s="477"/>
      <c r="L76" s="477"/>
      <c r="M76" s="478"/>
    </row>
    <row r="77" spans="3:13" ht="11.25" customHeight="1" x14ac:dyDescent="0.4">
      <c r="C77" s="299"/>
      <c r="D77" s="312"/>
      <c r="E77" s="194"/>
      <c r="F77" s="477"/>
      <c r="G77" s="477"/>
      <c r="H77" s="477"/>
      <c r="I77" s="477"/>
      <c r="J77" s="477"/>
      <c r="K77" s="477"/>
      <c r="L77" s="477"/>
      <c r="M77" s="478"/>
    </row>
    <row r="78" spans="3:13" ht="11.25" customHeight="1" thickBot="1" x14ac:dyDescent="0.45">
      <c r="C78" s="299"/>
      <c r="D78" s="300"/>
      <c r="F78" s="479"/>
      <c r="G78" s="479"/>
      <c r="H78" s="479"/>
      <c r="I78" s="479"/>
      <c r="J78" s="479"/>
      <c r="K78" s="479"/>
      <c r="L78" s="479"/>
      <c r="M78" s="480"/>
    </row>
    <row r="79" spans="3:13" ht="18" customHeight="1" x14ac:dyDescent="0.45">
      <c r="C79" s="299"/>
      <c r="D79" s="302"/>
      <c r="F79" s="188"/>
      <c r="G79" s="189" t="str">
        <f t="shared" ref="G79:M79" si="2">TEXT(G80,"dddd")</f>
        <v>Saturday</v>
      </c>
      <c r="H79" s="189" t="str">
        <f t="shared" si="2"/>
        <v>Sunday</v>
      </c>
      <c r="I79" s="189" t="str">
        <f t="shared" si="2"/>
        <v>Monday</v>
      </c>
      <c r="J79" s="189" t="str">
        <f t="shared" si="2"/>
        <v>Tuesday</v>
      </c>
      <c r="K79" s="189" t="str">
        <f t="shared" si="2"/>
        <v>Wednesday</v>
      </c>
      <c r="L79" s="189" t="str">
        <f t="shared" si="2"/>
        <v>Thursday</v>
      </c>
      <c r="M79" s="189" t="str">
        <f t="shared" si="2"/>
        <v>Friday</v>
      </c>
    </row>
    <row r="80" spans="3:13" ht="18" customHeight="1" x14ac:dyDescent="0.4">
      <c r="C80" s="299"/>
      <c r="D80" s="302"/>
      <c r="F80" s="164" t="s">
        <v>66</v>
      </c>
      <c r="G80" s="165">
        <f>+G5</f>
        <v>45969</v>
      </c>
      <c r="H80" s="165">
        <f t="shared" ref="H80:M80" si="3">+G80+1</f>
        <v>45970</v>
      </c>
      <c r="I80" s="165">
        <f t="shared" si="3"/>
        <v>45971</v>
      </c>
      <c r="J80" s="165">
        <f t="shared" si="3"/>
        <v>45972</v>
      </c>
      <c r="K80" s="165">
        <f t="shared" si="3"/>
        <v>45973</v>
      </c>
      <c r="L80" s="165">
        <f t="shared" si="3"/>
        <v>45974</v>
      </c>
      <c r="M80" s="165">
        <f t="shared" si="3"/>
        <v>45975</v>
      </c>
    </row>
    <row r="81" spans="3:13" ht="28.5" customHeight="1" x14ac:dyDescent="0.4">
      <c r="C81" s="299"/>
      <c r="D81" s="300"/>
      <c r="F81" s="469" t="s">
        <v>31</v>
      </c>
      <c r="G81" s="470"/>
      <c r="H81" s="470"/>
      <c r="I81" s="470"/>
      <c r="J81" s="470"/>
      <c r="K81" s="470"/>
      <c r="L81" s="470"/>
      <c r="M81" s="471"/>
    </row>
    <row r="82" spans="3:13" ht="17.25" customHeight="1" x14ac:dyDescent="0.4">
      <c r="C82" s="472" t="s">
        <v>117</v>
      </c>
      <c r="D82" s="473"/>
      <c r="E82" s="168" t="s">
        <v>327</v>
      </c>
      <c r="F82" s="465" t="s">
        <v>1057</v>
      </c>
      <c r="G82" s="303" t="str" cm="1">
        <f t="array" ref="G82">IF(RIGHT(_xlfn._xlws.FILTER(Sheet1!$G$2:$G$333,(Sheet1!$G$2:$G$333=$E82)+(Sheet1!$G$2:$G$333=$E83)+(Sheet1!$G$2:$G$333=$E84),""),4)="POST",CONCATENATE(_xlfn._xlws.FILTER(Sheet1!$A$2:$A$333,(Sheet1!$G$2:$G$333=$E82)+(Sheet1!$G$2:$G$333=$E83)+(Sheet1!$G$2:$G$333=$E84),""),"-","POST"),_xlfn._xlws.FILTER(Sheet1!$A$2:$A$333,(Sheet1!$G$2:$G$333=$E82)+(Sheet1!$G$2:$G$333=$E83)+(Sheet1!$G$2:$G$333=$E84),"UNFILLED"))</f>
        <v>JOHNSON, JAMI</v>
      </c>
      <c r="H82" s="303" t="str" cm="1">
        <f t="array" ref="H82">IF(RIGHT(_xlfn._xlws.FILTER(Sheet1!$I$2:$I$333,(Sheet1!$I$2:$I$333=$E82)+(Sheet1!$I$2:$I$333=$E83)+(Sheet1!$I$2:$I$333=$E84),""),4)="POST",CONCATENATE(_xlfn._xlws.FILTER(Sheet1!$A$2:$A$333,(Sheet1!$I$2:$I$333=$E82)+(Sheet1!$I$2:$I$333=$E83)+(Sheet1!$I$2:$I$333=$E84),""),"-","POST"),_xlfn._xlws.FILTER(Sheet1!$A$2:$A$333,(Sheet1!$I$2:$I$333=$E82)+(Sheet1!$I$2:$I$333=$E83)+(Sheet1!$I$2:$I$333=$E84),"UNFILLED"))</f>
        <v>LOUIS, BRANDON</v>
      </c>
      <c r="I82" s="303" t="str" cm="1">
        <f t="array" ref="I82">IF(RIGHT(_xlfn._xlws.FILTER(Sheet1!$K$2:$K$333,(Sheet1!$K$2:$K$333=$E82)+(Sheet1!$K$2:$K$333=$E83)+(Sheet1!$K$2:$K$333=$E84),""),4)="POST",CONCATENATE(_xlfn._xlws.FILTER(Sheet1!$A$2:$A$333,(Sheet1!$K$2:$K$333=$E82)+(Sheet1!$K$2:$K$333=$E83)+(Sheet1!$K$2:$K$333=$E84),""),"-","POST"),_xlfn._xlws.FILTER(Sheet1!$A$2:$A$333,(Sheet1!$K$2:$K$333=$E82)+(Sheet1!$K$2:$K$333=$E83)+(Sheet1!$K$2:$K$333=$E84),"UNFILLED"))</f>
        <v>JOHNSON, JAMI</v>
      </c>
      <c r="J82" s="303" t="str" cm="1">
        <f t="array" ref="J82">IF(RIGHT(_xlfn._xlws.FILTER(Sheet1!M$2:M$333,(Sheet1!M$2:M$333=$E82)+(Sheet1!M$2:M$333=$E83)+(Sheet1!M$2:M$333=$E84),""),4)="POST",CONCATENATE(_xlfn._xlws.FILTER(Sheet1!$A$2:$A$333,(Sheet1!M$2:M$333=$E82)+(Sheet1!M$2:M$333=$E83)+(Sheet1!M$2:M$333=$E84),""),"-","POST"),_xlfn._xlws.FILTER(Sheet1!$A$2:$A$333,(Sheet1!M$2:M$333=$E82)+(Sheet1!M$2:M$333=$E83)+(Sheet1!M$2:M$333=$E84),"UNFILLED"))</f>
        <v>BRUNS, DANTRE</v>
      </c>
      <c r="K82" s="303" t="str" cm="1">
        <f t="array" ref="K82">IF(RIGHT(_xlfn._xlws.FILTER(Sheet1!$O$2:$O$333,(Sheet1!$O$2:$O$333=$E82)+(Sheet1!$O$2:$O$333=$E83)+(Sheet1!$O$2:$O$333=$E84),""),4)="POST",CONCATENATE(_xlfn._xlws.FILTER(Sheet1!$A$2:$A$333,(Sheet1!$O$2:$O$333=$E82)+(Sheet1!$O$2:$O$333=$E83)+(Sheet1!$O$2:$O$333=$E84),""),"-","POST"),_xlfn._xlws.FILTER(Sheet1!$A$2:$A$333,(Sheet1!$O$2:$O$333=$E82)+(Sheet1!$O$2:$O$333=$E83)+(Sheet1!$O$2:$O$333=$E84),"UNFILLED"))</f>
        <v>DENNIS, JOHN</v>
      </c>
      <c r="L82" s="303" t="str" cm="1">
        <f t="array" ref="L82">IF(RIGHT(_xlfn._xlws.FILTER(Sheet1!$Q$2:$Q$333,(Sheet1!$Q$2:$Q$333=$E82)+(Sheet1!$Q$2:$Q$333=$E83)+(Sheet1!$Q$2:$Q$333=$E84),""),4)="POST",CONCATENATE(_xlfn._xlws.FILTER(Sheet1!$A$2:$A$333,(Sheet1!$Q$2:$Q$333=$E82)+(Sheet1!$Q$2:$Q$333=$E83)+(Sheet1!$Q$2:$Q$333=$E84),""),"-","POST"),_xlfn._xlws.FILTER(Sheet1!$A$2:$A$333,(Sheet1!$Q$2:$Q$333=$E82)+(Sheet1!$Q$2:$Q$333=$E83)+(Sheet1!$Q$2:$Q$333=$E84),"UNFILLED"))</f>
        <v>JOHNSON, JAMI</v>
      </c>
      <c r="M82" s="303" t="str" cm="1">
        <f t="array" ref="M82">IF(RIGHT(_xlfn._xlws.FILTER(Sheet1!$S$2:$S$333,(Sheet1!$S$2:$S$333=$E82)+(Sheet1!$S$2:$S$333=$E83)+(Sheet1!$S$2:$S$333=$E84),""),4)="POST",CONCATENATE(_xlfn._xlws.FILTER(Sheet1!$A$2:$A$333,(Sheet1!$S$2:$S$333=$E82)+(Sheet1!$S$2:$S$333=$E83)+(Sheet1!$S$2:$S$333=$E84),""),"-","POST"),_xlfn._xlws.FILTER(Sheet1!$A$2:$A$333,(Sheet1!$S$2:$S$333=$E82)+(Sheet1!$S$2:$S$333=$E83)+(Sheet1!$S$2:$S$333=$E84),"UNFILLED"))</f>
        <v>JOHNSON, JAMI</v>
      </c>
    </row>
    <row r="83" spans="3:13" ht="17.25" customHeight="1" x14ac:dyDescent="0.4">
      <c r="C83" s="472"/>
      <c r="D83" s="473"/>
      <c r="E83" s="168" t="str">
        <f>_xlfn.CONCAT(E82,"-","POST")</f>
        <v>NE-2-POST</v>
      </c>
      <c r="F83" s="466"/>
      <c r="G83" s="304"/>
      <c r="H83" s="304"/>
      <c r="I83" s="304"/>
      <c r="J83" s="304"/>
      <c r="K83" s="304"/>
      <c r="L83" s="304"/>
      <c r="M83" s="304"/>
    </row>
    <row r="84" spans="3:13" ht="17.25" customHeight="1" x14ac:dyDescent="0.4">
      <c r="C84" s="472"/>
      <c r="D84" s="473"/>
      <c r="E84" s="168" t="str">
        <f>_xlfn.CONCAT(E82,"-","PILOT")</f>
        <v>NE-2-PILOT</v>
      </c>
      <c r="F84" s="467"/>
      <c r="G84" s="305"/>
      <c r="H84" s="305"/>
      <c r="I84" s="305"/>
      <c r="J84" s="305"/>
      <c r="K84" s="305"/>
      <c r="L84" s="305"/>
      <c r="M84" s="305"/>
    </row>
    <row r="85" spans="3:13" ht="17.25" customHeight="1" x14ac:dyDescent="0.4">
      <c r="C85" s="472"/>
      <c r="D85" s="473"/>
      <c r="E85" s="168" t="s">
        <v>439</v>
      </c>
      <c r="F85" s="465" t="s">
        <v>1058</v>
      </c>
      <c r="G85" s="303" t="str" cm="1">
        <f t="array" ref="G85">IF(RIGHT(_xlfn._xlws.FILTER(Sheet1!$G$2:$G$333,(Sheet1!$G$2:$G$333=$E85)+(Sheet1!$G$2:$G$333=$E86)+(Sheet1!$G$2:$G$333=$E87),""),4)="POST",CONCATENATE(_xlfn._xlws.FILTER(Sheet1!$A$2:$A$333,(Sheet1!$G$2:$G$333=$E85)+(Sheet1!$G$2:$G$333=$E86)+(Sheet1!$G$2:$G$333=$E87),""),"-","POST"),_xlfn._xlws.FILTER(Sheet1!$A$2:$A$333,(Sheet1!$G$2:$G$333=$E85)+(Sheet1!$G$2:$G$333=$E86)+(Sheet1!$G$2:$G$333=$E87),"UNFILLED"))</f>
        <v>PACE, LEWIS</v>
      </c>
      <c r="H85" s="303" t="str" cm="1">
        <f t="array" ref="H85">IF(RIGHT(_xlfn._xlws.FILTER(Sheet1!$I$2:$I$333,(Sheet1!$I$2:$I$333=$E85)+(Sheet1!$I$2:$I$333=$E86)+(Sheet1!$I$2:$I$333=$E87),""),4)="POST",CONCATENATE(_xlfn._xlws.FILTER(Sheet1!$A$2:$A$333,(Sheet1!$I$2:$I$333=$E85)+(Sheet1!$I$2:$I$333=$E86)+(Sheet1!$I$2:$I$333=$E87),""),"-","POST"),_xlfn._xlws.FILTER(Sheet1!$A$2:$A$333,(Sheet1!$I$2:$I$333=$E85)+(Sheet1!$I$2:$I$333=$E86)+(Sheet1!$I$2:$I$333=$E87),"UNFILLED"))</f>
        <v>DOBBS, JEREMY</v>
      </c>
      <c r="I85" s="303" t="str" cm="1">
        <f t="array" ref="I85">IF(RIGHT(_xlfn._xlws.FILTER(Sheet1!$K$2:$K$333,(Sheet1!$K$2:$K$333=$E85)+(Sheet1!$K$2:$K$333=$E86)+(Sheet1!$K$2:$K$333=$E87),""),4)="POST",CONCATENATE(_xlfn._xlws.FILTER(Sheet1!$A$2:$A$333,(Sheet1!$K$2:$K$333=$E85)+(Sheet1!$K$2:$K$333=$E86)+(Sheet1!$K$2:$K$333=$E87),""),"-","POST"),_xlfn._xlws.FILTER(Sheet1!$A$2:$A$333,(Sheet1!$K$2:$K$333=$E85)+(Sheet1!$K$2:$K$333=$E86)+(Sheet1!$K$2:$K$333=$E87),"UNFILLED"))</f>
        <v>PACE, LEWIS</v>
      </c>
      <c r="J85" s="303" t="str" cm="1">
        <f t="array" ref="J85">IF(RIGHT(_xlfn._xlws.FILTER(Sheet1!M$2:M$333,(Sheet1!M$2:M$333=$E85)+(Sheet1!M$2:M$333=$E86)+(Sheet1!M$2:M$333=$E87),""),4)="POST",CONCATENATE(_xlfn._xlws.FILTER(Sheet1!$A$2:$A$333,(Sheet1!M$2:M$333=$E85)+(Sheet1!M$2:M$333=$E86)+(Sheet1!M$2:M$333=$E87),""),"-","POST"),_xlfn._xlws.FILTER(Sheet1!$A$2:$A$333,(Sheet1!M$2:M$333=$E85)+(Sheet1!M$2:M$333=$E86)+(Sheet1!M$2:M$333=$E87),"UNFILLED"))</f>
        <v>PACE, LEWIS</v>
      </c>
      <c r="K85" s="303" t="str" cm="1">
        <f t="array" ref="K85">IF(RIGHT(_xlfn._xlws.FILTER(Sheet1!$O$2:$O$333,(Sheet1!$O$2:$O$333=$E85)+(Sheet1!$O$2:$O$333=$E86)+(Sheet1!$O$2:$O$333=$E87),""),4)="POST",CONCATENATE(_xlfn._xlws.FILTER(Sheet1!$A$2:$A$333,(Sheet1!$O$2:$O$333=$E85)+(Sheet1!$O$2:$O$333=$E86)+(Sheet1!$O$2:$O$333=$E87),""),"-","POST"),_xlfn._xlws.FILTER(Sheet1!$A$2:$A$333,(Sheet1!$O$2:$O$333=$E85)+(Sheet1!$O$2:$O$333=$E86)+(Sheet1!$O$2:$O$333=$E87),"UNFILLED"))</f>
        <v>WILLIAMS, JASMINE</v>
      </c>
      <c r="L85" s="303" t="str" cm="1">
        <f t="array" ref="L85">IF(RIGHT(_xlfn._xlws.FILTER(Sheet1!$Q$2:$Q$333,(Sheet1!$Q$2:$Q$333=$E85)+(Sheet1!$Q$2:$Q$333=$E86)+(Sheet1!$Q$2:$Q$333=$E87),""),4)="POST",CONCATENATE(_xlfn._xlws.FILTER(Sheet1!$A$2:$A$333,(Sheet1!$Q$2:$Q$333=$E85)+(Sheet1!$Q$2:$Q$333=$E86)+(Sheet1!$Q$2:$Q$333=$E87),""),"-","POST"),_xlfn._xlws.FILTER(Sheet1!$A$2:$A$333,(Sheet1!$Q$2:$Q$333=$E85)+(Sheet1!$Q$2:$Q$333=$E86)+(Sheet1!$Q$2:$Q$333=$E87),"UNFILLED"))</f>
        <v>WILLIAMS, JASMINE</v>
      </c>
      <c r="M85" s="303" t="str" cm="1">
        <f t="array" ref="M85">IF(RIGHT(_xlfn._xlws.FILTER(Sheet1!$S$2:$S$333,(Sheet1!$S$2:$S$333=$E85)+(Sheet1!$S$2:$S$333=$E86)+(Sheet1!$S$2:$S$333=$E87),""),4)="POST",CONCATENATE(_xlfn._xlws.FILTER(Sheet1!$A$2:$A$333,(Sheet1!$S$2:$S$333=$E85)+(Sheet1!$S$2:$S$333=$E86)+(Sheet1!$S$2:$S$333=$E87),""),"-","POST"),_xlfn._xlws.FILTER(Sheet1!$A$2:$A$333,(Sheet1!$S$2:$S$333=$E85)+(Sheet1!$S$2:$S$333=$E86)+(Sheet1!$S$2:$S$333=$E87),"UNFILLED"))</f>
        <v>PACE, LEWIS</v>
      </c>
    </row>
    <row r="86" spans="3:13" ht="17.25" customHeight="1" x14ac:dyDescent="0.4">
      <c r="C86" s="472"/>
      <c r="D86" s="473"/>
      <c r="E86" s="168" t="str">
        <f>_xlfn.CONCAT(E85,"-","POST")</f>
        <v>SE-2-POST</v>
      </c>
      <c r="F86" s="466"/>
      <c r="G86" s="304"/>
      <c r="H86" s="304"/>
      <c r="I86" s="304"/>
      <c r="J86" s="304"/>
      <c r="K86" s="304"/>
      <c r="L86" s="304"/>
      <c r="M86" s="304"/>
    </row>
    <row r="87" spans="3:13" ht="17.25" customHeight="1" x14ac:dyDescent="0.4">
      <c r="C87" s="472"/>
      <c r="D87" s="473"/>
      <c r="E87" s="168" t="str">
        <f>_xlfn.CONCAT(E85,"-","PILOT")</f>
        <v>SE-2-PILOT</v>
      </c>
      <c r="F87" s="467"/>
      <c r="G87" s="305"/>
      <c r="H87" s="305"/>
      <c r="I87" s="305"/>
      <c r="J87" s="305"/>
      <c r="K87" s="305"/>
      <c r="L87" s="305"/>
      <c r="M87" s="305"/>
    </row>
    <row r="88" spans="3:13" ht="17.25" customHeight="1" x14ac:dyDescent="0.4">
      <c r="C88" s="472"/>
      <c r="D88" s="473"/>
      <c r="E88" s="168" t="s">
        <v>415</v>
      </c>
      <c r="F88" s="465" t="s">
        <v>1059</v>
      </c>
      <c r="G88" s="303" t="str" cm="1">
        <f t="array" ref="G88">IF(RIGHT(_xlfn._xlws.FILTER(Sheet1!$G$2:$G$333,(Sheet1!$G$2:$G$333=$E88)+(Sheet1!$G$2:$G$333=$E89)+(Sheet1!$G$2:$G$333=$E90),""),4)="POST",CONCATENATE(_xlfn._xlws.FILTER(Sheet1!$A$2:$A$333,(Sheet1!$G$2:$G$333=$E88)+(Sheet1!$G$2:$G$333=$E89)+(Sheet1!$G$2:$G$333=$E90),""),"-","POST"),_xlfn._xlws.FILTER(Sheet1!$A$2:$A$333,(Sheet1!$G$2:$G$333=$E88)+(Sheet1!$G$2:$G$333=$E89)+(Sheet1!$G$2:$G$333=$E90),"UNFILLED"))</f>
        <v>MCDANIEL, PAMELA</v>
      </c>
      <c r="H88" s="303" t="str" cm="1">
        <f t="array" ref="H88">IF(RIGHT(_xlfn._xlws.FILTER(Sheet1!$I$2:$I$333,(Sheet1!$I$2:$I$333=$E88)+(Sheet1!$I$2:$I$333=$E89)+(Sheet1!$I$2:$I$333=$E90),""),4)="POST",CONCATENATE(_xlfn._xlws.FILTER(Sheet1!$A$2:$A$333,(Sheet1!$I$2:$I$333=$E88)+(Sheet1!$I$2:$I$333=$E89)+(Sheet1!$I$2:$I$333=$E90),""),"-","POST"),_xlfn._xlws.FILTER(Sheet1!$A$2:$A$333,(Sheet1!$I$2:$I$333=$E88)+(Sheet1!$I$2:$I$333=$E89)+(Sheet1!$I$2:$I$333=$E90),"UNFILLED"))</f>
        <v>SMITH, PATRICK</v>
      </c>
      <c r="I88" s="303" t="str" cm="1">
        <f t="array" ref="I88">IF(RIGHT(_xlfn._xlws.FILTER(Sheet1!$K$2:$K$333,(Sheet1!$K$2:$K$333=$E88)+(Sheet1!$K$2:$K$333=$E89)+(Sheet1!$K$2:$K$333=$E90),""),4)="POST",CONCATENATE(_xlfn._xlws.FILTER(Sheet1!$A$2:$A$333,(Sheet1!$K$2:$K$333=$E88)+(Sheet1!$K$2:$K$333=$E89)+(Sheet1!$K$2:$K$333=$E90),""),"-","POST"),_xlfn._xlws.FILTER(Sheet1!$A$2:$A$333,(Sheet1!$K$2:$K$333=$E88)+(Sheet1!$K$2:$K$333=$E89)+(Sheet1!$K$2:$K$333=$E90),"UNFILLED"))</f>
        <v>DENNIS, JOHN</v>
      </c>
      <c r="J88" s="303" t="str" cm="1">
        <f t="array" ref="J88">IF(RIGHT(_xlfn._xlws.FILTER(Sheet1!M$2:M$333,(Sheet1!M$2:M$333=$E88)+(Sheet1!M$2:M$333=$E89)+(Sheet1!M$2:M$333=$E90),""),4)="POST",CONCATENATE(_xlfn._xlws.FILTER(Sheet1!$A$2:$A$333,(Sheet1!M$2:M$333=$E88)+(Sheet1!M$2:M$333=$E89)+(Sheet1!M$2:M$333=$E90),""),"-","POST"),_xlfn._xlws.FILTER(Sheet1!$A$2:$A$333,(Sheet1!M$2:M$333=$E88)+(Sheet1!M$2:M$333=$E89)+(Sheet1!M$2:M$333=$E90),"UNFILLED"))</f>
        <v>DENNIS, JOHN</v>
      </c>
      <c r="K88" s="303" t="str" cm="1">
        <f t="array" ref="K88">IF(RIGHT(_xlfn._xlws.FILTER(Sheet1!$O$2:$O$333,(Sheet1!$O$2:$O$333=$E88)+(Sheet1!$O$2:$O$333=$E89)+(Sheet1!$O$2:$O$333=$E90),""),4)="POST",CONCATENATE(_xlfn._xlws.FILTER(Sheet1!$A$2:$A$333,(Sheet1!$O$2:$O$333=$E88)+(Sheet1!$O$2:$O$333=$E89)+(Sheet1!$O$2:$O$333=$E90),""),"-","POST"),_xlfn._xlws.FILTER(Sheet1!$A$2:$A$333,(Sheet1!$O$2:$O$333=$E88)+(Sheet1!$O$2:$O$333=$E89)+(Sheet1!$O$2:$O$333=$E90),"UNFILLED"))</f>
        <v>MCDANIEL, PAMELA</v>
      </c>
      <c r="L88" s="303" t="str" cm="1">
        <f t="array" ref="L88">IF(RIGHT(_xlfn._xlws.FILTER(Sheet1!$Q$2:$Q$333,(Sheet1!$Q$2:$Q$333=$E88)+(Sheet1!$Q$2:$Q$333=$E89)+(Sheet1!$Q$2:$Q$333=$E90),""),4)="POST",CONCATENATE(_xlfn._xlws.FILTER(Sheet1!$A$2:$A$333,(Sheet1!$Q$2:$Q$333=$E88)+(Sheet1!$Q$2:$Q$333=$E89)+(Sheet1!$Q$2:$Q$333=$E90),""),"-","POST"),_xlfn._xlws.FILTER(Sheet1!$A$2:$A$333,(Sheet1!$Q$2:$Q$333=$E88)+(Sheet1!$Q$2:$Q$333=$E89)+(Sheet1!$Q$2:$Q$333=$E90),"UNFILLED"))</f>
        <v>MCDANIEL, PAMELA</v>
      </c>
      <c r="M88" s="303" t="str" cm="1">
        <f t="array" ref="M88">IF(RIGHT(_xlfn._xlws.FILTER(Sheet1!$S$2:$S$333,(Sheet1!$S$2:$S$333=$E88)+(Sheet1!$S$2:$S$333=$E89)+(Sheet1!$S$2:$S$333=$E90),""),4)="POST",CONCATENATE(_xlfn._xlws.FILTER(Sheet1!$A$2:$A$333,(Sheet1!$S$2:$S$333=$E88)+(Sheet1!$S$2:$S$333=$E89)+(Sheet1!$S$2:$S$333=$E90),""),"-","POST"),_xlfn._xlws.FILTER(Sheet1!$A$2:$A$333,(Sheet1!$S$2:$S$333=$E88)+(Sheet1!$S$2:$S$333=$E89)+(Sheet1!$S$2:$S$333=$E90),"UNFILLED"))</f>
        <v>MCDANIEL, PAMELA</v>
      </c>
    </row>
    <row r="89" spans="3:13" ht="17.25" customHeight="1" x14ac:dyDescent="0.4">
      <c r="C89" s="472"/>
      <c r="D89" s="473"/>
      <c r="E89" s="168" t="str">
        <f>_xlfn.CONCAT(E88,"-","POST")</f>
        <v>IN-2-POST</v>
      </c>
      <c r="F89" s="466"/>
      <c r="G89" s="304"/>
      <c r="H89" s="304"/>
      <c r="I89" s="304"/>
      <c r="J89" s="304"/>
      <c r="K89" s="304"/>
      <c r="L89" s="304"/>
      <c r="M89" s="304"/>
    </row>
    <row r="90" spans="3:13" ht="17.25" customHeight="1" x14ac:dyDescent="0.4">
      <c r="C90" s="472"/>
      <c r="D90" s="473"/>
      <c r="E90" s="168" t="str">
        <f>_xlfn.CONCAT(E88,"-","PILOT")</f>
        <v>IN-2-PILOT</v>
      </c>
      <c r="F90" s="467"/>
      <c r="G90" s="305"/>
      <c r="H90" s="305"/>
      <c r="I90" s="305"/>
      <c r="J90" s="305"/>
      <c r="K90" s="305"/>
      <c r="L90" s="305"/>
      <c r="M90" s="305"/>
    </row>
    <row r="91" spans="3:13" ht="17.25" customHeight="1" x14ac:dyDescent="0.4">
      <c r="C91" s="472"/>
      <c r="D91" s="473"/>
      <c r="E91" s="168" t="s">
        <v>559</v>
      </c>
      <c r="F91" s="465" t="s">
        <v>1060</v>
      </c>
      <c r="G91" s="303" t="str" cm="1">
        <f t="array" ref="G91">IF(RIGHT(_xlfn._xlws.FILTER(Sheet1!$G$2:$G$333,(Sheet1!$G$2:$G$333=$E91)+(Sheet1!$G$2:$G$333=$E92)+(Sheet1!$G$2:$G$333=$E93),""),4)="POST",CONCATENATE(_xlfn._xlws.FILTER(Sheet1!$A$2:$A$333,(Sheet1!$G$2:$G$333=$E91)+(Sheet1!$G$2:$G$333=$E92)+(Sheet1!$G$2:$G$333=$E93),""),"-","POST"),_xlfn._xlws.FILTER(Sheet1!$A$2:$A$333,(Sheet1!$G$2:$G$333=$E91)+(Sheet1!$G$2:$G$333=$E92)+(Sheet1!$G$2:$G$333=$E93),"UNFILLED"))</f>
        <v>GORNICK, MITCHELL</v>
      </c>
      <c r="H91" s="303" t="str" cm="1">
        <f t="array" ref="H91">IF(RIGHT(_xlfn._xlws.FILTER(Sheet1!$I$2:$I$333,(Sheet1!$I$2:$I$333=$E91)+(Sheet1!$I$2:$I$333=$E92)+(Sheet1!$I$2:$I$333=$E93),""),4)="POST",CONCATENATE(_xlfn._xlws.FILTER(Sheet1!$A$2:$A$333,(Sheet1!$I$2:$I$333=$E91)+(Sheet1!$I$2:$I$333=$E92)+(Sheet1!$I$2:$I$333=$E93),""),"-","POST"),_xlfn._xlws.FILTER(Sheet1!$A$2:$A$333,(Sheet1!$I$2:$I$333=$E91)+(Sheet1!$I$2:$I$333=$E92)+(Sheet1!$I$2:$I$333=$E93),"UNFILLED"))</f>
        <v>GORNICK, MITCHELL</v>
      </c>
      <c r="I91" s="303" t="str" cm="1">
        <f t="array" ref="I91">IF(RIGHT(_xlfn._xlws.FILTER(Sheet1!$K$2:$K$333,(Sheet1!$K$2:$K$333=$E91)+(Sheet1!$K$2:$K$333=$E92)+(Sheet1!$K$2:$K$333=$E93),""),4)="POST",CONCATENATE(_xlfn._xlws.FILTER(Sheet1!$A$2:$A$333,(Sheet1!$K$2:$K$333=$E91)+(Sheet1!$K$2:$K$333=$E92)+(Sheet1!$K$2:$K$333=$E93),""),"-","POST"),_xlfn._xlws.FILTER(Sheet1!$A$2:$A$333,(Sheet1!$K$2:$K$333=$E91)+(Sheet1!$K$2:$K$333=$E92)+(Sheet1!$K$2:$K$333=$E93),"UNFILLED"))</f>
        <v>HOBBS, DESIREE</v>
      </c>
      <c r="J91" s="303" t="str" cm="1">
        <f t="array" ref="J91">IF(RIGHT(_xlfn._xlws.FILTER(Sheet1!M$2:M$333,(Sheet1!M$2:M$333=$E91)+(Sheet1!M$2:M$333=$E92)+(Sheet1!M$2:M$333=$E93),""),4)="POST",CONCATENATE(_xlfn._xlws.FILTER(Sheet1!$A$2:$A$333,(Sheet1!M$2:M$333=$E91)+(Sheet1!M$2:M$333=$E92)+(Sheet1!M$2:M$333=$E93),""),"-","POST"),_xlfn._xlws.FILTER(Sheet1!$A$2:$A$333,(Sheet1!M$2:M$333=$E91)+(Sheet1!M$2:M$333=$E92)+(Sheet1!M$2:M$333=$E93),"UNFILLED"))</f>
        <v>HOBBS, DESIREE</v>
      </c>
      <c r="K91" s="303" t="str" cm="1">
        <f t="array" ref="K91">IF(RIGHT(_xlfn._xlws.FILTER(Sheet1!$O$2:$O$333,(Sheet1!$O$2:$O$333=$E91)+(Sheet1!$O$2:$O$333=$E92)+(Sheet1!$O$2:$O$333=$E93),""),4)="POST",CONCATENATE(_xlfn._xlws.FILTER(Sheet1!$A$2:$A$333,(Sheet1!$O$2:$O$333=$E91)+(Sheet1!$O$2:$O$333=$E92)+(Sheet1!$O$2:$O$333=$E93),""),"-","POST"),_xlfn._xlws.FILTER(Sheet1!$A$2:$A$333,(Sheet1!$O$2:$O$333=$E91)+(Sheet1!$O$2:$O$333=$E92)+(Sheet1!$O$2:$O$333=$E93),"UNFILLED"))</f>
        <v>GORNICK, MITCHELL</v>
      </c>
      <c r="L91" s="303" t="str" cm="1">
        <f t="array" ref="L91">IF(RIGHT(_xlfn._xlws.FILTER(Sheet1!$Q$2:$Q$333,(Sheet1!$Q$2:$Q$333=$E91)+(Sheet1!$Q$2:$Q$333=$E92)+(Sheet1!$Q$2:$Q$333=$E93),""),4)="POST",CONCATENATE(_xlfn._xlws.FILTER(Sheet1!$A$2:$A$333,(Sheet1!$Q$2:$Q$333=$E91)+(Sheet1!$Q$2:$Q$333=$E92)+(Sheet1!$Q$2:$Q$333=$E93),""),"-","POST"),_xlfn._xlws.FILTER(Sheet1!$A$2:$A$333,(Sheet1!$Q$2:$Q$333=$E91)+(Sheet1!$Q$2:$Q$333=$E92)+(Sheet1!$Q$2:$Q$333=$E93),"UNFILLED"))</f>
        <v>WALLER, CHARLES</v>
      </c>
      <c r="M91" s="303" t="str" cm="1">
        <f t="array" ref="M91">IF(RIGHT(_xlfn._xlws.FILTER(Sheet1!$S$2:$S$333,(Sheet1!$S$2:$S$333=$E91)+(Sheet1!$S$2:$S$333=$E92)+(Sheet1!$S$2:$S$333=$E93),""),4)="POST",CONCATENATE(_xlfn._xlws.FILTER(Sheet1!$A$2:$A$333,(Sheet1!$S$2:$S$333=$E91)+(Sheet1!$S$2:$S$333=$E92)+(Sheet1!$S$2:$S$333=$E93),""),"-","POST"),_xlfn._xlws.FILTER(Sheet1!$A$2:$A$333,(Sheet1!$S$2:$S$333=$E91)+(Sheet1!$S$2:$S$333=$E92)+(Sheet1!$S$2:$S$333=$E93),"UNFILLED"))</f>
        <v>GORNICK, MITCHELL</v>
      </c>
    </row>
    <row r="92" spans="3:13" ht="17.25" customHeight="1" x14ac:dyDescent="0.4">
      <c r="C92" s="472"/>
      <c r="D92" s="473"/>
      <c r="E92" s="168" t="str">
        <f>_xlfn.CONCAT(E91,"-","POST")</f>
        <v>GS-2-POST</v>
      </c>
      <c r="F92" s="466"/>
      <c r="G92" s="304"/>
      <c r="H92" s="304"/>
      <c r="I92" s="304"/>
      <c r="J92" s="304"/>
      <c r="K92" s="304"/>
      <c r="L92" s="304"/>
      <c r="M92" s="304"/>
    </row>
    <row r="93" spans="3:13" ht="17.25" customHeight="1" x14ac:dyDescent="0.4">
      <c r="C93" s="472"/>
      <c r="D93" s="473"/>
      <c r="E93" s="168" t="str">
        <f>_xlfn.CONCAT(E91,"-","PILOT")</f>
        <v>GS-2-PILOT</v>
      </c>
      <c r="F93" s="467"/>
      <c r="G93" s="305"/>
      <c r="H93" s="305"/>
      <c r="I93" s="305"/>
      <c r="J93" s="305"/>
      <c r="K93" s="305"/>
      <c r="L93" s="305"/>
      <c r="M93" s="305"/>
    </row>
    <row r="94" spans="3:13" ht="17.25" customHeight="1" x14ac:dyDescent="0.4">
      <c r="C94" s="472"/>
      <c r="D94" s="473"/>
      <c r="E94" s="168" t="s">
        <v>229</v>
      </c>
      <c r="F94" s="465" t="s">
        <v>1061</v>
      </c>
      <c r="G94" s="303" t="str" cm="1">
        <f t="array" ref="G94">IF(RIGHT(_xlfn._xlws.FILTER(Sheet1!$G$2:$G$333,(Sheet1!$G$2:$G$333=$E94)+(Sheet1!$G$2:$G$333=$E95)+(Sheet1!$G$2:$G$333=$E96),""),4)="POST",CONCATENATE(_xlfn._xlws.FILTER(Sheet1!$A$2:$A$333,(Sheet1!$G$2:$G$333=$E94)+(Sheet1!$G$2:$G$333=$E95)+(Sheet1!$G$2:$G$333=$E96),""),"-","POST"),_xlfn._xlws.FILTER(Sheet1!$A$2:$A$333,(Sheet1!$G$2:$G$333=$E94)+(Sheet1!$G$2:$G$333=$E95)+(Sheet1!$G$2:$G$333=$E96),"UNFILLED"))</f>
        <v>ADAMS, ARDRA</v>
      </c>
      <c r="H94" s="303" t="str" cm="1">
        <f t="array" ref="H94">IF(RIGHT(_xlfn._xlws.FILTER(Sheet1!$I$2:$I$333,(Sheet1!$I$2:$I$333=$E94)+(Sheet1!$I$2:$I$333=$E95)+(Sheet1!$I$2:$I$333=$E96),""),4)="POST",CONCATENATE(_xlfn._xlws.FILTER(Sheet1!$A$2:$A$333,(Sheet1!$I$2:$I$333=$E94)+(Sheet1!$I$2:$I$333=$E95)+(Sheet1!$I$2:$I$333=$E96),""),"-","POST"),_xlfn._xlws.FILTER(Sheet1!$A$2:$A$333,(Sheet1!$I$2:$I$333=$E94)+(Sheet1!$I$2:$I$333=$E95)+(Sheet1!$I$2:$I$333=$E96),"UNFILLED"))</f>
        <v>MCGHEE, WAYNE</v>
      </c>
      <c r="I94" s="303" t="str" cm="1">
        <f t="array" ref="I94">IF(RIGHT(_xlfn._xlws.FILTER(Sheet1!$K$2:$K$333,(Sheet1!$K$2:$K$333=$E94)+(Sheet1!$K$2:$K$333=$E95)+(Sheet1!$K$2:$K$333=$E96),""),4)="POST",CONCATENATE(_xlfn._xlws.FILTER(Sheet1!$A$2:$A$333,(Sheet1!$K$2:$K$333=$E94)+(Sheet1!$K$2:$K$333=$E95)+(Sheet1!$K$2:$K$333=$E96),""),"-","POST"),_xlfn._xlws.FILTER(Sheet1!$A$2:$A$333,(Sheet1!$K$2:$K$333=$E94)+(Sheet1!$K$2:$K$333=$E95)+(Sheet1!$K$2:$K$333=$E96),"UNFILLED"))</f>
        <v>MCGHEE, WAYNE</v>
      </c>
      <c r="J94" s="303" t="str" cm="1">
        <f t="array" ref="J94">IF(RIGHT(_xlfn._xlws.FILTER(Sheet1!M$2:M$333,(Sheet1!M$2:M$333=$E94)+(Sheet1!M$2:M$333=$E95)+(Sheet1!M$2:M$333=$E96),""),4)="POST",CONCATENATE(_xlfn._xlws.FILTER(Sheet1!$A$2:$A$333,(Sheet1!M$2:M$333=$E94)+(Sheet1!M$2:M$333=$E95)+(Sheet1!M$2:M$333=$E96),""),"-","POST"),_xlfn._xlws.FILTER(Sheet1!$A$2:$A$333,(Sheet1!M$2:M$333=$E94)+(Sheet1!M$2:M$333=$E95)+(Sheet1!M$2:M$333=$E96),"UNFILLED"))</f>
        <v>ADAMS, ARDRA</v>
      </c>
      <c r="K94" s="303" t="str" cm="1">
        <f t="array" ref="K94">IF(RIGHT(_xlfn._xlws.FILTER(Sheet1!$O$2:$O$333,(Sheet1!$O$2:$O$333=$E94)+(Sheet1!$O$2:$O$333=$E95)+(Sheet1!$O$2:$O$333=$E96),""),4)="POST",CONCATENATE(_xlfn._xlws.FILTER(Sheet1!$A$2:$A$333,(Sheet1!$O$2:$O$333=$E94)+(Sheet1!$O$2:$O$333=$E95)+(Sheet1!$O$2:$O$333=$E96),""),"-","POST"),_xlfn._xlws.FILTER(Sheet1!$A$2:$A$333,(Sheet1!$O$2:$O$333=$E94)+(Sheet1!$O$2:$O$333=$E95)+(Sheet1!$O$2:$O$333=$E96),"UNFILLED"))</f>
        <v>CURRY, CASEY</v>
      </c>
      <c r="L94" s="303" t="str" cm="1">
        <f t="array" ref="L94">IF(RIGHT(_xlfn._xlws.FILTER(Sheet1!$Q$2:$Q$333,(Sheet1!$Q$2:$Q$333=$E94)+(Sheet1!$Q$2:$Q$333=$E95)+(Sheet1!$Q$2:$Q$333=$E96),""),4)="POST",CONCATENATE(_xlfn._xlws.FILTER(Sheet1!$A$2:$A$333,(Sheet1!$Q$2:$Q$333=$E94)+(Sheet1!$Q$2:$Q$333=$E95)+(Sheet1!$Q$2:$Q$333=$E96),""),"-","POST"),_xlfn._xlws.FILTER(Sheet1!$A$2:$A$333,(Sheet1!$Q$2:$Q$333=$E94)+(Sheet1!$Q$2:$Q$333=$E95)+(Sheet1!$Q$2:$Q$333=$E96),"UNFILLED"))</f>
        <v>ADAMS, ARDRA</v>
      </c>
      <c r="M94" s="303" t="str" cm="1">
        <f t="array" ref="M94:M95">IF(RIGHT(_xlfn._xlws.FILTER(Sheet1!$S$2:$S$333,(Sheet1!$S$2:$S$333=$E94)+(Sheet1!$S$2:$S$333=$E95)+(Sheet1!$S$2:$S$333=$E96),""),4)="POST",CONCATENATE(_xlfn._xlws.FILTER(Sheet1!$A$2:$A$333,(Sheet1!$S$2:$S$333=$E94)+(Sheet1!$S$2:$S$333=$E95)+(Sheet1!$S$2:$S$333=$E96),""),"-","POST"),_xlfn._xlws.FILTER(Sheet1!$A$2:$A$333,(Sheet1!$S$2:$S$333=$E94)+(Sheet1!$S$2:$S$333=$E95)+(Sheet1!$S$2:$S$333=$E96),"UNFILLED"))</f>
        <v>ADAMS, ARDRA</v>
      </c>
    </row>
    <row r="95" spans="3:13" ht="17.25" customHeight="1" x14ac:dyDescent="0.4">
      <c r="C95" s="472"/>
      <c r="D95" s="473"/>
      <c r="E95" s="168" t="str">
        <f>_xlfn.CONCAT(E94,"-","POST")</f>
        <v>SV-2-POST</v>
      </c>
      <c r="F95" s="466"/>
      <c r="G95" s="304"/>
      <c r="H95" s="304"/>
      <c r="I95" s="304"/>
      <c r="J95" s="304"/>
      <c r="K95" s="304"/>
      <c r="L95" s="304"/>
      <c r="M95" s="304" t="str">
        <v>IBN RABAH, BILAL-POST</v>
      </c>
    </row>
    <row r="96" spans="3:13" ht="17.25" customHeight="1" x14ac:dyDescent="0.4">
      <c r="C96" s="472"/>
      <c r="D96" s="473"/>
      <c r="E96" s="168" t="str">
        <f>_xlfn.CONCAT(E94,"-","PILOT")</f>
        <v>SV-2-PILOT</v>
      </c>
      <c r="F96" s="467"/>
      <c r="G96" s="305"/>
      <c r="H96" s="305"/>
      <c r="I96" s="305"/>
      <c r="J96" s="305"/>
      <c r="K96" s="305"/>
      <c r="L96" s="305"/>
      <c r="M96" s="305"/>
    </row>
    <row r="97" spans="3:13" ht="17.25" customHeight="1" x14ac:dyDescent="0.4">
      <c r="C97" s="472"/>
      <c r="D97" s="473"/>
      <c r="E97" s="168" t="s">
        <v>477</v>
      </c>
      <c r="F97" s="465" t="s">
        <v>1062</v>
      </c>
      <c r="G97" s="303" t="str" cm="1">
        <f t="array" ref="G97">IF(RIGHT(_xlfn._xlws.FILTER(Sheet1!$G$2:$G$333,(Sheet1!$G$2:$G$333=$E97)+(Sheet1!$G$2:$G$333=$E98)+(Sheet1!$G$2:$G$333=$E99),""),4)="POST",CONCATENATE(_xlfn._xlws.FILTER(Sheet1!$A$2:$A$333,(Sheet1!$G$2:$G$333=$E97)+(Sheet1!$G$2:$G$333=$E98)+(Sheet1!$G$2:$G$333=$E99),""),"-","POST"),_xlfn._xlws.FILTER(Sheet1!$A$2:$A$333,(Sheet1!$G$2:$G$333=$E97)+(Sheet1!$G$2:$G$333=$E98)+(Sheet1!$G$2:$G$333=$E99),"UNFILLED"))</f>
        <v>MCROY, DANIEL</v>
      </c>
      <c r="H97" s="303" t="str" cm="1">
        <f t="array" ref="H97">IF(RIGHT(_xlfn._xlws.FILTER(Sheet1!$I$2:$I$333,(Sheet1!$I$2:$I$333=$E97)+(Sheet1!$I$2:$I$333=$E98)+(Sheet1!$I$2:$I$333=$E99),""),4)="POST",CONCATENATE(_xlfn._xlws.FILTER(Sheet1!$A$2:$A$333,(Sheet1!$I$2:$I$333=$E97)+(Sheet1!$I$2:$I$333=$E98)+(Sheet1!$I$2:$I$333=$E99),""),"-","POST"),_xlfn._xlws.FILTER(Sheet1!$A$2:$A$333,(Sheet1!$I$2:$I$333=$E97)+(Sheet1!$I$2:$I$333=$E98)+(Sheet1!$I$2:$I$333=$E99),"UNFILLED"))</f>
        <v>MCROY, DANIEL</v>
      </c>
      <c r="I97" s="303" t="str" cm="1">
        <f t="array" ref="I97">IF(RIGHT(_xlfn._xlws.FILTER(Sheet1!$K$2:$K$333,(Sheet1!$K$2:$K$333=$E97)+(Sheet1!$K$2:$K$333=$E98)+(Sheet1!$K$2:$K$333=$E99),""),4)="POST",CONCATENATE(_xlfn._xlws.FILTER(Sheet1!$A$2:$A$333,(Sheet1!$K$2:$K$333=$E97)+(Sheet1!$K$2:$K$333=$E98)+(Sheet1!$K$2:$K$333=$E99),""),"-","POST"),_xlfn._xlws.FILTER(Sheet1!$A$2:$A$333,(Sheet1!$K$2:$K$333=$E97)+(Sheet1!$K$2:$K$333=$E98)+(Sheet1!$K$2:$K$333=$E99),"UNFILLED"))</f>
        <v>FERGUSON, CRAIG</v>
      </c>
      <c r="J97" s="303" t="str" cm="1">
        <f t="array" ref="J97">IF(RIGHT(_xlfn._xlws.FILTER(Sheet1!M$2:M$333,(Sheet1!M$2:M$333=$E97)+(Sheet1!M$2:M$333=$E98)+(Sheet1!M$2:M$333=$E99),""),4)="POST",CONCATENATE(_xlfn._xlws.FILTER(Sheet1!$A$2:$A$333,(Sheet1!M$2:M$333=$E97)+(Sheet1!M$2:M$333=$E98)+(Sheet1!M$2:M$333=$E99),""),"-","POST"),_xlfn._xlws.FILTER(Sheet1!$A$2:$A$333,(Sheet1!M$2:M$333=$E97)+(Sheet1!M$2:M$333=$E98)+(Sheet1!M$2:M$333=$E99),"UNFILLED"))</f>
        <v>GUILFORD, REYNARD</v>
      </c>
      <c r="K97" s="303" t="str" cm="1">
        <f t="array" ref="K97">IF(RIGHT(_xlfn._xlws.FILTER(Sheet1!$O$2:$O$333,(Sheet1!$O$2:$O$333=$E97)+(Sheet1!$O$2:$O$333=$E98)+(Sheet1!$O$2:$O$333=$E99),""),4)="POST",CONCATENATE(_xlfn._xlws.FILTER(Sheet1!$A$2:$A$333,(Sheet1!$O$2:$O$333=$E97)+(Sheet1!$O$2:$O$333=$E98)+(Sheet1!$O$2:$O$333=$E99),""),"-","POST"),_xlfn._xlws.FILTER(Sheet1!$A$2:$A$333,(Sheet1!$O$2:$O$333=$E97)+(Sheet1!$O$2:$O$333=$E98)+(Sheet1!$O$2:$O$333=$E99),"UNFILLED"))</f>
        <v>MCROY, DANIEL</v>
      </c>
      <c r="L97" s="303" t="str" cm="1">
        <f t="array" ref="L97">IF(RIGHT(_xlfn._xlws.FILTER(Sheet1!$Q$2:$Q$333,(Sheet1!$Q$2:$Q$333=$E97)+(Sheet1!$Q$2:$Q$333=$E98)+(Sheet1!$Q$2:$Q$333=$E99),""),4)="POST",CONCATENATE(_xlfn._xlws.FILTER(Sheet1!$A$2:$A$333,(Sheet1!$Q$2:$Q$333=$E97)+(Sheet1!$Q$2:$Q$333=$E98)+(Sheet1!$Q$2:$Q$333=$E99),""),"-","POST"),_xlfn._xlws.FILTER(Sheet1!$A$2:$A$333,(Sheet1!$Q$2:$Q$333=$E97)+(Sheet1!$Q$2:$Q$333=$E98)+(Sheet1!$Q$2:$Q$333=$E99),"UNFILLED"))</f>
        <v>MCROY, DANIEL</v>
      </c>
      <c r="M97" s="303" t="str" cm="1">
        <f t="array" ref="M97">IF(RIGHT(_xlfn._xlws.FILTER(Sheet1!$S$2:$S$333,(Sheet1!$S$2:$S$333=$E97)+(Sheet1!$S$2:$S$333=$E98)+(Sheet1!$S$2:$S$333=$E99),""),4)="POST",CONCATENATE(_xlfn._xlws.FILTER(Sheet1!$A$2:$A$333,(Sheet1!$S$2:$S$333=$E97)+(Sheet1!$S$2:$S$333=$E98)+(Sheet1!$S$2:$S$333=$E99),""),"-","POST"),_xlfn._xlws.FILTER(Sheet1!$A$2:$A$333,(Sheet1!$S$2:$S$333=$E97)+(Sheet1!$S$2:$S$333=$E98)+(Sheet1!$S$2:$S$333=$E99),"UNFILLED"))</f>
        <v>MCROY, DANIEL</v>
      </c>
    </row>
    <row r="98" spans="3:13" ht="17.25" customHeight="1" x14ac:dyDescent="0.4">
      <c r="C98" s="472"/>
      <c r="D98" s="473"/>
      <c r="E98" s="168" t="str">
        <f>_xlfn.CONCAT(E97,"-","POST")</f>
        <v>CH-2-POST</v>
      </c>
      <c r="F98" s="466"/>
      <c r="G98" s="304"/>
      <c r="H98" s="304"/>
      <c r="I98" s="304"/>
      <c r="J98" s="304"/>
      <c r="K98" s="304"/>
      <c r="L98" s="304"/>
      <c r="M98" s="304"/>
    </row>
    <row r="99" spans="3:13" ht="17.25" customHeight="1" thickBot="1" x14ac:dyDescent="0.45">
      <c r="C99" s="472"/>
      <c r="D99" s="473"/>
      <c r="E99" s="168" t="str">
        <f>_xlfn.CONCAT(E97,"-","PILOT")</f>
        <v>CH-2-PILOT</v>
      </c>
      <c r="F99" s="467"/>
      <c r="G99" s="305"/>
      <c r="H99" s="305"/>
      <c r="I99" s="305"/>
      <c r="J99" s="305"/>
      <c r="K99" s="305"/>
      <c r="L99" s="305"/>
      <c r="M99" s="305"/>
    </row>
    <row r="100" spans="3:13" ht="28.5" customHeight="1" thickTop="1" x14ac:dyDescent="0.4">
      <c r="C100" s="472"/>
      <c r="D100" s="473"/>
      <c r="E100" s="174"/>
      <c r="F100" s="474" t="s">
        <v>37</v>
      </c>
      <c r="G100" s="475"/>
      <c r="H100" s="475"/>
      <c r="I100" s="475"/>
      <c r="J100" s="475"/>
      <c r="K100" s="475"/>
      <c r="L100" s="475"/>
      <c r="M100" s="476"/>
    </row>
    <row r="101" spans="3:13" ht="17.25" customHeight="1" x14ac:dyDescent="0.4">
      <c r="C101" s="472"/>
      <c r="D101" s="473"/>
      <c r="E101" s="168" t="s">
        <v>232</v>
      </c>
      <c r="F101" s="465" t="s">
        <v>1063</v>
      </c>
      <c r="G101" s="303" t="str" cm="1">
        <f t="array" ref="G101">IF(RIGHT(_xlfn._xlws.FILTER(Sheet1!$G$2:$G$333,(Sheet1!$G$2:$G$333=$E101)+(Sheet1!$G$2:$G$333=$E102)+(Sheet1!$G$2:$G$333=$E103),""),4)="POST",CONCATENATE(_xlfn._xlws.FILTER(Sheet1!$A$2:$A$333,(Sheet1!$G$2:$G$333=$E101)+(Sheet1!$G$2:$G$333=$E102)+(Sheet1!$G$2:$G$333=$E103),""),"-","POST"),_xlfn._xlws.FILTER(Sheet1!$A$2:$A$333,(Sheet1!$G$2:$G$333=$E101)+(Sheet1!$G$2:$G$333=$E102)+(Sheet1!$G$2:$G$333=$E103),"UNFILLED"))</f>
        <v>FAIRCLOTH, HANNAH</v>
      </c>
      <c r="H101" s="303" t="str" cm="1">
        <f t="array" ref="H101:H102">IF(RIGHT(_xlfn._xlws.FILTER(Sheet1!$I$2:$I$333,(Sheet1!$I$2:$I$333=$E101)+(Sheet1!$I$2:$I$333=$E102)+(Sheet1!$I$2:$I$333=$E103),""),4)="POST",CONCATENATE(_xlfn._xlws.FILTER(Sheet1!$A$2:$A$333,(Sheet1!$I$2:$I$333=$E101)+(Sheet1!$I$2:$I$333=$E102)+(Sheet1!$I$2:$I$333=$E103),""),"-","POST"),_xlfn._xlws.FILTER(Sheet1!$A$2:$A$333,(Sheet1!$I$2:$I$333=$E101)+(Sheet1!$I$2:$I$333=$E102)+(Sheet1!$I$2:$I$333=$E103),"UNFILLED"))</f>
        <v>FAIRCLOTH, HANNAH</v>
      </c>
      <c r="I101" s="303" t="str" cm="1">
        <f t="array" ref="I101:I102">IF(RIGHT(_xlfn._xlws.FILTER(Sheet1!$K$2:$K$333,(Sheet1!$K$2:$K$333=$E101)+(Sheet1!$K$2:$K$333=$E102)+(Sheet1!$K$2:$K$333=$E103),""),4)="POST",CONCATENATE(_xlfn._xlws.FILTER(Sheet1!$A$2:$A$333,(Sheet1!$K$2:$K$333=$E101)+(Sheet1!$K$2:$K$333=$E102)+(Sheet1!$K$2:$K$333=$E103),""),"-","POST"),_xlfn._xlws.FILTER(Sheet1!$A$2:$A$333,(Sheet1!$K$2:$K$333=$E101)+(Sheet1!$K$2:$K$333=$E102)+(Sheet1!$K$2:$K$333=$E103),"UNFILLED"))</f>
        <v>FREEMAN, ANGELIQUE</v>
      </c>
      <c r="J101" s="303" t="str" cm="1">
        <f t="array" ref="J101">IF(RIGHT(_xlfn._xlws.FILTER(Sheet1!M$2:M$333,(Sheet1!M$2:M$333=$E101)+(Sheet1!M$2:M$333=$E102)+(Sheet1!M$2:M$333=$E103),""),4)="POST",CONCATENATE(_xlfn._xlws.FILTER(Sheet1!$A$2:$A$333,(Sheet1!M$2:M$333=$E101)+(Sheet1!M$2:M$333=$E102)+(Sheet1!M$2:M$333=$E103),""),"-","POST"),_xlfn._xlws.FILTER(Sheet1!$A$2:$A$333,(Sheet1!M$2:M$333=$E101)+(Sheet1!M$2:M$333=$E102)+(Sheet1!M$2:M$333=$E103),"UNFILLED"))</f>
        <v>FREEMAN, ANGELIQUE</v>
      </c>
      <c r="K101" s="303" t="str" cm="1">
        <f t="array" ref="K101">IF(RIGHT(_xlfn._xlws.FILTER(Sheet1!$O$2:$O$333,(Sheet1!$O$2:$O$333=$E101)+(Sheet1!$O$2:$O$333=$E102)+(Sheet1!$O$2:$O$333=$E103),""),4)="POST",CONCATENATE(_xlfn._xlws.FILTER(Sheet1!$A$2:$A$333,(Sheet1!$O$2:$O$333=$E101)+(Sheet1!$O$2:$O$333=$E102)+(Sheet1!$O$2:$O$333=$E103),""),"-","POST"),_xlfn._xlws.FILTER(Sheet1!$A$2:$A$333,(Sheet1!$O$2:$O$333=$E101)+(Sheet1!$O$2:$O$333=$E102)+(Sheet1!$O$2:$O$333=$E103),"UNFILLED"))</f>
        <v>ADAMS, ARDRA</v>
      </c>
      <c r="L101" s="303" t="str" cm="1">
        <f t="array" ref="L101">IF(RIGHT(_xlfn._xlws.FILTER(Sheet1!$Q$2:$Q$333,(Sheet1!$Q$2:$Q$333=$E101)+(Sheet1!$Q$2:$Q$333=$E102)+(Sheet1!$Q$2:$Q$333=$E103),""),4)="POST",CONCATENATE(_xlfn._xlws.FILTER(Sheet1!$A$2:$A$333,(Sheet1!$Q$2:$Q$333=$E101)+(Sheet1!$Q$2:$Q$333=$E102)+(Sheet1!$Q$2:$Q$333=$E103),""),"-","POST"),_xlfn._xlws.FILTER(Sheet1!$A$2:$A$333,(Sheet1!$Q$2:$Q$333=$E101)+(Sheet1!$Q$2:$Q$333=$E102)+(Sheet1!$Q$2:$Q$333=$E103),"UNFILLED"))</f>
        <v>RUSSELL, SHALONDIA</v>
      </c>
      <c r="M101" s="303" t="str" cm="1">
        <f t="array" ref="M101">IF(RIGHT(_xlfn._xlws.FILTER(Sheet1!$S$2:$S$333,(Sheet1!$S$2:$S$333=$E101)+(Sheet1!$S$2:$S$333=$E102)+(Sheet1!$S$2:$S$333=$E103),""),4)="POST",CONCATENATE(_xlfn._xlws.FILTER(Sheet1!$A$2:$A$333,(Sheet1!$S$2:$S$333=$E101)+(Sheet1!$S$2:$S$333=$E102)+(Sheet1!$S$2:$S$333=$E103),""),"-","POST"),_xlfn._xlws.FILTER(Sheet1!$A$2:$A$333,(Sheet1!$S$2:$S$333=$E101)+(Sheet1!$S$2:$S$333=$E102)+(Sheet1!$S$2:$S$333=$E103),"UNFILLED"))</f>
        <v>FAIRCLOTH, HANNAH</v>
      </c>
    </row>
    <row r="102" spans="3:13" ht="17.25" customHeight="1" x14ac:dyDescent="0.4">
      <c r="C102" s="472"/>
      <c r="D102" s="473"/>
      <c r="E102" s="168" t="str">
        <f>_xlfn.CONCAT(E101,"-","POST")</f>
        <v>ME-2-POST</v>
      </c>
      <c r="F102" s="466"/>
      <c r="G102" s="304"/>
      <c r="H102" s="304" t="str">
        <v>WILLIFORD, JUSTINA-POST</v>
      </c>
      <c r="I102" s="304" t="str">
        <v>WILLIFORD, JUSTINA-POST</v>
      </c>
      <c r="J102" s="304"/>
      <c r="K102" s="304"/>
      <c r="L102" s="304"/>
      <c r="M102" s="304"/>
    </row>
    <row r="103" spans="3:13" ht="17.25" customHeight="1" x14ac:dyDescent="0.4">
      <c r="C103" s="472"/>
      <c r="D103" s="473"/>
      <c r="E103" s="168" t="str">
        <f>_xlfn.CONCAT(E101,"-","PILOT")</f>
        <v>ME-2-PILOT</v>
      </c>
      <c r="F103" s="467"/>
      <c r="G103" s="305"/>
      <c r="H103" s="305"/>
      <c r="I103" s="305"/>
      <c r="J103" s="305"/>
      <c r="K103" s="305"/>
      <c r="L103" s="305"/>
      <c r="M103" s="305"/>
    </row>
    <row r="104" spans="3:13" ht="17.25" customHeight="1" x14ac:dyDescent="0.4">
      <c r="C104" s="472"/>
      <c r="D104" s="473"/>
      <c r="E104" s="168" t="s">
        <v>254</v>
      </c>
      <c r="F104" s="465" t="s">
        <v>1064</v>
      </c>
      <c r="G104" s="303" t="str" cm="1">
        <f t="array" ref="G104">IF(RIGHT(_xlfn._xlws.FILTER(Sheet1!$G$2:$G$333,(Sheet1!$G$2:$G$333=$E104)+(Sheet1!$G$2:$G$333=$E105)+(Sheet1!$G$2:$G$333=$E106),""),4)="POST",CONCATENATE(_xlfn._xlws.FILTER(Sheet1!$A$2:$A$333,(Sheet1!$G$2:$G$333=$E104)+(Sheet1!$G$2:$G$333=$E105)+(Sheet1!$G$2:$G$333=$E106),""),"-","POST"),_xlfn._xlws.FILTER(Sheet1!$A$2:$A$333,(Sheet1!$G$2:$G$333=$E104)+(Sheet1!$G$2:$G$333=$E105)+(Sheet1!$G$2:$G$333=$E106),"UNFILLED"))</f>
        <v>ARTHER, BART</v>
      </c>
      <c r="H104" s="303" t="str" cm="1">
        <f t="array" ref="H104">IF(RIGHT(_xlfn._xlws.FILTER(Sheet1!$I$2:$I$333,(Sheet1!$I$2:$I$333=$E104)+(Sheet1!$I$2:$I$333=$E105)+(Sheet1!$I$2:$I$333=$E106),""),4)="POST",CONCATENATE(_xlfn._xlws.FILTER(Sheet1!$A$2:$A$333,(Sheet1!$I$2:$I$333=$E104)+(Sheet1!$I$2:$I$333=$E105)+(Sheet1!$I$2:$I$333=$E106),""),"-","POST"),_xlfn._xlws.FILTER(Sheet1!$A$2:$A$333,(Sheet1!$I$2:$I$333=$E104)+(Sheet1!$I$2:$I$333=$E105)+(Sheet1!$I$2:$I$333=$E106),"UNFILLED"))</f>
        <v>ARTHER, BART</v>
      </c>
      <c r="I104" s="303" t="str" cm="1">
        <f t="array" ref="I104">IF(RIGHT(_xlfn._xlws.FILTER(Sheet1!$K$2:$K$333,(Sheet1!$K$2:$K$333=$E104)+(Sheet1!$K$2:$K$333=$E105)+(Sheet1!$K$2:$K$333=$E106),""),4)="POST",CONCATENATE(_xlfn._xlws.FILTER(Sheet1!$A$2:$A$333,(Sheet1!$K$2:$K$333=$E104)+(Sheet1!$K$2:$K$333=$E105)+(Sheet1!$K$2:$K$333=$E106),""),"-","POST"),_xlfn._xlws.FILTER(Sheet1!$A$2:$A$333,(Sheet1!$K$2:$K$333=$E104)+(Sheet1!$K$2:$K$333=$E105)+(Sheet1!$K$2:$K$333=$E106),"UNFILLED"))</f>
        <v>ARTHER, BART</v>
      </c>
      <c r="J104" s="303" t="str" cm="1">
        <f t="array" ref="J104">IF(RIGHT(_xlfn._xlws.FILTER(Sheet1!M$2:M$333,(Sheet1!M$2:M$333=$E104)+(Sheet1!M$2:M$333=$E105)+(Sheet1!M$2:M$333=$E106),""),4)="POST",CONCATENATE(_xlfn._xlws.FILTER(Sheet1!$A$2:$A$333,(Sheet1!M$2:M$333=$E104)+(Sheet1!M$2:M$333=$E105)+(Sheet1!M$2:M$333=$E106),""),"-","POST"),_xlfn._xlws.FILTER(Sheet1!$A$2:$A$333,(Sheet1!M$2:M$333=$E104)+(Sheet1!M$2:M$333=$E105)+(Sheet1!M$2:M$333=$E106),"UNFILLED"))</f>
        <v>REED, JAMES</v>
      </c>
      <c r="K104" s="303" t="str" cm="1">
        <f t="array" ref="K104">IF(RIGHT(_xlfn._xlws.FILTER(Sheet1!$O$2:$O$333,(Sheet1!$O$2:$O$333=$E104)+(Sheet1!$O$2:$O$333=$E105)+(Sheet1!$O$2:$O$333=$E106),""),4)="POST",CONCATENATE(_xlfn._xlws.FILTER(Sheet1!$A$2:$A$333,(Sheet1!$O$2:$O$333=$E104)+(Sheet1!$O$2:$O$333=$E105)+(Sheet1!$O$2:$O$333=$E106),""),"-","POST"),_xlfn._xlws.FILTER(Sheet1!$A$2:$A$333,(Sheet1!$O$2:$O$333=$E104)+(Sheet1!$O$2:$O$333=$E105)+(Sheet1!$O$2:$O$333=$E106),"UNFILLED"))</f>
        <v>WALKER, RODERICK</v>
      </c>
      <c r="L104" s="303" t="str" cm="1">
        <f t="array" ref="L104">IF(RIGHT(_xlfn._xlws.FILTER(Sheet1!$Q$2:$Q$333,(Sheet1!$Q$2:$Q$333=$E104)+(Sheet1!$Q$2:$Q$333=$E105)+(Sheet1!$Q$2:$Q$333=$E106),""),4)="POST",CONCATENATE(_xlfn._xlws.FILTER(Sheet1!$A$2:$A$333,(Sheet1!$Q$2:$Q$333=$E104)+(Sheet1!$Q$2:$Q$333=$E105)+(Sheet1!$Q$2:$Q$333=$E106),""),"-","POST"),_xlfn._xlws.FILTER(Sheet1!$A$2:$A$333,(Sheet1!$Q$2:$Q$333=$E104)+(Sheet1!$Q$2:$Q$333=$E105)+(Sheet1!$Q$2:$Q$333=$E106),"UNFILLED"))</f>
        <v>DENNIS, JOHN</v>
      </c>
      <c r="M104" s="303" t="str" cm="1">
        <f t="array" ref="M104">IF(RIGHT(_xlfn._xlws.FILTER(Sheet1!$S$2:$S$333,(Sheet1!$S$2:$S$333=$E104)+(Sheet1!$S$2:$S$333=$E105)+(Sheet1!$S$2:$S$333=$E106),""),4)="POST",CONCATENATE(_xlfn._xlws.FILTER(Sheet1!$A$2:$A$333,(Sheet1!$S$2:$S$333=$E104)+(Sheet1!$S$2:$S$333=$E105)+(Sheet1!$S$2:$S$333=$E106),""),"-","POST"),_xlfn._xlws.FILTER(Sheet1!$A$2:$A$333,(Sheet1!$S$2:$S$333=$E104)+(Sheet1!$S$2:$S$333=$E105)+(Sheet1!$S$2:$S$333=$E106),"UNFILLED"))</f>
        <v>ARTHER, BART</v>
      </c>
    </row>
    <row r="105" spans="3:13" ht="17.25" customHeight="1" x14ac:dyDescent="0.4">
      <c r="C105" s="472"/>
      <c r="D105" s="473"/>
      <c r="E105" s="168" t="str">
        <f>_xlfn.CONCAT(E104,"-","POST")</f>
        <v>EE-2-POST</v>
      </c>
      <c r="F105" s="466"/>
      <c r="G105" s="304"/>
      <c r="H105" s="304"/>
      <c r="I105" s="304"/>
      <c r="J105" s="304"/>
      <c r="K105" s="304"/>
      <c r="L105" s="304"/>
      <c r="M105" s="304"/>
    </row>
    <row r="106" spans="3:13" ht="17.25" customHeight="1" x14ac:dyDescent="0.4">
      <c r="C106" s="472"/>
      <c r="D106" s="473"/>
      <c r="E106" s="168" t="str">
        <f>_xlfn.CONCAT(E104,"-","PILOT")</f>
        <v>EE-2-PILOT</v>
      </c>
      <c r="F106" s="467"/>
      <c r="G106" s="305"/>
      <c r="H106" s="305"/>
      <c r="I106" s="305"/>
      <c r="J106" s="305"/>
      <c r="K106" s="305"/>
      <c r="L106" s="305"/>
      <c r="M106" s="305"/>
    </row>
    <row r="107" spans="3:13" ht="17.25" customHeight="1" x14ac:dyDescent="0.4">
      <c r="C107" s="472"/>
      <c r="D107" s="473"/>
      <c r="E107" s="168" t="s">
        <v>757</v>
      </c>
      <c r="F107" s="465" t="s">
        <v>1065</v>
      </c>
      <c r="G107" s="303" t="str" cm="1">
        <f t="array" ref="G107">IF(RIGHT(_xlfn._xlws.FILTER(Sheet1!$G$2:$G$333,(Sheet1!$G$2:$G$333=$E107)+(Sheet1!$G$2:$G$333=$E108)+(Sheet1!$G$2:$G$333=$E109),""),4)="POST",CONCATENATE(_xlfn._xlws.FILTER(Sheet1!$A$2:$A$333,(Sheet1!$G$2:$G$333=$E107)+(Sheet1!$G$2:$G$333=$E108)+(Sheet1!$G$2:$G$333=$E109),""),"-","POST"),_xlfn._xlws.FILTER(Sheet1!$A$2:$A$333,(Sheet1!$G$2:$G$333=$E107)+(Sheet1!$G$2:$G$333=$E108)+(Sheet1!$G$2:$G$333=$E109),"UNFILLED"))</f>
        <v>MATTHEWS, RASHIM</v>
      </c>
      <c r="H107" s="303" t="str" cm="1">
        <f t="array" ref="H107">IF(RIGHT(_xlfn._xlws.FILTER(Sheet1!$I$2:$I$333,(Sheet1!$I$2:$I$333=$E107)+(Sheet1!$I$2:$I$333=$E108)+(Sheet1!$I$2:$I$333=$E109),""),4)="POST",CONCATENATE(_xlfn._xlws.FILTER(Sheet1!$A$2:$A$333,(Sheet1!$I$2:$I$333=$E107)+(Sheet1!$I$2:$I$333=$E108)+(Sheet1!$I$2:$I$333=$E109),""),"-","POST"),_xlfn._xlws.FILTER(Sheet1!$A$2:$A$333,(Sheet1!$I$2:$I$333=$E107)+(Sheet1!$I$2:$I$333=$E108)+(Sheet1!$I$2:$I$333=$E109),"UNFILLED"))</f>
        <v>SHAW, ANTHONY</v>
      </c>
      <c r="I107" s="303" t="str" cm="1">
        <f t="array" ref="I107">IF(RIGHT(_xlfn._xlws.FILTER(Sheet1!$K$2:$K$333,(Sheet1!$K$2:$K$333=$E107)+(Sheet1!$K$2:$K$333=$E108)+(Sheet1!$K$2:$K$333=$E109),""),4)="POST",CONCATENATE(_xlfn._xlws.FILTER(Sheet1!$A$2:$A$333,(Sheet1!$K$2:$K$333=$E107)+(Sheet1!$K$2:$K$333=$E108)+(Sheet1!$K$2:$K$333=$E109),""),"-","POST"),_xlfn._xlws.FILTER(Sheet1!$A$2:$A$333,(Sheet1!$K$2:$K$333=$E107)+(Sheet1!$K$2:$K$333=$E108)+(Sheet1!$K$2:$K$333=$E109),"UNFILLED"))</f>
        <v>SHAW, ANTHONY</v>
      </c>
      <c r="J107" s="303" t="str" cm="1">
        <f t="array" ref="J107">IF(RIGHT(_xlfn._xlws.FILTER(Sheet1!M$2:M$333,(Sheet1!M$2:M$333=$E107)+(Sheet1!M$2:M$333=$E108)+(Sheet1!M$2:M$333=$E109),""),4)="POST",CONCATENATE(_xlfn._xlws.FILTER(Sheet1!$A$2:$A$333,(Sheet1!M$2:M$333=$E107)+(Sheet1!M$2:M$333=$E108)+(Sheet1!M$2:M$333=$E109),""),"-","POST"),_xlfn._xlws.FILTER(Sheet1!$A$2:$A$333,(Sheet1!M$2:M$333=$E107)+(Sheet1!M$2:M$333=$E108)+(Sheet1!M$2:M$333=$E109),"UNFILLED"))</f>
        <v>MATTHEWS, RASHIM</v>
      </c>
      <c r="K107" s="303" t="str" cm="1">
        <f t="array" ref="K107">IF(RIGHT(_xlfn._xlws.FILTER(Sheet1!$O$2:$O$333,(Sheet1!$O$2:$O$333=$E107)+(Sheet1!$O$2:$O$333=$E108)+(Sheet1!$O$2:$O$333=$E109),""),4)="POST",CONCATENATE(_xlfn._xlws.FILTER(Sheet1!$A$2:$A$333,(Sheet1!$O$2:$O$333=$E107)+(Sheet1!$O$2:$O$333=$E108)+(Sheet1!$O$2:$O$333=$E109),""),"-","POST"),_xlfn._xlws.FILTER(Sheet1!$A$2:$A$333,(Sheet1!$O$2:$O$333=$E107)+(Sheet1!$O$2:$O$333=$E108)+(Sheet1!$O$2:$O$333=$E109),"UNFILLED"))</f>
        <v>MATTHEWS, RASHIM</v>
      </c>
      <c r="L107" s="303" t="str" cm="1">
        <f t="array" ref="L107">IF(RIGHT(_xlfn._xlws.FILTER(Sheet1!$Q$2:$Q$333,(Sheet1!$Q$2:$Q$333=$E107)+(Sheet1!$Q$2:$Q$333=$E108)+(Sheet1!$Q$2:$Q$333=$E109),""),4)="POST",CONCATENATE(_xlfn._xlws.FILTER(Sheet1!$A$2:$A$333,(Sheet1!$Q$2:$Q$333=$E107)+(Sheet1!$Q$2:$Q$333=$E108)+(Sheet1!$Q$2:$Q$333=$E109),""),"-","POST"),_xlfn._xlws.FILTER(Sheet1!$A$2:$A$333,(Sheet1!$Q$2:$Q$333=$E107)+(Sheet1!$Q$2:$Q$333=$E108)+(Sheet1!$Q$2:$Q$333=$E109),"UNFILLED"))</f>
        <v>MATTHEWS, RASHIM</v>
      </c>
      <c r="M107" s="303" t="str" cm="1">
        <f t="array" ref="M107:M108">IF(RIGHT(_xlfn._xlws.FILTER(Sheet1!$S$2:$S$333,(Sheet1!$S$2:$S$333=$E107)+(Sheet1!$S$2:$S$333=$E108)+(Sheet1!$S$2:$S$333=$E109),""),4)="POST",CONCATENATE(_xlfn._xlws.FILTER(Sheet1!$A$2:$A$333,(Sheet1!$S$2:$S$333=$E107)+(Sheet1!$S$2:$S$333=$E108)+(Sheet1!$S$2:$S$333=$E109),""),"-","POST"),_xlfn._xlws.FILTER(Sheet1!$A$2:$A$333,(Sheet1!$S$2:$S$333=$E107)+(Sheet1!$S$2:$S$333=$E108)+(Sheet1!$S$2:$S$333=$E109),"UNFILLED"))</f>
        <v>MATTHEWS, RASHIM</v>
      </c>
    </row>
    <row r="108" spans="3:13" ht="17.25" customHeight="1" x14ac:dyDescent="0.4">
      <c r="C108" s="472"/>
      <c r="D108" s="473"/>
      <c r="E108" s="168" t="str">
        <f>_xlfn.CONCAT(E107,"-","POST")</f>
        <v>BT-2-POST</v>
      </c>
      <c r="F108" s="466"/>
      <c r="G108" s="304"/>
      <c r="H108" s="304"/>
      <c r="I108" s="304"/>
      <c r="J108" s="304"/>
      <c r="K108" s="304"/>
      <c r="L108" s="304"/>
      <c r="M108" s="304" t="str">
        <v>RUSSELL, SHALONDIA-POST</v>
      </c>
    </row>
    <row r="109" spans="3:13" ht="17.25" customHeight="1" x14ac:dyDescent="0.4">
      <c r="C109" s="472"/>
      <c r="D109" s="473"/>
      <c r="E109" s="168" t="str">
        <f>_xlfn.CONCAT(E107,"-","PILOT")</f>
        <v>BT-2-PILOT</v>
      </c>
      <c r="F109" s="467"/>
      <c r="G109" s="305"/>
      <c r="H109" s="305"/>
      <c r="I109" s="305"/>
      <c r="J109" s="305"/>
      <c r="K109" s="305"/>
      <c r="L109" s="305"/>
      <c r="M109" s="305"/>
    </row>
    <row r="110" spans="3:13" ht="17.25" customHeight="1" x14ac:dyDescent="0.4">
      <c r="C110" s="472"/>
      <c r="D110" s="473"/>
      <c r="E110" s="168" t="s">
        <v>631</v>
      </c>
      <c r="F110" s="465" t="s">
        <v>1066</v>
      </c>
      <c r="G110" s="303" t="str" cm="1">
        <f t="array" ref="G110">IF(RIGHT(_xlfn._xlws.FILTER(Sheet1!$G$2:$G$333,(Sheet1!$G$2:$G$333=$E110)+(Sheet1!$G$2:$G$333=$E111)+(Sheet1!$G$2:$G$333=$E112),""),4)="POST",CONCATENATE(_xlfn._xlws.FILTER(Sheet1!$A$2:$A$333,(Sheet1!$G$2:$G$333=$E110)+(Sheet1!$G$2:$G$333=$E111)+(Sheet1!$G$2:$G$333=$E112),""),"-","POST"),_xlfn._xlws.FILTER(Sheet1!$A$2:$A$333,(Sheet1!$G$2:$G$333=$E110)+(Sheet1!$G$2:$G$333=$E111)+(Sheet1!$G$2:$G$333=$E112),"UNFILLED"))</f>
        <v>MCCLIMENT, KAITLIN</v>
      </c>
      <c r="H110" s="303" t="str" cm="1">
        <f t="array" ref="H110">IF(RIGHT(_xlfn._xlws.FILTER(Sheet1!$I$2:$I$333,(Sheet1!$I$2:$I$333=$E110)+(Sheet1!$I$2:$I$333=$E111)+(Sheet1!$I$2:$I$333=$E112),""),4)="POST",CONCATENATE(_xlfn._xlws.FILTER(Sheet1!$A$2:$A$333,(Sheet1!$I$2:$I$333=$E110)+(Sheet1!$I$2:$I$333=$E111)+(Sheet1!$I$2:$I$333=$E112),""),"-","POST"),_xlfn._xlws.FILTER(Sheet1!$A$2:$A$333,(Sheet1!$I$2:$I$333=$E110)+(Sheet1!$I$2:$I$333=$E111)+(Sheet1!$I$2:$I$333=$E112),"UNFILLED"))</f>
        <v>MCCLIMENT, KAITLIN</v>
      </c>
      <c r="I110" s="303" t="str" cm="1">
        <f t="array" ref="I110">IF(RIGHT(_xlfn._xlws.FILTER(Sheet1!$K$2:$K$333,(Sheet1!$K$2:$K$333=$E110)+(Sheet1!$K$2:$K$333=$E111)+(Sheet1!$K$2:$K$333=$E112),""),4)="POST",CONCATENATE(_xlfn._xlws.FILTER(Sheet1!$A$2:$A$333,(Sheet1!$K$2:$K$333=$E110)+(Sheet1!$K$2:$K$333=$E111)+(Sheet1!$K$2:$K$333=$E112),""),"-","POST"),_xlfn._xlws.FILTER(Sheet1!$A$2:$A$333,(Sheet1!$K$2:$K$333=$E110)+(Sheet1!$K$2:$K$333=$E111)+(Sheet1!$K$2:$K$333=$E112),"UNFILLED"))</f>
        <v>HUGHES, DESHON</v>
      </c>
      <c r="J110" s="303" t="str" cm="1">
        <f t="array" ref="J110">IF(RIGHT(_xlfn._xlws.FILTER(Sheet1!M$2:M$333,(Sheet1!M$2:M$333=$E110)+(Sheet1!M$2:M$333=$E111)+(Sheet1!M$2:M$333=$E112),""),4)="POST",CONCATENATE(_xlfn._xlws.FILTER(Sheet1!$A$2:$A$333,(Sheet1!M$2:M$333=$E110)+(Sheet1!M$2:M$333=$E111)+(Sheet1!M$2:M$333=$E112),""),"-","POST"),_xlfn._xlws.FILTER(Sheet1!$A$2:$A$333,(Sheet1!M$2:M$333=$E110)+(Sheet1!M$2:M$333=$E111)+(Sheet1!M$2:M$333=$E112),"UNFILLED"))</f>
        <v>WILLIFORD, JUSTINA</v>
      </c>
      <c r="K110" s="303" t="str" cm="1">
        <f t="array" ref="K110">IF(RIGHT(_xlfn._xlws.FILTER(Sheet1!$O$2:$O$333,(Sheet1!$O$2:$O$333=$E110)+(Sheet1!$O$2:$O$333=$E111)+(Sheet1!$O$2:$O$333=$E112),""),4)="POST",CONCATENATE(_xlfn._xlws.FILTER(Sheet1!$A$2:$A$333,(Sheet1!$O$2:$O$333=$E110)+(Sheet1!$O$2:$O$333=$E111)+(Sheet1!$O$2:$O$333=$E112),""),"-","POST"),_xlfn._xlws.FILTER(Sheet1!$A$2:$A$333,(Sheet1!$O$2:$O$333=$E110)+(Sheet1!$O$2:$O$333=$E111)+(Sheet1!$O$2:$O$333=$E112),"UNFILLED"))</f>
        <v>MCCLIMENT, KAITLIN</v>
      </c>
      <c r="L110" s="303" t="str" cm="1">
        <f t="array" ref="L110">IF(RIGHT(_xlfn._xlws.FILTER(Sheet1!$Q$2:$Q$333,(Sheet1!$Q$2:$Q$333=$E110)+(Sheet1!$Q$2:$Q$333=$E111)+(Sheet1!$Q$2:$Q$333=$E112),""),4)="POST",CONCATENATE(_xlfn._xlws.FILTER(Sheet1!$A$2:$A$333,(Sheet1!$Q$2:$Q$333=$E110)+(Sheet1!$Q$2:$Q$333=$E111)+(Sheet1!$Q$2:$Q$333=$E112),""),"-","POST"),_xlfn._xlws.FILTER(Sheet1!$A$2:$A$333,(Sheet1!$Q$2:$Q$333=$E110)+(Sheet1!$Q$2:$Q$333=$E111)+(Sheet1!$Q$2:$Q$333=$E112),"UNFILLED"))</f>
        <v>CURRY, CASEY</v>
      </c>
      <c r="M110" s="303" t="str" cm="1">
        <f t="array" ref="M110">IF(RIGHT(_xlfn._xlws.FILTER(Sheet1!$S$2:$S$333,(Sheet1!$S$2:$S$333=$E110)+(Sheet1!$S$2:$S$333=$E111)+(Sheet1!$S$2:$S$333=$E112),""),4)="POST",CONCATENATE(_xlfn._xlws.FILTER(Sheet1!$A$2:$A$333,(Sheet1!$S$2:$S$333=$E110)+(Sheet1!$S$2:$S$333=$E111)+(Sheet1!$S$2:$S$333=$E112),""),"-","POST"),_xlfn._xlws.FILTER(Sheet1!$A$2:$A$333,(Sheet1!$S$2:$S$333=$E110)+(Sheet1!$S$2:$S$333=$E111)+(Sheet1!$S$2:$S$333=$E112),"UNFILLED"))</f>
        <v>MCCLIMENT, KAITLIN</v>
      </c>
    </row>
    <row r="111" spans="3:13" ht="17.25" customHeight="1" x14ac:dyDescent="0.4">
      <c r="C111" s="472"/>
      <c r="D111" s="473"/>
      <c r="E111" s="168" t="str">
        <f>_xlfn.CONCAT(E110,"-","POST")</f>
        <v>NO-2-POST</v>
      </c>
      <c r="F111" s="466"/>
      <c r="G111" s="304"/>
      <c r="H111" s="304"/>
      <c r="I111" s="304"/>
      <c r="J111" s="304"/>
      <c r="K111" s="304"/>
      <c r="L111" s="304"/>
      <c r="M111" s="304"/>
    </row>
    <row r="112" spans="3:13" ht="17.25" customHeight="1" x14ac:dyDescent="0.4">
      <c r="C112" s="472"/>
      <c r="D112" s="473"/>
      <c r="E112" s="168" t="str">
        <f>_xlfn.CONCAT(E110,"-","PILOT")</f>
        <v>NO-2-PILOT</v>
      </c>
      <c r="F112" s="467"/>
      <c r="G112" s="305"/>
      <c r="H112" s="305"/>
      <c r="I112" s="305"/>
      <c r="J112" s="305"/>
      <c r="K112" s="305"/>
      <c r="L112" s="305"/>
      <c r="M112" s="305"/>
    </row>
    <row r="113" spans="3:13" ht="17.25" customHeight="1" x14ac:dyDescent="0.45">
      <c r="C113" s="472"/>
      <c r="D113" s="473"/>
      <c r="E113" s="175" t="s">
        <v>580</v>
      </c>
      <c r="F113" s="465" t="s">
        <v>1067</v>
      </c>
      <c r="G113" s="303" t="str" cm="1">
        <f t="array" ref="G113">IF(RIGHT(_xlfn._xlws.FILTER(Sheet1!$G$2:$G$333,(Sheet1!$G$2:$G$333=$E113)+(Sheet1!$G$2:$G$333=$E114)+(Sheet1!$G$2:$G$333=$E115),""),4)="POST",CONCATENATE(_xlfn._xlws.FILTER(Sheet1!$A$2:$A$333,(Sheet1!$G$2:$G$333=$E113)+(Sheet1!$G$2:$G$333=$E114)+(Sheet1!$G$2:$G$333=$E115),""),"-","POST"),_xlfn._xlws.FILTER(Sheet1!$A$2:$A$333,(Sheet1!$G$2:$G$333=$E113)+(Sheet1!$G$2:$G$333=$E114)+(Sheet1!$G$2:$G$333=$E115),"UNFILLED"))</f>
        <v>WILLIFORD, JUSTINA</v>
      </c>
      <c r="H113" s="303" t="str" cm="1">
        <f t="array" ref="H113">IF(RIGHT(_xlfn._xlws.FILTER(Sheet1!$I$2:$I$333,(Sheet1!$I$2:$I$333=$E113)+(Sheet1!$I$2:$I$333=$E114)+(Sheet1!$I$2:$I$333=$E115),""),4)="POST",CONCATENATE(_xlfn._xlws.FILTER(Sheet1!$A$2:$A$333,(Sheet1!$I$2:$I$333=$E113)+(Sheet1!$I$2:$I$333=$E114)+(Sheet1!$I$2:$I$333=$E115),""),"-","POST"),_xlfn._xlws.FILTER(Sheet1!$A$2:$A$333,(Sheet1!$I$2:$I$333=$E113)+(Sheet1!$I$2:$I$333=$E114)+(Sheet1!$I$2:$I$333=$E115),"UNFILLED"))</f>
        <v>LOUIS, EPIPHANY</v>
      </c>
      <c r="I113" s="303" t="str" cm="1">
        <f t="array" ref="I113">IF(RIGHT(_xlfn._xlws.FILTER(Sheet1!$K$2:$K$333,(Sheet1!$K$2:$K$333=$E113)+(Sheet1!$K$2:$K$333=$E114)+(Sheet1!$K$2:$K$333=$E115),""),4)="POST",CONCATENATE(_xlfn._xlws.FILTER(Sheet1!$A$2:$A$333,(Sheet1!$K$2:$K$333=$E113)+(Sheet1!$K$2:$K$333=$E114)+(Sheet1!$K$2:$K$333=$E115),""),"-","POST"),_xlfn._xlws.FILTER(Sheet1!$A$2:$A$333,(Sheet1!$K$2:$K$333=$E113)+(Sheet1!$K$2:$K$333=$E114)+(Sheet1!$K$2:$K$333=$E115),"UNFILLED"))</f>
        <v>LOUIS, EPIPHANY</v>
      </c>
      <c r="J113" s="303" t="str" cm="1">
        <f t="array" ref="J113">IF(RIGHT(_xlfn._xlws.FILTER(Sheet1!M$2:M$333,(Sheet1!M$2:M$333=$E113)+(Sheet1!M$2:M$333=$E114)+(Sheet1!M$2:M$333=$E115),""),4)="POST",CONCATENATE(_xlfn._xlws.FILTER(Sheet1!$A$2:$A$333,(Sheet1!M$2:M$333=$E113)+(Sheet1!M$2:M$333=$E114)+(Sheet1!M$2:M$333=$E115),""),"-","POST"),_xlfn._xlws.FILTER(Sheet1!$A$2:$A$333,(Sheet1!M$2:M$333=$E113)+(Sheet1!M$2:M$333=$E114)+(Sheet1!M$2:M$333=$E115),"UNFILLED"))</f>
        <v>WALKER, RODERICK</v>
      </c>
      <c r="K113" s="303" t="str" cm="1">
        <f t="array" ref="K113">IF(RIGHT(_xlfn._xlws.FILTER(Sheet1!$O$2:$O$333,(Sheet1!$O$2:$O$333=$E113)+(Sheet1!$O$2:$O$333=$E114)+(Sheet1!$O$2:$O$333=$E115),""),4)="POST",CONCATENATE(_xlfn._xlws.FILTER(Sheet1!$A$2:$A$333,(Sheet1!$O$2:$O$333=$E113)+(Sheet1!$O$2:$O$333=$E114)+(Sheet1!$O$2:$O$333=$E115),""),"-","POST"),_xlfn._xlws.FILTER(Sheet1!$A$2:$A$333,(Sheet1!$O$2:$O$333=$E113)+(Sheet1!$O$2:$O$333=$E114)+(Sheet1!$O$2:$O$333=$E115),"UNFILLED"))</f>
        <v>GUILFORD, REYNARD</v>
      </c>
      <c r="L113" s="303" t="str" cm="1">
        <f t="array" ref="L113">IF(RIGHT(_xlfn._xlws.FILTER(Sheet1!$Q$2:$Q$333,(Sheet1!$Q$2:$Q$333=$E113)+(Sheet1!$Q$2:$Q$333=$E114)+(Sheet1!$Q$2:$Q$333=$E115),""),4)="POST",CONCATENATE(_xlfn._xlws.FILTER(Sheet1!$A$2:$A$333,(Sheet1!$Q$2:$Q$333=$E113)+(Sheet1!$Q$2:$Q$333=$E114)+(Sheet1!$Q$2:$Q$333=$E115),""),"-","POST"),_xlfn._xlws.FILTER(Sheet1!$A$2:$A$333,(Sheet1!$Q$2:$Q$333=$E113)+(Sheet1!$Q$2:$Q$333=$E114)+(Sheet1!$Q$2:$Q$333=$E115),"UNFILLED"))</f>
        <v>GUILFORD, REYNARD</v>
      </c>
      <c r="M113" s="303" t="str" cm="1">
        <f t="array" ref="M113">IF(RIGHT(_xlfn._xlws.FILTER(Sheet1!$S$2:$S$333,(Sheet1!$S$2:$S$333=$E113)+(Sheet1!$S$2:$S$333=$E114)+(Sheet1!$S$2:$S$333=$E115),""),4)="POST",CONCATENATE(_xlfn._xlws.FILTER(Sheet1!$A$2:$A$333,(Sheet1!$S$2:$S$333=$E113)+(Sheet1!$S$2:$S$333=$E114)+(Sheet1!$S$2:$S$333=$E115),""),"-","POST"),_xlfn._xlws.FILTER(Sheet1!$A$2:$A$333,(Sheet1!$S$2:$S$333=$E113)+(Sheet1!$S$2:$S$333=$E114)+(Sheet1!$S$2:$S$333=$E115),"UNFILLED"))</f>
        <v>GUILFORD, REYNARD</v>
      </c>
    </row>
    <row r="114" spans="3:13" ht="17.25" customHeight="1" x14ac:dyDescent="0.4">
      <c r="C114" s="472"/>
      <c r="D114" s="473"/>
      <c r="E114" s="168" t="str">
        <f>_xlfn.CONCAT(E113,"-","POST")</f>
        <v>3B-2-POST</v>
      </c>
      <c r="F114" s="466"/>
      <c r="G114" s="304"/>
      <c r="H114" s="304"/>
      <c r="I114" s="304"/>
      <c r="J114" s="304"/>
      <c r="K114" s="304"/>
      <c r="L114" s="304"/>
      <c r="M114" s="304"/>
    </row>
    <row r="115" spans="3:13" ht="17.25" customHeight="1" x14ac:dyDescent="0.4">
      <c r="C115" s="472"/>
      <c r="D115" s="473"/>
      <c r="E115" s="168" t="str">
        <f>_xlfn.CONCAT(E113,"-","PILOT")</f>
        <v>3B-2-PILOT</v>
      </c>
      <c r="F115" s="467"/>
      <c r="G115" s="305"/>
      <c r="H115" s="305"/>
      <c r="I115" s="305"/>
      <c r="J115" s="305"/>
      <c r="K115" s="305"/>
      <c r="L115" s="305"/>
      <c r="M115" s="305"/>
    </row>
    <row r="116" spans="3:13" ht="17.25" customHeight="1" x14ac:dyDescent="0.45">
      <c r="C116" s="472"/>
      <c r="D116" s="473"/>
      <c r="E116" s="175" t="s">
        <v>311</v>
      </c>
      <c r="F116" s="465" t="s">
        <v>1068</v>
      </c>
      <c r="G116" s="303" t="str" cm="1">
        <f t="array" ref="G116:G117">IF(RIGHT(_xlfn._xlws.FILTER(Sheet1!$G$2:$G$333,(Sheet1!$G$2:$G$333=$E116)+(Sheet1!$G$2:$G$333=$E117)+(Sheet1!$G$2:$G$333=$E118),""),4)="POST",CONCATENATE(_xlfn._xlws.FILTER(Sheet1!$A$2:$A$333,(Sheet1!$G$2:$G$333=$E116)+(Sheet1!$G$2:$G$333=$E117)+(Sheet1!$G$2:$G$333=$E118),""),"-","POST"),_xlfn._xlws.FILTER(Sheet1!$A$2:$A$333,(Sheet1!$G$2:$G$333=$E116)+(Sheet1!$G$2:$G$333=$E117)+(Sheet1!$G$2:$G$333=$E118),"UNFILLED"))</f>
        <v>FRAZIER, WILLIE-POST</v>
      </c>
      <c r="H116" s="303" t="str" cm="1">
        <f t="array" ref="H116:H117">IF(RIGHT(_xlfn._xlws.FILTER(Sheet1!$I$2:$I$333,(Sheet1!$I$2:$I$333=$E116)+(Sheet1!$I$2:$I$333=$E117)+(Sheet1!$I$2:$I$333=$E118),""),4)="POST",CONCATENATE(_xlfn._xlws.FILTER(Sheet1!$A$2:$A$333,(Sheet1!$I$2:$I$333=$E116)+(Sheet1!$I$2:$I$333=$E117)+(Sheet1!$I$2:$I$333=$E118),""),"-","POST"),_xlfn._xlws.FILTER(Sheet1!$A$2:$A$333,(Sheet1!$I$2:$I$333=$E116)+(Sheet1!$I$2:$I$333=$E117)+(Sheet1!$I$2:$I$333=$E118),"UNFILLED"))</f>
        <v>FRAZIER, WILLIE-POST</v>
      </c>
      <c r="I116" s="303" t="str" cm="1">
        <f t="array" ref="I116">IF(RIGHT(_xlfn._xlws.FILTER(Sheet1!$K$2:$K$333,(Sheet1!$K$2:$K$333=$E116)+(Sheet1!$K$2:$K$333=$E117)+(Sheet1!$K$2:$K$333=$E118),""),4)="POST",CONCATENATE(_xlfn._xlws.FILTER(Sheet1!$A$2:$A$333,(Sheet1!$K$2:$K$333=$E116)+(Sheet1!$K$2:$K$333=$E117)+(Sheet1!$K$2:$K$333=$E118),""),"-","POST"),_xlfn._xlws.FILTER(Sheet1!$A$2:$A$333,(Sheet1!$K$2:$K$333=$E116)+(Sheet1!$K$2:$K$333=$E117)+(Sheet1!$K$2:$K$333=$E118),"UNFILLED"))</f>
        <v>BRAWNER, PEYTON</v>
      </c>
      <c r="J116" s="303" t="str" cm="1">
        <f t="array" ref="J116">IF(RIGHT(_xlfn._xlws.FILTER(Sheet1!M$2:M$333,(Sheet1!M$2:M$333=$E116)+(Sheet1!M$2:M$333=$E117)+(Sheet1!M$2:M$333=$E118),""),4)="POST",CONCATENATE(_xlfn._xlws.FILTER(Sheet1!$A$2:$A$333,(Sheet1!M$2:M$333=$E116)+(Sheet1!M$2:M$333=$E117)+(Sheet1!M$2:M$333=$E118),""),"-","POST"),_xlfn._xlws.FILTER(Sheet1!$A$2:$A$333,(Sheet1!M$2:M$333=$E116)+(Sheet1!M$2:M$333=$E117)+(Sheet1!M$2:M$333=$E118),"UNFILLED"))</f>
        <v>BRAWNER, PEYTON</v>
      </c>
      <c r="K116" s="303" t="str" cm="1">
        <f t="array" ref="K116:K117">IF(RIGHT(_xlfn._xlws.FILTER(Sheet1!$O$2:$O$333,(Sheet1!$O$2:$O$333=$E116)+(Sheet1!$O$2:$O$333=$E117)+(Sheet1!$O$2:$O$333=$E118),""),4)="POST",CONCATENATE(_xlfn._xlws.FILTER(Sheet1!$A$2:$A$333,(Sheet1!$O$2:$O$333=$E116)+(Sheet1!$O$2:$O$333=$E117)+(Sheet1!$O$2:$O$333=$E118),""),"-","POST"),_xlfn._xlws.FILTER(Sheet1!$A$2:$A$333,(Sheet1!$O$2:$O$333=$E116)+(Sheet1!$O$2:$O$333=$E117)+(Sheet1!$O$2:$O$333=$E118),"UNFILLED"))</f>
        <v>FRAZIER, WILLIE-POST</v>
      </c>
      <c r="L116" s="303" t="str" cm="1">
        <f t="array" ref="L116:L117">IF(RIGHT(_xlfn._xlws.FILTER(Sheet1!$Q$2:$Q$333,(Sheet1!$Q$2:$Q$333=$E116)+(Sheet1!$Q$2:$Q$333=$E117)+(Sheet1!$Q$2:$Q$333=$E118),""),4)="POST",CONCATENATE(_xlfn._xlws.FILTER(Sheet1!$A$2:$A$333,(Sheet1!$Q$2:$Q$333=$E116)+(Sheet1!$Q$2:$Q$333=$E117)+(Sheet1!$Q$2:$Q$333=$E118),""),"-","POST"),_xlfn._xlws.FILTER(Sheet1!$A$2:$A$333,(Sheet1!$Q$2:$Q$333=$E116)+(Sheet1!$Q$2:$Q$333=$E117)+(Sheet1!$Q$2:$Q$333=$E118),"UNFILLED"))</f>
        <v>FRAZIER, WILLIE-POST</v>
      </c>
      <c r="M116" s="303" t="str" cm="1">
        <f t="array" ref="M116:M117">IF(RIGHT(_xlfn._xlws.FILTER(Sheet1!$S$2:$S$333,(Sheet1!$S$2:$S$333=$E116)+(Sheet1!$S$2:$S$333=$E117)+(Sheet1!$S$2:$S$333=$E118),""),4)="POST",CONCATENATE(_xlfn._xlws.FILTER(Sheet1!$A$2:$A$333,(Sheet1!$S$2:$S$333=$E116)+(Sheet1!$S$2:$S$333=$E117)+(Sheet1!$S$2:$S$333=$E118),""),"-","POST"),_xlfn._xlws.FILTER(Sheet1!$A$2:$A$333,(Sheet1!$S$2:$S$333=$E116)+(Sheet1!$S$2:$S$333=$E117)+(Sheet1!$S$2:$S$333=$E118),"UNFILLED"))</f>
        <v>FRAZIER, WILLIE-POST</v>
      </c>
    </row>
    <row r="117" spans="3:13" ht="17.25" customHeight="1" x14ac:dyDescent="0.4">
      <c r="C117" s="472"/>
      <c r="D117" s="473"/>
      <c r="E117" s="168" t="str">
        <f>_xlfn.CONCAT(E116,"-","POST")</f>
        <v>CN-2-POST</v>
      </c>
      <c r="F117" s="466"/>
      <c r="G117" s="304" t="str">
        <v>GONZALEZ, OAKLEY</v>
      </c>
      <c r="H117" s="304" t="str">
        <v>GONZALEZ, OAKLEY</v>
      </c>
      <c r="I117" s="304"/>
      <c r="J117" s="304"/>
      <c r="K117" s="304" t="str">
        <v>GONZALEZ, OAKLEY</v>
      </c>
      <c r="L117" s="304" t="str">
        <v>MCCLIMENT, KAITLIN</v>
      </c>
      <c r="M117" s="304" t="str">
        <v>GONZALEZ, OAKLEY</v>
      </c>
    </row>
    <row r="118" spans="3:13" ht="17.25" customHeight="1" x14ac:dyDescent="0.4">
      <c r="C118" s="472"/>
      <c r="D118" s="473"/>
      <c r="E118" s="168" t="str">
        <f>_xlfn.CONCAT(E116,"-","PILOT")</f>
        <v>CN-2-PILOT</v>
      </c>
      <c r="F118" s="467"/>
      <c r="G118" s="305"/>
      <c r="H118" s="305"/>
      <c r="I118" s="305"/>
      <c r="J118" s="305"/>
      <c r="K118" s="305"/>
      <c r="L118" s="305"/>
      <c r="M118" s="305"/>
    </row>
    <row r="119" spans="3:13" ht="17.25" customHeight="1" x14ac:dyDescent="0.45">
      <c r="C119" s="472"/>
      <c r="D119" s="473"/>
      <c r="E119" s="175" t="s">
        <v>271</v>
      </c>
      <c r="F119" s="465" t="s">
        <v>1069</v>
      </c>
      <c r="G119" s="303" t="str" cm="1">
        <f t="array" ref="G119">IF(RIGHT(_xlfn._xlws.FILTER(Sheet1!$G$2:$G$333,(Sheet1!$G$2:$G$333=$E119)+(Sheet1!$G$2:$G$333=$E120)+(Sheet1!$G$2:$G$333=$E121),""),4)="POST",CONCATENATE(_xlfn._xlws.FILTER(Sheet1!$A$2:$A$333,(Sheet1!$G$2:$G$333=$E119)+(Sheet1!$G$2:$G$333=$E120)+(Sheet1!$G$2:$G$333=$E121),""),"-","POST"),_xlfn._xlws.FILTER(Sheet1!$A$2:$A$333,(Sheet1!$G$2:$G$333=$E119)+(Sheet1!$G$2:$G$333=$E120)+(Sheet1!$G$2:$G$333=$E121),"UNFILLED"))</f>
        <v>BARTER, ELIZABETH</v>
      </c>
      <c r="H119" s="303" t="str" cm="1">
        <f t="array" ref="H119">IF(RIGHT(_xlfn._xlws.FILTER(Sheet1!$I$2:$I$333,(Sheet1!$I$2:$I$333=$E119)+(Sheet1!$I$2:$I$333=$E120)+(Sheet1!$I$2:$I$333=$E121),""),4)="POST",CONCATENATE(_xlfn._xlws.FILTER(Sheet1!$A$2:$A$333,(Sheet1!$I$2:$I$333=$E119)+(Sheet1!$I$2:$I$333=$E120)+(Sheet1!$I$2:$I$333=$E121),""),"-","POST"),_xlfn._xlws.FILTER(Sheet1!$A$2:$A$333,(Sheet1!$I$2:$I$333=$E119)+(Sheet1!$I$2:$I$333=$E120)+(Sheet1!$I$2:$I$333=$E121),"UNFILLED"))</f>
        <v>MANLEY, JOE</v>
      </c>
      <c r="I119" s="303" t="str" cm="1">
        <f t="array" ref="I119">IF(RIGHT(_xlfn._xlws.FILTER(Sheet1!$K$2:$K$333,(Sheet1!$K$2:$K$333=$E119)+(Sheet1!$K$2:$K$333=$E120)+(Sheet1!$K$2:$K$333=$E121),""),4)="POST",CONCATENATE(_xlfn._xlws.FILTER(Sheet1!$A$2:$A$333,(Sheet1!$K$2:$K$333=$E119)+(Sheet1!$K$2:$K$333=$E120)+(Sheet1!$K$2:$K$333=$E121),""),"-","POST"),_xlfn._xlws.FILTER(Sheet1!$A$2:$A$333,(Sheet1!$K$2:$K$333=$E119)+(Sheet1!$K$2:$K$333=$E120)+(Sheet1!$K$2:$K$333=$E121),"UNFILLED"))</f>
        <v>MANLEY, JOE</v>
      </c>
      <c r="J119" s="303" t="str" cm="1">
        <f t="array" ref="J119">IF(RIGHT(_xlfn._xlws.FILTER(Sheet1!M$2:M$333,(Sheet1!M$2:M$333=$E119)+(Sheet1!M$2:M$333=$E120)+(Sheet1!M$2:M$333=$E121),""),4)="POST",CONCATENATE(_xlfn._xlws.FILTER(Sheet1!$A$2:$A$333,(Sheet1!M$2:M$333=$E119)+(Sheet1!M$2:M$333=$E120)+(Sheet1!M$2:M$333=$E121),""),"-","POST"),_xlfn._xlws.FILTER(Sheet1!$A$2:$A$333,(Sheet1!M$2:M$333=$E119)+(Sheet1!M$2:M$333=$E120)+(Sheet1!M$2:M$333=$E121),"UNFILLED"))</f>
        <v>BARTER, ELIZABETH</v>
      </c>
      <c r="K119" s="303" t="str" cm="1">
        <f t="array" ref="K119">IF(RIGHT(_xlfn._xlws.FILTER(Sheet1!$O$2:$O$333,(Sheet1!$O$2:$O$333=$E119)+(Sheet1!$O$2:$O$333=$E120)+(Sheet1!$O$2:$O$333=$E121),""),4)="POST",CONCATENATE(_xlfn._xlws.FILTER(Sheet1!$A$2:$A$333,(Sheet1!$O$2:$O$333=$E119)+(Sheet1!$O$2:$O$333=$E120)+(Sheet1!$O$2:$O$333=$E121),""),"-","POST"),_xlfn._xlws.FILTER(Sheet1!$A$2:$A$333,(Sheet1!$O$2:$O$333=$E119)+(Sheet1!$O$2:$O$333=$E120)+(Sheet1!$O$2:$O$333=$E121),"UNFILLED"))</f>
        <v>BARTER, ELIZABETH</v>
      </c>
      <c r="L119" s="303" t="str" cm="1">
        <f t="array" ref="L119">IF(RIGHT(_xlfn._xlws.FILTER(Sheet1!$Q$2:$Q$333,(Sheet1!$Q$2:$Q$333=$E119)+(Sheet1!$Q$2:$Q$333=$E120)+(Sheet1!$Q$2:$Q$333=$E121),""),4)="POST",CONCATENATE(_xlfn._xlws.FILTER(Sheet1!$A$2:$A$333,(Sheet1!$Q$2:$Q$333=$E119)+(Sheet1!$Q$2:$Q$333=$E120)+(Sheet1!$Q$2:$Q$333=$E121),""),"-","POST"),_xlfn._xlws.FILTER(Sheet1!$A$2:$A$333,(Sheet1!$Q$2:$Q$333=$E119)+(Sheet1!$Q$2:$Q$333=$E120)+(Sheet1!$Q$2:$Q$333=$E121),"UNFILLED"))</f>
        <v>BARTER, ELIZABETH</v>
      </c>
      <c r="M119" s="303" t="str" cm="1">
        <f t="array" ref="M119">IF(RIGHT(_xlfn._xlws.FILTER(Sheet1!$S$2:$S$333,(Sheet1!$S$2:$S$333=$E119)+(Sheet1!$S$2:$S$333=$E120)+(Sheet1!$S$2:$S$333=$E121),""),4)="POST",CONCATENATE(_xlfn._xlws.FILTER(Sheet1!$A$2:$A$333,(Sheet1!$S$2:$S$333=$E119)+(Sheet1!$S$2:$S$333=$E120)+(Sheet1!$S$2:$S$333=$E121),""),"-","POST"),_xlfn._xlws.FILTER(Sheet1!$A$2:$A$333,(Sheet1!$S$2:$S$333=$E119)+(Sheet1!$S$2:$S$333=$E120)+(Sheet1!$S$2:$S$333=$E121),"UNFILLED"))</f>
        <v>BARTER, ELIZABETH</v>
      </c>
    </row>
    <row r="120" spans="3:13" ht="17.25" customHeight="1" x14ac:dyDescent="0.4">
      <c r="C120" s="472"/>
      <c r="D120" s="473"/>
      <c r="E120" s="168" t="str">
        <f>_xlfn.CONCAT(E119,"-","POST")</f>
        <v>KW-2-POST</v>
      </c>
      <c r="F120" s="466"/>
      <c r="G120" s="304"/>
      <c r="H120" s="304"/>
      <c r="I120" s="304"/>
      <c r="J120" s="304"/>
      <c r="K120" s="304"/>
      <c r="L120" s="304"/>
      <c r="M120" s="304"/>
    </row>
    <row r="121" spans="3:13" ht="17.25" customHeight="1" thickBot="1" x14ac:dyDescent="0.45">
      <c r="C121" s="472"/>
      <c r="D121" s="473"/>
      <c r="E121" s="168" t="str">
        <f>_xlfn.CONCAT(E119,"-","PILOT")</f>
        <v>KW-2-PILOT</v>
      </c>
      <c r="F121" s="467"/>
      <c r="G121" s="305"/>
      <c r="H121" s="305"/>
      <c r="I121" s="305"/>
      <c r="J121" s="305"/>
      <c r="K121" s="305"/>
      <c r="L121" s="305"/>
      <c r="M121" s="305"/>
    </row>
    <row r="122" spans="3:13" ht="28.5" customHeight="1" thickTop="1" x14ac:dyDescent="0.45">
      <c r="C122" s="472"/>
      <c r="D122" s="473"/>
      <c r="E122" s="175"/>
      <c r="F122" s="474" t="s">
        <v>44</v>
      </c>
      <c r="G122" s="475"/>
      <c r="H122" s="475"/>
      <c r="I122" s="475"/>
      <c r="J122" s="475"/>
      <c r="K122" s="475"/>
      <c r="L122" s="475"/>
      <c r="M122" s="476"/>
    </row>
    <row r="123" spans="3:13" ht="17.25" customHeight="1" x14ac:dyDescent="0.45">
      <c r="C123" s="472"/>
      <c r="D123" s="473"/>
      <c r="E123" s="175" t="s">
        <v>406</v>
      </c>
      <c r="F123" s="465" t="s">
        <v>1070</v>
      </c>
      <c r="G123" s="303" t="str" cm="1">
        <f t="array" ref="G123">IF(RIGHT(_xlfn._xlws.FILTER(Sheet1!$G$2:$G$333,(Sheet1!$G$2:$G$333=$E123)+(Sheet1!$G$2:$G$333=$E124)+(Sheet1!$G$2:$G$333=$E125),""),4)="POST",CONCATENATE(_xlfn._xlws.FILTER(Sheet1!$A$2:$A$333,(Sheet1!$G$2:$G$333=$E123)+(Sheet1!$G$2:$G$333=$E124)+(Sheet1!$G$2:$G$333=$E125),""),"-","POST"),_xlfn._xlws.FILTER(Sheet1!$A$2:$A$333,(Sheet1!$G$2:$G$333=$E123)+(Sheet1!$G$2:$G$333=$E124)+(Sheet1!$G$2:$G$333=$E125),"UNFILLED"))</f>
        <v>DAVIS, MARK</v>
      </c>
      <c r="H123" s="303" t="str" cm="1">
        <f t="array" ref="H123">IF(RIGHT(_xlfn._xlws.FILTER(Sheet1!$I$2:$I$333,(Sheet1!$I$2:$I$333=$E123)+(Sheet1!$I$2:$I$333=$E124)+(Sheet1!$I$2:$I$333=$E125),""),4)="POST",CONCATENATE(_xlfn._xlws.FILTER(Sheet1!$A$2:$A$333,(Sheet1!$I$2:$I$333=$E123)+(Sheet1!$I$2:$I$333=$E124)+(Sheet1!$I$2:$I$333=$E125),""),"-","POST"),_xlfn._xlws.FILTER(Sheet1!$A$2:$A$333,(Sheet1!$I$2:$I$333=$E123)+(Sheet1!$I$2:$I$333=$E124)+(Sheet1!$I$2:$I$333=$E125),"UNFILLED"))</f>
        <v>TAYLOR, JASMINE</v>
      </c>
      <c r="I123" s="303" t="str" cm="1">
        <f t="array" ref="I123">IF(RIGHT(_xlfn._xlws.FILTER(Sheet1!$K$2:$K$333,(Sheet1!$K$2:$K$333=$E123)+(Sheet1!$K$2:$K$333=$E124)+(Sheet1!$K$2:$K$333=$E125),""),4)="POST",CONCATENATE(_xlfn._xlws.FILTER(Sheet1!$A$2:$A$333,(Sheet1!$K$2:$K$333=$E123)+(Sheet1!$K$2:$K$333=$E124)+(Sheet1!$K$2:$K$333=$E125),""),"-","POST"),_xlfn._xlws.FILTER(Sheet1!$A$2:$A$333,(Sheet1!$K$2:$K$333=$E123)+(Sheet1!$K$2:$K$333=$E124)+(Sheet1!$K$2:$K$333=$E125),"UNFILLED"))</f>
        <v>WILLIAMS, GARRETT</v>
      </c>
      <c r="J123" s="303" t="str" cm="1">
        <f t="array" ref="J123">IF(RIGHT(_xlfn._xlws.FILTER(Sheet1!M$2:M$333,(Sheet1!M$2:M$333=$E123)+(Sheet1!M$2:M$333=$E124)+(Sheet1!M$2:M$333=$E125),""),4)="POST",CONCATENATE(_xlfn._xlws.FILTER(Sheet1!$A$2:$A$333,(Sheet1!M$2:M$333=$E123)+(Sheet1!M$2:M$333=$E124)+(Sheet1!M$2:M$333=$E125),""),"-","POST"),_xlfn._xlws.FILTER(Sheet1!$A$2:$A$333,(Sheet1!M$2:M$333=$E123)+(Sheet1!M$2:M$333=$E124)+(Sheet1!M$2:M$333=$E125),"UNFILLED"))</f>
        <v>DAVIS, MARK</v>
      </c>
      <c r="K123" s="303" t="str" cm="1">
        <f t="array" ref="K123">IF(RIGHT(_xlfn._xlws.FILTER(Sheet1!$O$2:$O$333,(Sheet1!$O$2:$O$333=$E123)+(Sheet1!$O$2:$O$333=$E124)+(Sheet1!$O$2:$O$333=$E125),""),4)="POST",CONCATENATE(_xlfn._xlws.FILTER(Sheet1!$A$2:$A$333,(Sheet1!$O$2:$O$333=$E123)+(Sheet1!$O$2:$O$333=$E124)+(Sheet1!$O$2:$O$333=$E125),""),"-","POST"),_xlfn._xlws.FILTER(Sheet1!$A$2:$A$333,(Sheet1!$O$2:$O$333=$E123)+(Sheet1!$O$2:$O$333=$E124)+(Sheet1!$O$2:$O$333=$E125),"UNFILLED"))</f>
        <v>WILLIAMS, GARRETT</v>
      </c>
      <c r="L123" s="303" t="str" cm="1">
        <f t="array" ref="L123">IF(RIGHT(_xlfn._xlws.FILTER(Sheet1!$Q$2:$Q$333,(Sheet1!$Q$2:$Q$333=$E123)+(Sheet1!$Q$2:$Q$333=$E124)+(Sheet1!$Q$2:$Q$333=$E125),""),4)="POST",CONCATENATE(_xlfn._xlws.FILTER(Sheet1!$A$2:$A$333,(Sheet1!$Q$2:$Q$333=$E123)+(Sheet1!$Q$2:$Q$333=$E124)+(Sheet1!$Q$2:$Q$333=$E125),""),"-","POST"),_xlfn._xlws.FILTER(Sheet1!$A$2:$A$333,(Sheet1!$Q$2:$Q$333=$E123)+(Sheet1!$Q$2:$Q$333=$E124)+(Sheet1!$Q$2:$Q$333=$E125),"UNFILLED"))</f>
        <v>WILLIAMS, GARRETT</v>
      </c>
      <c r="M123" s="303" t="str" cm="1">
        <f t="array" ref="M123">IF(RIGHT(_xlfn._xlws.FILTER(Sheet1!$S$2:$S$333,(Sheet1!$S$2:$S$333=$E123)+(Sheet1!$S$2:$S$333=$E124)+(Sheet1!$S$2:$S$333=$E125),""),4)="POST",CONCATENATE(_xlfn._xlws.FILTER(Sheet1!$A$2:$A$333,(Sheet1!$S$2:$S$333=$E123)+(Sheet1!$S$2:$S$333=$E124)+(Sheet1!$S$2:$S$333=$E125),""),"-","POST"),_xlfn._xlws.FILTER(Sheet1!$A$2:$A$333,(Sheet1!$S$2:$S$333=$E123)+(Sheet1!$S$2:$S$333=$E124)+(Sheet1!$S$2:$S$333=$E125),"UNFILLED"))</f>
        <v>DAVIS, MARK</v>
      </c>
    </row>
    <row r="124" spans="3:13" ht="17.25" customHeight="1" x14ac:dyDescent="0.4">
      <c r="C124" s="472"/>
      <c r="D124" s="473"/>
      <c r="E124" s="168" t="str">
        <f>_xlfn.CONCAT(E123,"-","POST")</f>
        <v>KN-2-POST</v>
      </c>
      <c r="F124" s="466"/>
      <c r="G124" s="304"/>
      <c r="H124" s="304"/>
      <c r="I124" s="304"/>
      <c r="J124" s="304"/>
      <c r="K124" s="304"/>
      <c r="L124" s="304"/>
      <c r="M124" s="304"/>
    </row>
    <row r="125" spans="3:13" ht="17.25" customHeight="1" x14ac:dyDescent="0.4">
      <c r="C125" s="472"/>
      <c r="D125" s="473"/>
      <c r="E125" s="168" t="str">
        <f>_xlfn.CONCAT(E123,"-","PILOT")</f>
        <v>KN-2-PILOT</v>
      </c>
      <c r="F125" s="467"/>
      <c r="G125" s="305"/>
      <c r="H125" s="305"/>
      <c r="I125" s="305"/>
      <c r="J125" s="305"/>
      <c r="K125" s="305"/>
      <c r="L125" s="305"/>
      <c r="M125" s="305"/>
    </row>
    <row r="126" spans="3:13" ht="17.25" customHeight="1" x14ac:dyDescent="0.45">
      <c r="C126" s="472"/>
      <c r="D126" s="473"/>
      <c r="E126" s="175" t="s">
        <v>251</v>
      </c>
      <c r="F126" s="465" t="s">
        <v>1071</v>
      </c>
      <c r="G126" s="303" t="str" cm="1">
        <f t="array" ref="G126">IF(RIGHT(_xlfn._xlws.FILTER(Sheet1!$G$2:$G$333,(Sheet1!$G$2:$G$333=$E126)+(Sheet1!$G$2:$G$333=$E127)+(Sheet1!$G$2:$G$333=$E128),""),4)="POST",CONCATENATE(_xlfn._xlws.FILTER(Sheet1!$A$2:$A$333,(Sheet1!$G$2:$G$333=$E126)+(Sheet1!$G$2:$G$333=$E127)+(Sheet1!$G$2:$G$333=$E128),""),"-","POST"),_xlfn._xlws.FILTER(Sheet1!$A$2:$A$333,(Sheet1!$G$2:$G$333=$E126)+(Sheet1!$G$2:$G$333=$E127)+(Sheet1!$G$2:$G$333=$E128),"UNFILLED"))</f>
        <v>MENDOZA-MORGAN, BROOKLYN</v>
      </c>
      <c r="H126" s="303" t="str" cm="1">
        <f t="array" ref="H126">IF(RIGHT(_xlfn._xlws.FILTER(Sheet1!$I$2:$I$333,(Sheet1!$I$2:$I$333=$E126)+(Sheet1!$I$2:$I$333=$E127)+(Sheet1!$I$2:$I$333=$E128),""),4)="POST",CONCATENATE(_xlfn._xlws.FILTER(Sheet1!$A$2:$A$333,(Sheet1!$I$2:$I$333=$E126)+(Sheet1!$I$2:$I$333=$E127)+(Sheet1!$I$2:$I$333=$E128),""),"-","POST"),_xlfn._xlws.FILTER(Sheet1!$A$2:$A$333,(Sheet1!$I$2:$I$333=$E126)+(Sheet1!$I$2:$I$333=$E127)+(Sheet1!$I$2:$I$333=$E128),"UNFILLED"))</f>
        <v>ARGYRAKIS, URIAH</v>
      </c>
      <c r="I126" s="303" t="str" cm="1">
        <f t="array" ref="I126">IF(RIGHT(_xlfn._xlws.FILTER(Sheet1!$K$2:$K$333,(Sheet1!$K$2:$K$333=$E126)+(Sheet1!$K$2:$K$333=$E127)+(Sheet1!$K$2:$K$333=$E128),""),4)="POST",CONCATENATE(_xlfn._xlws.FILTER(Sheet1!$A$2:$A$333,(Sheet1!$K$2:$K$333=$E126)+(Sheet1!$K$2:$K$333=$E127)+(Sheet1!$K$2:$K$333=$E128),""),"-","POST"),_xlfn._xlws.FILTER(Sheet1!$A$2:$A$333,(Sheet1!$K$2:$K$333=$E126)+(Sheet1!$K$2:$K$333=$E127)+(Sheet1!$K$2:$K$333=$E128),"UNFILLED"))</f>
        <v>ARGYRAKIS, URIAH</v>
      </c>
      <c r="J126" s="303" t="str" cm="1">
        <f t="array" ref="J126">IF(RIGHT(_xlfn._xlws.FILTER(Sheet1!M$2:M$333,(Sheet1!M$2:M$333=$E126)+(Sheet1!M$2:M$333=$E127)+(Sheet1!M$2:M$333=$E128),""),4)="POST",CONCATENATE(_xlfn._xlws.FILTER(Sheet1!$A$2:$A$333,(Sheet1!M$2:M$333=$E126)+(Sheet1!M$2:M$333=$E127)+(Sheet1!M$2:M$333=$E128),""),"-","POST"),_xlfn._xlws.FILTER(Sheet1!$A$2:$A$333,(Sheet1!M$2:M$333=$E126)+(Sheet1!M$2:M$333=$E127)+(Sheet1!M$2:M$333=$E128),"UNFILLED"))</f>
        <v>QUINN, COURTNEY</v>
      </c>
      <c r="K126" s="303" t="str" cm="1">
        <f t="array" ref="K126">IF(RIGHT(_xlfn._xlws.FILTER(Sheet1!$O$2:$O$333,(Sheet1!$O$2:$O$333=$E126)+(Sheet1!$O$2:$O$333=$E127)+(Sheet1!$O$2:$O$333=$E128),""),4)="POST",CONCATENATE(_xlfn._xlws.FILTER(Sheet1!$A$2:$A$333,(Sheet1!$O$2:$O$333=$E126)+(Sheet1!$O$2:$O$333=$E127)+(Sheet1!$O$2:$O$333=$E128),""),"-","POST"),_xlfn._xlws.FILTER(Sheet1!$A$2:$A$333,(Sheet1!$O$2:$O$333=$E126)+(Sheet1!$O$2:$O$333=$E127)+(Sheet1!$O$2:$O$333=$E128),"UNFILLED"))</f>
        <v>QUINN, COURTNEY</v>
      </c>
      <c r="L126" s="303" t="str" cm="1">
        <f t="array" ref="L126">IF(RIGHT(_xlfn._xlws.FILTER(Sheet1!$Q$2:$Q$333,(Sheet1!$Q$2:$Q$333=$E126)+(Sheet1!$Q$2:$Q$333=$E127)+(Sheet1!$Q$2:$Q$333=$E128),""),4)="POST",CONCATENATE(_xlfn._xlws.FILTER(Sheet1!$A$2:$A$333,(Sheet1!$Q$2:$Q$333=$E126)+(Sheet1!$Q$2:$Q$333=$E127)+(Sheet1!$Q$2:$Q$333=$E128),""),"-","POST"),_xlfn._xlws.FILTER(Sheet1!$A$2:$A$333,(Sheet1!$Q$2:$Q$333=$E126)+(Sheet1!$Q$2:$Q$333=$E127)+(Sheet1!$Q$2:$Q$333=$E128),"UNFILLED"))</f>
        <v>QUINN, COURTNEY</v>
      </c>
      <c r="M126" s="303" t="str" cm="1">
        <f t="array" ref="M126">IF(RIGHT(_xlfn._xlws.FILTER(Sheet1!$S$2:$S$333,(Sheet1!$S$2:$S$333=$E126)+(Sheet1!$S$2:$S$333=$E127)+(Sheet1!$S$2:$S$333=$E128),""),4)="POST",CONCATENATE(_xlfn._xlws.FILTER(Sheet1!$A$2:$A$333,(Sheet1!$S$2:$S$333=$E126)+(Sheet1!$S$2:$S$333=$E127)+(Sheet1!$S$2:$S$333=$E128),""),"-","POST"),_xlfn._xlws.FILTER(Sheet1!$A$2:$A$333,(Sheet1!$S$2:$S$333=$E126)+(Sheet1!$S$2:$S$333=$E127)+(Sheet1!$S$2:$S$333=$E128),"UNFILLED"))</f>
        <v>QUINN, COURTNEY</v>
      </c>
    </row>
    <row r="127" spans="3:13" ht="17.25" customHeight="1" x14ac:dyDescent="0.4">
      <c r="C127" s="472"/>
      <c r="D127" s="473"/>
      <c r="E127" s="168" t="str">
        <f>_xlfn.CONCAT(E126,"-","POST")</f>
        <v>PO-2-POST</v>
      </c>
      <c r="F127" s="466"/>
      <c r="G127" s="304"/>
      <c r="H127" s="304"/>
      <c r="I127" s="304"/>
      <c r="J127" s="304"/>
      <c r="K127" s="304"/>
      <c r="L127" s="304"/>
      <c r="M127" s="304"/>
    </row>
    <row r="128" spans="3:13" ht="17.25" customHeight="1" x14ac:dyDescent="0.4">
      <c r="C128" s="472"/>
      <c r="D128" s="473"/>
      <c r="E128" s="168" t="str">
        <f>_xlfn.CONCAT(E126,"-","PILOT")</f>
        <v>PO-2-PILOT</v>
      </c>
      <c r="F128" s="467"/>
      <c r="G128" s="305"/>
      <c r="H128" s="305"/>
      <c r="I128" s="305"/>
      <c r="J128" s="305"/>
      <c r="K128" s="305"/>
      <c r="L128" s="305"/>
      <c r="M128" s="305"/>
    </row>
    <row r="129" spans="3:13" ht="17.25" customHeight="1" x14ac:dyDescent="0.45">
      <c r="C129" s="472"/>
      <c r="D129" s="473"/>
      <c r="E129" s="175" t="s">
        <v>713</v>
      </c>
      <c r="F129" s="465" t="s">
        <v>1072</v>
      </c>
      <c r="G129" s="303" t="str" cm="1">
        <f t="array" ref="G129">IF(RIGHT(_xlfn._xlws.FILTER(Sheet1!$G$2:$G$333,(Sheet1!$G$2:$G$333=$E129)+(Sheet1!$G$2:$G$333=$E130)+(Sheet1!$G$2:$G$333=$E131),""),4)="POST",CONCATENATE(_xlfn._xlws.FILTER(Sheet1!$A$2:$A$333,(Sheet1!$G$2:$G$333=$E129)+(Sheet1!$G$2:$G$333=$E130)+(Sheet1!$G$2:$G$333=$E131),""),"-","POST"),_xlfn._xlws.FILTER(Sheet1!$A$2:$A$333,(Sheet1!$G$2:$G$333=$E129)+(Sheet1!$G$2:$G$333=$E130)+(Sheet1!$G$2:$G$333=$E131),"UNFILLED"))</f>
        <v>LITTLE, JASON</v>
      </c>
      <c r="H129" s="303" t="str" cm="1">
        <f t="array" ref="H129">IF(RIGHT(_xlfn._xlws.FILTER(Sheet1!$I$2:$I$333,(Sheet1!$I$2:$I$333=$E129)+(Sheet1!$I$2:$I$333=$E130)+(Sheet1!$I$2:$I$333=$E131),""),4)="POST",CONCATENATE(_xlfn._xlws.FILTER(Sheet1!$A$2:$A$333,(Sheet1!$I$2:$I$333=$E129)+(Sheet1!$I$2:$I$333=$E130)+(Sheet1!$I$2:$I$333=$E131),""),"-","POST"),_xlfn._xlws.FILTER(Sheet1!$A$2:$A$333,(Sheet1!$I$2:$I$333=$E129)+(Sheet1!$I$2:$I$333=$E130)+(Sheet1!$I$2:$I$333=$E131),"UNFILLED"))</f>
        <v>LITTLE, JASON</v>
      </c>
      <c r="I129" s="303" t="str" cm="1">
        <f t="array" ref="I129">IF(RIGHT(_xlfn._xlws.FILTER(Sheet1!$K$2:$K$333,(Sheet1!$K$2:$K$333=$E129)+(Sheet1!$K$2:$K$333=$E130)+(Sheet1!$K$2:$K$333=$E131),""),4)="POST",CONCATENATE(_xlfn._xlws.FILTER(Sheet1!$A$2:$A$333,(Sheet1!$K$2:$K$333=$E129)+(Sheet1!$K$2:$K$333=$E130)+(Sheet1!$K$2:$K$333=$E131),""),"-","POST"),_xlfn._xlws.FILTER(Sheet1!$A$2:$A$333,(Sheet1!$K$2:$K$333=$E129)+(Sheet1!$K$2:$K$333=$E130)+(Sheet1!$K$2:$K$333=$E131),"UNFILLED"))</f>
        <v>LEDBETTER, SYLVIA</v>
      </c>
      <c r="J129" s="303" t="str" cm="1">
        <f t="array" ref="J129">IF(RIGHT(_xlfn._xlws.FILTER(Sheet1!M$2:M$333,(Sheet1!M$2:M$333=$E129)+(Sheet1!M$2:M$333=$E130)+(Sheet1!M$2:M$333=$E131),""),4)="POST",CONCATENATE(_xlfn._xlws.FILTER(Sheet1!$A$2:$A$333,(Sheet1!M$2:M$333=$E129)+(Sheet1!M$2:M$333=$E130)+(Sheet1!M$2:M$333=$E131),""),"-","POST"),_xlfn._xlws.FILTER(Sheet1!$A$2:$A$333,(Sheet1!M$2:M$333=$E129)+(Sheet1!M$2:M$333=$E130)+(Sheet1!M$2:M$333=$E131),"UNFILLED"))</f>
        <v>LEDBETTER, SYLVIA</v>
      </c>
      <c r="K129" s="303" t="str" cm="1">
        <f t="array" ref="K129">IF(RIGHT(_xlfn._xlws.FILTER(Sheet1!$O$2:$O$333,(Sheet1!$O$2:$O$333=$E129)+(Sheet1!$O$2:$O$333=$E130)+(Sheet1!$O$2:$O$333=$E131),""),4)="POST",CONCATENATE(_xlfn._xlws.FILTER(Sheet1!$A$2:$A$333,(Sheet1!$O$2:$O$333=$E129)+(Sheet1!$O$2:$O$333=$E130)+(Sheet1!$O$2:$O$333=$E131),""),"-","POST"),_xlfn._xlws.FILTER(Sheet1!$A$2:$A$333,(Sheet1!$O$2:$O$333=$E129)+(Sheet1!$O$2:$O$333=$E130)+(Sheet1!$O$2:$O$333=$E131),"UNFILLED"))</f>
        <v>LITTLE, JASON</v>
      </c>
      <c r="L129" s="303" t="str" cm="1">
        <f t="array" ref="L129">IF(RIGHT(_xlfn._xlws.FILTER(Sheet1!$Q$2:$Q$333,(Sheet1!$Q$2:$Q$333=$E129)+(Sheet1!$Q$2:$Q$333=$E130)+(Sheet1!$Q$2:$Q$333=$E131),""),4)="POST",CONCATENATE(_xlfn._xlws.FILTER(Sheet1!$A$2:$A$333,(Sheet1!$Q$2:$Q$333=$E129)+(Sheet1!$Q$2:$Q$333=$E130)+(Sheet1!$Q$2:$Q$333=$E131),""),"-","POST"),_xlfn._xlws.FILTER(Sheet1!$A$2:$A$333,(Sheet1!$Q$2:$Q$333=$E129)+(Sheet1!$Q$2:$Q$333=$E130)+(Sheet1!$Q$2:$Q$333=$E131),"UNFILLED"))</f>
        <v>LITTLE, JASON</v>
      </c>
      <c r="M129" s="303" t="str" cm="1">
        <f t="array" ref="M129">IF(RIGHT(_xlfn._xlws.FILTER(Sheet1!$S$2:$S$333,(Sheet1!$S$2:$S$333=$E129)+(Sheet1!$S$2:$S$333=$E130)+(Sheet1!$S$2:$S$333=$E131),""),4)="POST",CONCATENATE(_xlfn._xlws.FILTER(Sheet1!$A$2:$A$333,(Sheet1!$S$2:$S$333=$E129)+(Sheet1!$S$2:$S$333=$E130)+(Sheet1!$S$2:$S$333=$E131),""),"-","POST"),_xlfn._xlws.FILTER(Sheet1!$A$2:$A$333,(Sheet1!$S$2:$S$333=$E129)+(Sheet1!$S$2:$S$333=$E130)+(Sheet1!$S$2:$S$333=$E131),"UNFILLED"))</f>
        <v>LITTLE, JASON</v>
      </c>
    </row>
    <row r="130" spans="3:13" ht="17.25" customHeight="1" x14ac:dyDescent="0.4">
      <c r="C130" s="472"/>
      <c r="D130" s="473"/>
      <c r="E130" s="168" t="str">
        <f>_xlfn.CONCAT(E129,"-","POST")</f>
        <v>NR-2-POST</v>
      </c>
      <c r="F130" s="466"/>
      <c r="G130" s="304"/>
      <c r="H130" s="304"/>
      <c r="I130" s="304"/>
      <c r="J130" s="304"/>
      <c r="K130" s="304"/>
      <c r="L130" s="304"/>
      <c r="M130" s="304"/>
    </row>
    <row r="131" spans="3:13" ht="17.25" customHeight="1" x14ac:dyDescent="0.4">
      <c r="C131" s="472"/>
      <c r="D131" s="473"/>
      <c r="E131" s="168" t="str">
        <f>_xlfn.CONCAT(E129,"-","PILOT")</f>
        <v>NR-2-PILOT</v>
      </c>
      <c r="F131" s="467"/>
      <c r="G131" s="305"/>
      <c r="H131" s="305"/>
      <c r="I131" s="305"/>
      <c r="J131" s="305"/>
      <c r="K131" s="305"/>
      <c r="L131" s="305"/>
      <c r="M131" s="305"/>
    </row>
    <row r="132" spans="3:13" ht="17.25" customHeight="1" x14ac:dyDescent="0.45">
      <c r="C132" s="472"/>
      <c r="D132" s="473"/>
      <c r="E132" s="175" t="s">
        <v>285</v>
      </c>
      <c r="F132" s="465" t="s">
        <v>1073</v>
      </c>
      <c r="G132" s="303" t="str" cm="1">
        <f t="array" ref="G132">IF(RIGHT(_xlfn._xlws.FILTER(Sheet1!$G$2:$G$333,(Sheet1!$G$2:$G$333=$E132)+(Sheet1!$G$2:$G$333=$E133)+(Sheet1!$G$2:$G$333=$E134),""),4)="POST",CONCATENATE(_xlfn._xlws.FILTER(Sheet1!$A$2:$A$333,(Sheet1!$G$2:$G$333=$E132)+(Sheet1!$G$2:$G$333=$E133)+(Sheet1!$G$2:$G$333=$E134),""),"-","POST"),_xlfn._xlws.FILTER(Sheet1!$A$2:$A$333,(Sheet1!$G$2:$G$333=$E132)+(Sheet1!$G$2:$G$333=$E133)+(Sheet1!$G$2:$G$333=$E134),"UNFILLED"))</f>
        <v>BLAIR, CHRISTINE</v>
      </c>
      <c r="H132" s="303" t="str" cm="1">
        <f t="array" ref="H132">IF(RIGHT(_xlfn._xlws.FILTER(Sheet1!$I$2:$I$333,(Sheet1!$I$2:$I$333=$E132)+(Sheet1!$I$2:$I$333=$E133)+(Sheet1!$I$2:$I$333=$E134),""),4)="POST",CONCATENATE(_xlfn._xlws.FILTER(Sheet1!$A$2:$A$333,(Sheet1!$I$2:$I$333=$E132)+(Sheet1!$I$2:$I$333=$E133)+(Sheet1!$I$2:$I$333=$E134),""),"-","POST"),_xlfn._xlws.FILTER(Sheet1!$A$2:$A$333,(Sheet1!$I$2:$I$333=$E132)+(Sheet1!$I$2:$I$333=$E133)+(Sheet1!$I$2:$I$333=$E134),"UNFILLED"))</f>
        <v>BLAIR, CHRISTINE</v>
      </c>
      <c r="I132" s="303" t="str" cm="1">
        <f t="array" ref="I132">IF(RIGHT(_xlfn._xlws.FILTER(Sheet1!$K$2:$K$333,(Sheet1!$K$2:$K$333=$E132)+(Sheet1!$K$2:$K$333=$E133)+(Sheet1!$K$2:$K$333=$E134),""),4)="POST",CONCATENATE(_xlfn._xlws.FILTER(Sheet1!$A$2:$A$333,(Sheet1!$K$2:$K$333=$E132)+(Sheet1!$K$2:$K$333=$E133)+(Sheet1!$K$2:$K$333=$E134),""),"-","POST"),_xlfn._xlws.FILTER(Sheet1!$A$2:$A$333,(Sheet1!$K$2:$K$333=$E132)+(Sheet1!$K$2:$K$333=$E133)+(Sheet1!$K$2:$K$333=$E134),"UNFILLED"))</f>
        <v>REED, JAMES</v>
      </c>
      <c r="J132" s="303" t="str" cm="1">
        <f t="array" ref="J132">IF(RIGHT(_xlfn._xlws.FILTER(Sheet1!M$2:M$333,(Sheet1!M$2:M$333=$E132)+(Sheet1!M$2:M$333=$E133)+(Sheet1!M$2:M$333=$E134),""),4)="POST",CONCATENATE(_xlfn._xlws.FILTER(Sheet1!$A$2:$A$333,(Sheet1!M$2:M$333=$E132)+(Sheet1!M$2:M$333=$E133)+(Sheet1!M$2:M$333=$E134),""),"-","POST"),_xlfn._xlws.FILTER(Sheet1!$A$2:$A$333,(Sheet1!M$2:M$333=$E132)+(Sheet1!M$2:M$333=$E133)+(Sheet1!M$2:M$333=$E134),"UNFILLED"))</f>
        <v>WILLIAMS, GARRETT</v>
      </c>
      <c r="K132" s="303" t="str" cm="1">
        <f t="array" ref="K132">IF(RIGHT(_xlfn._xlws.FILTER(Sheet1!$O$2:$O$333,(Sheet1!$O$2:$O$333=$E132)+(Sheet1!$O$2:$O$333=$E133)+(Sheet1!$O$2:$O$333=$E134),""),4)="POST",CONCATENATE(_xlfn._xlws.FILTER(Sheet1!$A$2:$A$333,(Sheet1!$O$2:$O$333=$E132)+(Sheet1!$O$2:$O$333=$E133)+(Sheet1!$O$2:$O$333=$E134),""),"-","POST"),_xlfn._xlws.FILTER(Sheet1!$A$2:$A$333,(Sheet1!$O$2:$O$333=$E132)+(Sheet1!$O$2:$O$333=$E133)+(Sheet1!$O$2:$O$333=$E134),"UNFILLED"))</f>
        <v>BLAIR, CHRISTINE</v>
      </c>
      <c r="L132" s="303" t="str" cm="1">
        <f t="array" ref="L132">IF(RIGHT(_xlfn._xlws.FILTER(Sheet1!$Q$2:$Q$333,(Sheet1!$Q$2:$Q$333=$E132)+(Sheet1!$Q$2:$Q$333=$E133)+(Sheet1!$Q$2:$Q$333=$E134),""),4)="POST",CONCATENATE(_xlfn._xlws.FILTER(Sheet1!$A$2:$A$333,(Sheet1!$Q$2:$Q$333=$E132)+(Sheet1!$Q$2:$Q$333=$E133)+(Sheet1!$Q$2:$Q$333=$E134),""),"-","POST"),_xlfn._xlws.FILTER(Sheet1!$A$2:$A$333,(Sheet1!$Q$2:$Q$333=$E132)+(Sheet1!$Q$2:$Q$333=$E133)+(Sheet1!$Q$2:$Q$333=$E134),"UNFILLED"))</f>
        <v>BLAIR, CHRISTINE</v>
      </c>
      <c r="M132" s="303" t="str" cm="1">
        <f t="array" ref="M132">IF(RIGHT(_xlfn._xlws.FILTER(Sheet1!$S$2:$S$333,(Sheet1!$S$2:$S$333=$E132)+(Sheet1!$S$2:$S$333=$E133)+(Sheet1!$S$2:$S$333=$E134),""),4)="POST",CONCATENATE(_xlfn._xlws.FILTER(Sheet1!$A$2:$A$333,(Sheet1!$S$2:$S$333=$E132)+(Sheet1!$S$2:$S$333=$E133)+(Sheet1!$S$2:$S$333=$E134),""),"-","POST"),_xlfn._xlws.FILTER(Sheet1!$A$2:$A$333,(Sheet1!$S$2:$S$333=$E132)+(Sheet1!$S$2:$S$333=$E133)+(Sheet1!$S$2:$S$333=$E134),"UNFILLED"))</f>
        <v>BLAIR, CHRISTINE</v>
      </c>
    </row>
    <row r="133" spans="3:13" ht="17.25" customHeight="1" x14ac:dyDescent="0.4">
      <c r="C133" s="472"/>
      <c r="D133" s="473"/>
      <c r="E133" s="168" t="str">
        <f>_xlfn.CONCAT(E132,"-","POST")</f>
        <v>ET-2-POST</v>
      </c>
      <c r="F133" s="466"/>
      <c r="G133" s="304"/>
      <c r="H133" s="304"/>
      <c r="I133" s="304"/>
      <c r="J133" s="304"/>
      <c r="K133" s="304"/>
      <c r="L133" s="304"/>
      <c r="M133" s="304"/>
    </row>
    <row r="134" spans="3:13" ht="17.25" customHeight="1" x14ac:dyDescent="0.4">
      <c r="C134" s="472"/>
      <c r="D134" s="473"/>
      <c r="E134" s="168" t="str">
        <f>_xlfn.CONCAT(E132,"-","PILOT")</f>
        <v>ET-2-PILOT</v>
      </c>
      <c r="F134" s="467"/>
      <c r="G134" s="305"/>
      <c r="H134" s="305"/>
      <c r="I134" s="305"/>
      <c r="J134" s="305"/>
      <c r="K134" s="305"/>
      <c r="L134" s="305"/>
      <c r="M134" s="305"/>
    </row>
    <row r="135" spans="3:13" ht="17.25" customHeight="1" x14ac:dyDescent="0.45">
      <c r="C135" s="472"/>
      <c r="D135" s="473"/>
      <c r="E135" s="175" t="s">
        <v>716</v>
      </c>
      <c r="F135" s="465" t="s">
        <v>1074</v>
      </c>
      <c r="G135" s="303" t="str" cm="1">
        <f t="array" ref="G135">IF(RIGHT(_xlfn._xlws.FILTER(Sheet1!$G$2:$G$333,(Sheet1!$G$2:$G$333=$E135)+(Sheet1!$G$2:$G$333=$E136)+(Sheet1!$G$2:$G$333=$E137),""),4)="POST",CONCATENATE(_xlfn._xlws.FILTER(Sheet1!$A$2:$A$333,(Sheet1!$G$2:$G$333=$E135)+(Sheet1!$G$2:$G$333=$E136)+(Sheet1!$G$2:$G$333=$E137),""),"-","POST"),_xlfn._xlws.FILTER(Sheet1!$A$2:$A$333,(Sheet1!$G$2:$G$333=$E135)+(Sheet1!$G$2:$G$333=$E136)+(Sheet1!$G$2:$G$333=$E137),"UNFILLED"))</f>
        <v>LEESON, JARED</v>
      </c>
      <c r="H135" s="303" t="str" cm="1">
        <f t="array" ref="H135">IF(RIGHT(_xlfn._xlws.FILTER(Sheet1!$I$2:$I$333,(Sheet1!$I$2:$I$333=$E135)+(Sheet1!$I$2:$I$333=$E136)+(Sheet1!$I$2:$I$333=$E137),""),4)="POST",CONCATENATE(_xlfn._xlws.FILTER(Sheet1!$A$2:$A$333,(Sheet1!$I$2:$I$333=$E135)+(Sheet1!$I$2:$I$333=$E136)+(Sheet1!$I$2:$I$333=$E137),""),"-","POST"),_xlfn._xlws.FILTER(Sheet1!$A$2:$A$333,(Sheet1!$I$2:$I$333=$E135)+(Sheet1!$I$2:$I$333=$E136)+(Sheet1!$I$2:$I$333=$E137),"UNFILLED"))</f>
        <v>LEESON, JARED</v>
      </c>
      <c r="I135" s="303" t="str" cm="1">
        <f t="array" ref="I135">IF(RIGHT(_xlfn._xlws.FILTER(Sheet1!$K$2:$K$333,(Sheet1!$K$2:$K$333=$E135)+(Sheet1!$K$2:$K$333=$E136)+(Sheet1!$K$2:$K$333=$E137),""),4)="POST",CONCATENATE(_xlfn._xlws.FILTER(Sheet1!$A$2:$A$333,(Sheet1!$K$2:$K$333=$E135)+(Sheet1!$K$2:$K$333=$E136)+(Sheet1!$K$2:$K$333=$E137),""),"-","POST"),_xlfn._xlws.FILTER(Sheet1!$A$2:$A$333,(Sheet1!$K$2:$K$333=$E135)+(Sheet1!$K$2:$K$333=$E136)+(Sheet1!$K$2:$K$333=$E137),"UNFILLED"))</f>
        <v>LEESON, JARED</v>
      </c>
      <c r="J135" s="303" t="str" cm="1">
        <f t="array" ref="J135">IF(RIGHT(_xlfn._xlws.FILTER(Sheet1!M$2:M$333,(Sheet1!M$2:M$333=$E135)+(Sheet1!M$2:M$333=$E136)+(Sheet1!M$2:M$333=$E137),""),4)="POST",CONCATENATE(_xlfn._xlws.FILTER(Sheet1!$A$2:$A$333,(Sheet1!M$2:M$333=$E135)+(Sheet1!M$2:M$333=$E136)+(Sheet1!M$2:M$333=$E137),""),"-","POST"),_xlfn._xlws.FILTER(Sheet1!$A$2:$A$333,(Sheet1!M$2:M$333=$E135)+(Sheet1!M$2:M$333=$E136)+(Sheet1!M$2:M$333=$E137),"UNFILLED"))</f>
        <v>TALLEY, OHAN</v>
      </c>
      <c r="K135" s="303" t="str" cm="1">
        <f t="array" ref="K135">IF(RIGHT(_xlfn._xlws.FILTER(Sheet1!$O$2:$O$333,(Sheet1!$O$2:$O$333=$E135)+(Sheet1!$O$2:$O$333=$E136)+(Sheet1!$O$2:$O$333=$E137),""),4)="POST",CONCATENATE(_xlfn._xlws.FILTER(Sheet1!$A$2:$A$333,(Sheet1!$O$2:$O$333=$E135)+(Sheet1!$O$2:$O$333=$E136)+(Sheet1!$O$2:$O$333=$E137),""),"-","POST"),_xlfn._xlws.FILTER(Sheet1!$A$2:$A$333,(Sheet1!$O$2:$O$333=$E135)+(Sheet1!$O$2:$O$333=$E136)+(Sheet1!$O$2:$O$333=$E137),"UNFILLED"))</f>
        <v>TALLEY, OHAN</v>
      </c>
      <c r="L135" s="303" t="str" cm="1">
        <f t="array" ref="L135">IF(RIGHT(_xlfn._xlws.FILTER(Sheet1!$Q$2:$Q$333,(Sheet1!$Q$2:$Q$333=$E135)+(Sheet1!$Q$2:$Q$333=$E136)+(Sheet1!$Q$2:$Q$333=$E137),""),4)="POST",CONCATENATE(_xlfn._xlws.FILTER(Sheet1!$A$2:$A$333,(Sheet1!$Q$2:$Q$333=$E135)+(Sheet1!$Q$2:$Q$333=$E136)+(Sheet1!$Q$2:$Q$333=$E137),""),"-","POST"),_xlfn._xlws.FILTER(Sheet1!$A$2:$A$333,(Sheet1!$Q$2:$Q$333=$E135)+(Sheet1!$Q$2:$Q$333=$E136)+(Sheet1!$Q$2:$Q$333=$E137),"UNFILLED"))</f>
        <v>LEESON, JARED</v>
      </c>
      <c r="M135" s="303" t="str" cm="1">
        <f t="array" ref="M135">IF(RIGHT(_xlfn._xlws.FILTER(Sheet1!$S$2:$S$333,(Sheet1!$S$2:$S$333=$E135)+(Sheet1!$S$2:$S$333=$E136)+(Sheet1!$S$2:$S$333=$E137),""),4)="POST",CONCATENATE(_xlfn._xlws.FILTER(Sheet1!$A$2:$A$333,(Sheet1!$S$2:$S$333=$E135)+(Sheet1!$S$2:$S$333=$E136)+(Sheet1!$S$2:$S$333=$E137),""),"-","POST"),_xlfn._xlws.FILTER(Sheet1!$A$2:$A$333,(Sheet1!$S$2:$S$333=$E135)+(Sheet1!$S$2:$S$333=$E136)+(Sheet1!$S$2:$S$333=$E137),"UNFILLED"))</f>
        <v>LEESON, JARED</v>
      </c>
    </row>
    <row r="136" spans="3:13" ht="17.25" customHeight="1" x14ac:dyDescent="0.4">
      <c r="C136" s="472"/>
      <c r="D136" s="473"/>
      <c r="E136" s="168" t="str">
        <f>_xlfn.CONCAT(E135,"-","POST")</f>
        <v>RT-2-POST</v>
      </c>
      <c r="F136" s="466"/>
      <c r="G136" s="304"/>
      <c r="H136" s="304"/>
      <c r="I136" s="304"/>
      <c r="J136" s="304"/>
      <c r="K136" s="304"/>
      <c r="L136" s="304"/>
      <c r="M136" s="304"/>
    </row>
    <row r="137" spans="3:13" ht="17.25" customHeight="1" x14ac:dyDescent="0.4">
      <c r="C137" s="472"/>
      <c r="D137" s="473"/>
      <c r="E137" s="168" t="str">
        <f>_xlfn.CONCAT(E135,"-","PILOT")</f>
        <v>RT-2-PILOT</v>
      </c>
      <c r="F137" s="467"/>
      <c r="G137" s="305"/>
      <c r="H137" s="305"/>
      <c r="I137" s="305"/>
      <c r="J137" s="305"/>
      <c r="K137" s="305"/>
      <c r="L137" s="305"/>
      <c r="M137" s="305"/>
    </row>
    <row r="138" spans="3:13" ht="17.25" customHeight="1" x14ac:dyDescent="0.45">
      <c r="C138" s="472"/>
      <c r="D138" s="473"/>
      <c r="E138" s="175" t="s">
        <v>814</v>
      </c>
      <c r="F138" s="465" t="s">
        <v>1075</v>
      </c>
      <c r="G138" s="303" t="str" cm="1">
        <f t="array" ref="G138:G139">IF(RIGHT(_xlfn._xlws.FILTER(Sheet1!$G$2:$G$333,(Sheet1!$G$2:$G$333=$E138)+(Sheet1!$G$2:$G$333=$E139)+(Sheet1!$G$2:$G$333=$E140),""),4)="POST",CONCATENATE(_xlfn._xlws.FILTER(Sheet1!$A$2:$A$333,(Sheet1!$G$2:$G$333=$E138)+(Sheet1!$G$2:$G$333=$E139)+(Sheet1!$G$2:$G$333=$E140),""),"-","POST"),_xlfn._xlws.FILTER(Sheet1!$A$2:$A$333,(Sheet1!$G$2:$G$333=$E138)+(Sheet1!$G$2:$G$333=$E139)+(Sheet1!$G$2:$G$333=$E140),"UNFILLED"))</f>
        <v>INVENINATO, JUSTIN-POST</v>
      </c>
      <c r="H138" s="303" t="str" cm="1">
        <f t="array" ref="H138">IF(RIGHT(_xlfn._xlws.FILTER(Sheet1!$I$2:$I$333,(Sheet1!$I$2:$I$333=$E138)+(Sheet1!$I$2:$I$333=$E139)+(Sheet1!$I$2:$I$333=$E140),""),4)="POST",CONCATENATE(_xlfn._xlws.FILTER(Sheet1!$A$2:$A$333,(Sheet1!$I$2:$I$333=$E138)+(Sheet1!$I$2:$I$333=$E139)+(Sheet1!$I$2:$I$333=$E140),""),"-","POST"),_xlfn._xlws.FILTER(Sheet1!$A$2:$A$333,(Sheet1!$I$2:$I$333=$E138)+(Sheet1!$I$2:$I$333=$E139)+(Sheet1!$I$2:$I$333=$E140),"UNFILLED"))</f>
        <v>WILSON, AISHA</v>
      </c>
      <c r="I138" s="303" t="str" cm="1">
        <f t="array" ref="I138">IF(RIGHT(_xlfn._xlws.FILTER(Sheet1!$K$2:$K$333,(Sheet1!$K$2:$K$333=$E138)+(Sheet1!$K$2:$K$333=$E139)+(Sheet1!$K$2:$K$333=$E140),""),4)="POST",CONCATENATE(_xlfn._xlws.FILTER(Sheet1!$A$2:$A$333,(Sheet1!$K$2:$K$333=$E138)+(Sheet1!$K$2:$K$333=$E139)+(Sheet1!$K$2:$K$333=$E140),""),"-","POST"),_xlfn._xlws.FILTER(Sheet1!$A$2:$A$333,(Sheet1!$K$2:$K$333=$E138)+(Sheet1!$K$2:$K$333=$E139)+(Sheet1!$K$2:$K$333=$E140),"UNFILLED"))</f>
        <v>WILSON, AISHA</v>
      </c>
      <c r="J138" s="303" t="str" cm="1">
        <f t="array" ref="J138">IF(RIGHT(_xlfn._xlws.FILTER(Sheet1!M$2:M$333,(Sheet1!M$2:M$333=$E138)+(Sheet1!M$2:M$333=$E139)+(Sheet1!M$2:M$333=$E140),""),4)="POST",CONCATENATE(_xlfn._xlws.FILTER(Sheet1!$A$2:$A$333,(Sheet1!M$2:M$333=$E138)+(Sheet1!M$2:M$333=$E139)+(Sheet1!M$2:M$333=$E140),""),"-","POST"),_xlfn._xlws.FILTER(Sheet1!$A$2:$A$333,(Sheet1!M$2:M$333=$E138)+(Sheet1!M$2:M$333=$E139)+(Sheet1!M$2:M$333=$E140),"UNFILLED"))</f>
        <v>NELLUM, KEVIN</v>
      </c>
      <c r="K138" s="303" t="str" cm="1">
        <f t="array" ref="K138">IF(RIGHT(_xlfn._xlws.FILTER(Sheet1!$O$2:$O$333,(Sheet1!$O$2:$O$333=$E138)+(Sheet1!$O$2:$O$333=$E139)+(Sheet1!$O$2:$O$333=$E140),""),4)="POST",CONCATENATE(_xlfn._xlws.FILTER(Sheet1!$A$2:$A$333,(Sheet1!$O$2:$O$333=$E138)+(Sheet1!$O$2:$O$333=$E139)+(Sheet1!$O$2:$O$333=$E140),""),"-","POST"),_xlfn._xlws.FILTER(Sheet1!$A$2:$A$333,(Sheet1!$O$2:$O$333=$E138)+(Sheet1!$O$2:$O$333=$E139)+(Sheet1!$O$2:$O$333=$E140),"UNFILLED"))</f>
        <v>NELLUM, KEVIN</v>
      </c>
      <c r="L138" s="303" t="str" cm="1">
        <f t="array" ref="L138:L139">IF(RIGHT(_xlfn._xlws.FILTER(Sheet1!$Q$2:$Q$333,(Sheet1!$Q$2:$Q$333=$E138)+(Sheet1!$Q$2:$Q$333=$E139)+(Sheet1!$Q$2:$Q$333=$E140),""),4)="POST",CONCATENATE(_xlfn._xlws.FILTER(Sheet1!$A$2:$A$333,(Sheet1!$Q$2:$Q$333=$E138)+(Sheet1!$Q$2:$Q$333=$E139)+(Sheet1!$Q$2:$Q$333=$E140),""),"-","POST"),_xlfn._xlws.FILTER(Sheet1!$A$2:$A$333,(Sheet1!$Q$2:$Q$333=$E138)+(Sheet1!$Q$2:$Q$333=$E139)+(Sheet1!$Q$2:$Q$333=$E140),"UNFILLED"))</f>
        <v>NELLUM, KEVIN</v>
      </c>
      <c r="M138" s="303" t="str" cm="1">
        <f t="array" ref="M138:M139">IF(RIGHT(_xlfn._xlws.FILTER(Sheet1!$S$2:$S$333,(Sheet1!$S$2:$S$333=$E138)+(Sheet1!$S$2:$S$333=$E139)+(Sheet1!$S$2:$S$333=$E140),""),4)="POST",CONCATENATE(_xlfn._xlws.FILTER(Sheet1!$A$2:$A$333,(Sheet1!$S$2:$S$333=$E138)+(Sheet1!$S$2:$S$333=$E139)+(Sheet1!$S$2:$S$333=$E140),""),"-","POST"),_xlfn._xlws.FILTER(Sheet1!$A$2:$A$333,(Sheet1!$S$2:$S$333=$E138)+(Sheet1!$S$2:$S$333=$E139)+(Sheet1!$S$2:$S$333=$E140),"UNFILLED"))</f>
        <v>INVENINATO, JUSTIN-POST</v>
      </c>
    </row>
    <row r="139" spans="3:13" ht="17.25" customHeight="1" x14ac:dyDescent="0.4">
      <c r="C139" s="472"/>
      <c r="D139" s="473"/>
      <c r="E139" s="168" t="str">
        <f>_xlfn.CONCAT(E138,"-","POST")</f>
        <v>VA-2-POST</v>
      </c>
      <c r="F139" s="466"/>
      <c r="G139" s="304" t="str">
        <v>NELLUM, KEVIN</v>
      </c>
      <c r="H139" s="304"/>
      <c r="I139" s="304"/>
      <c r="J139" s="304"/>
      <c r="K139" s="304"/>
      <c r="L139" s="304" t="str">
        <v>WILLIAMS, JALEESA-POST</v>
      </c>
      <c r="M139" s="304" t="str">
        <v>NELLUM, KEVIN</v>
      </c>
    </row>
    <row r="140" spans="3:13" ht="17.25" customHeight="1" x14ac:dyDescent="0.4">
      <c r="C140" s="472"/>
      <c r="D140" s="473"/>
      <c r="E140" s="168" t="str">
        <f>_xlfn.CONCAT(E138,"-","PILOT")</f>
        <v>VA-2-PILOT</v>
      </c>
      <c r="F140" s="467"/>
      <c r="G140" s="305"/>
      <c r="H140" s="305"/>
      <c r="I140" s="305"/>
      <c r="J140" s="305"/>
      <c r="K140" s="305"/>
      <c r="L140" s="305"/>
      <c r="M140" s="305"/>
    </row>
    <row r="141" spans="3:13" ht="17.25" customHeight="1" x14ac:dyDescent="0.45">
      <c r="C141" s="472"/>
      <c r="D141" s="473"/>
      <c r="E141" s="175" t="s">
        <v>484</v>
      </c>
      <c r="F141" s="465" t="s">
        <v>1076</v>
      </c>
      <c r="G141" s="303" t="str" cm="1">
        <f t="array" ref="G141">IF(RIGHT(_xlfn._xlws.FILTER(Sheet1!$G$2:$G$333,(Sheet1!$G$2:$G$333=$E141)+(Sheet1!$G$2:$G$333=$E142)+(Sheet1!$G$2:$G$333=$E143),""),4)="POST",CONCATENATE(_xlfn._xlws.FILTER(Sheet1!$A$2:$A$333,(Sheet1!$G$2:$G$333=$E141)+(Sheet1!$G$2:$G$333=$E142)+(Sheet1!$G$2:$G$333=$E143),""),"-","POST"),_xlfn._xlws.FILTER(Sheet1!$A$2:$A$333,(Sheet1!$G$2:$G$333=$E141)+(Sheet1!$G$2:$G$333=$E142)+(Sheet1!$G$2:$G$333=$E143),"UNFILLED"))</f>
        <v>FITZGERALD, JIM</v>
      </c>
      <c r="H141" s="303" t="str" cm="1">
        <f t="array" ref="H141">IF(RIGHT(_xlfn._xlws.FILTER(Sheet1!$I$2:$I$333,(Sheet1!$I$2:$I$333=$E141)+(Sheet1!$I$2:$I$333=$E142)+(Sheet1!$I$2:$I$333=$E143),""),4)="POST",CONCATENATE(_xlfn._xlws.FILTER(Sheet1!$A$2:$A$333,(Sheet1!$I$2:$I$333=$E141)+(Sheet1!$I$2:$I$333=$E142)+(Sheet1!$I$2:$I$333=$E143),""),"-","POST"),_xlfn._xlws.FILTER(Sheet1!$A$2:$A$333,(Sheet1!$I$2:$I$333=$E141)+(Sheet1!$I$2:$I$333=$E142)+(Sheet1!$I$2:$I$333=$E143),"UNFILLED"))</f>
        <v>GODFREY, DENNIS</v>
      </c>
      <c r="I141" s="303" t="str" cm="1">
        <f t="array" ref="I141">IF(RIGHT(_xlfn._xlws.FILTER(Sheet1!$K$2:$K$333,(Sheet1!$K$2:$K$333=$E141)+(Sheet1!$K$2:$K$333=$E142)+(Sheet1!$K$2:$K$333=$E143),""),4)="POST",CONCATENATE(_xlfn._xlws.FILTER(Sheet1!$A$2:$A$333,(Sheet1!$K$2:$K$333=$E141)+(Sheet1!$K$2:$K$333=$E142)+(Sheet1!$K$2:$K$333=$E143),""),"-","POST"),_xlfn._xlws.FILTER(Sheet1!$A$2:$A$333,(Sheet1!$K$2:$K$333=$E141)+(Sheet1!$K$2:$K$333=$E142)+(Sheet1!$K$2:$K$333=$E143),"UNFILLED"))</f>
        <v>GODFREY, DENNIS</v>
      </c>
      <c r="J141" s="303" t="str" cm="1">
        <f t="array" ref="J141">IF(RIGHT(_xlfn._xlws.FILTER(Sheet1!M$2:M$333,(Sheet1!M$2:M$333=$E141)+(Sheet1!M$2:M$333=$E142)+(Sheet1!M$2:M$333=$E143),""),4)="POST",CONCATENATE(_xlfn._xlws.FILTER(Sheet1!$A$2:$A$333,(Sheet1!M$2:M$333=$E141)+(Sheet1!M$2:M$333=$E142)+(Sheet1!M$2:M$333=$E143),""),"-","POST"),_xlfn._xlws.FILTER(Sheet1!$A$2:$A$333,(Sheet1!M$2:M$333=$E141)+(Sheet1!M$2:M$333=$E142)+(Sheet1!M$2:M$333=$E143),"UNFILLED"))</f>
        <v>FITZGERALD, JIM</v>
      </c>
      <c r="K141" s="303" t="str" cm="1">
        <f t="array" ref="K141">IF(RIGHT(_xlfn._xlws.FILTER(Sheet1!$O$2:$O$333,(Sheet1!$O$2:$O$333=$E141)+(Sheet1!$O$2:$O$333=$E142)+(Sheet1!$O$2:$O$333=$E143),""),4)="POST",CONCATENATE(_xlfn._xlws.FILTER(Sheet1!$A$2:$A$333,(Sheet1!$O$2:$O$333=$E141)+(Sheet1!$O$2:$O$333=$E142)+(Sheet1!$O$2:$O$333=$E143),""),"-","POST"),_xlfn._xlws.FILTER(Sheet1!$A$2:$A$333,(Sheet1!$O$2:$O$333=$E141)+(Sheet1!$O$2:$O$333=$E142)+(Sheet1!$O$2:$O$333=$E143),"UNFILLED"))</f>
        <v>FITZGERALD, JIM</v>
      </c>
      <c r="L141" s="303" t="str" cm="1">
        <f t="array" ref="L141">IF(RIGHT(_xlfn._xlws.FILTER(Sheet1!$Q$2:$Q$333,(Sheet1!$Q$2:$Q$333=$E141)+(Sheet1!$Q$2:$Q$333=$E142)+(Sheet1!$Q$2:$Q$333=$E143),""),4)="POST",CONCATENATE(_xlfn._xlws.FILTER(Sheet1!$A$2:$A$333,(Sheet1!$Q$2:$Q$333=$E141)+(Sheet1!$Q$2:$Q$333=$E142)+(Sheet1!$Q$2:$Q$333=$E143),""),"-","POST"),_xlfn._xlws.FILTER(Sheet1!$A$2:$A$333,(Sheet1!$Q$2:$Q$333=$E141)+(Sheet1!$Q$2:$Q$333=$E142)+(Sheet1!$Q$2:$Q$333=$E143),"UNFILLED"))</f>
        <v>FITZGERALD, JIM</v>
      </c>
      <c r="M141" s="303" t="str" cm="1">
        <f t="array" ref="M141">IF(RIGHT(_xlfn._xlws.FILTER(Sheet1!$S$2:$S$333,(Sheet1!$S$2:$S$333=$E141)+(Sheet1!$S$2:$S$333=$E142)+(Sheet1!$S$2:$S$333=$E143),""),4)="POST",CONCATENATE(_xlfn._xlws.FILTER(Sheet1!$A$2:$A$333,(Sheet1!$S$2:$S$333=$E141)+(Sheet1!$S$2:$S$333=$E142)+(Sheet1!$S$2:$S$333=$E143),""),"-","POST"),_xlfn._xlws.FILTER(Sheet1!$A$2:$A$333,(Sheet1!$S$2:$S$333=$E141)+(Sheet1!$S$2:$S$333=$E142)+(Sheet1!$S$2:$S$333=$E143),"UNFILLED"))</f>
        <v>FITZGERALD, JIM</v>
      </c>
    </row>
    <row r="142" spans="3:13" ht="17.25" customHeight="1" x14ac:dyDescent="0.4">
      <c r="C142" s="472"/>
      <c r="D142" s="473"/>
      <c r="E142" s="168" t="str">
        <f>_xlfn.CONCAT(E141,"-","POST")</f>
        <v>AS-2-POST</v>
      </c>
      <c r="F142" s="466"/>
      <c r="G142" s="304"/>
      <c r="H142" s="304"/>
      <c r="I142" s="304"/>
      <c r="J142" s="304"/>
      <c r="K142" s="304"/>
      <c r="L142" s="304"/>
      <c r="M142" s="304"/>
    </row>
    <row r="143" spans="3:13" ht="17.25" customHeight="1" x14ac:dyDescent="0.4">
      <c r="C143" s="472"/>
      <c r="D143" s="473"/>
      <c r="E143" s="168" t="str">
        <f>_xlfn.CONCAT(E141,"-","PILOT")</f>
        <v>AS-2-PILOT</v>
      </c>
      <c r="F143" s="467"/>
      <c r="G143" s="305"/>
      <c r="H143" s="305"/>
      <c r="I143" s="305"/>
      <c r="J143" s="305"/>
      <c r="K143" s="305"/>
      <c r="L143" s="305"/>
      <c r="M143" s="305"/>
    </row>
    <row r="144" spans="3:13" ht="17.25" customHeight="1" x14ac:dyDescent="0.45">
      <c r="C144" s="472"/>
      <c r="D144" s="473"/>
      <c r="E144" s="175" t="s">
        <v>729</v>
      </c>
      <c r="F144" s="465" t="s">
        <v>1077</v>
      </c>
      <c r="G144" s="303" t="str" cm="1">
        <f t="array" ref="G144">IF(RIGHT(_xlfn._xlws.FILTER(Sheet1!$G$2:$G$333,(Sheet1!$G$2:$G$333=$E144)+(Sheet1!$G$2:$G$333=$E145)+(Sheet1!$G$2:$G$333=$E146),""),4)="POST",CONCATENATE(_xlfn._xlws.FILTER(Sheet1!$A$2:$A$333,(Sheet1!$G$2:$G$333=$E144)+(Sheet1!$G$2:$G$333=$E145)+(Sheet1!$G$2:$G$333=$E146),""),"-","POST"),_xlfn._xlws.FILTER(Sheet1!$A$2:$A$333,(Sheet1!$G$2:$G$333=$E144)+(Sheet1!$G$2:$G$333=$E145)+(Sheet1!$G$2:$G$333=$E146),"UNFILLED"))</f>
        <v>WILLIAMS, JALEESA</v>
      </c>
      <c r="H144" s="303" t="str" cm="1">
        <f t="array" ref="H144">IF(RIGHT(_xlfn._xlws.FILTER(Sheet1!$I$2:$I$333,(Sheet1!$I$2:$I$333=$E144)+(Sheet1!$I$2:$I$333=$E145)+(Sheet1!$I$2:$I$333=$E146),""),4)="POST",CONCATENATE(_xlfn._xlws.FILTER(Sheet1!$A$2:$A$333,(Sheet1!$I$2:$I$333=$E144)+(Sheet1!$I$2:$I$333=$E145)+(Sheet1!$I$2:$I$333=$E146),""),"-","POST"),_xlfn._xlws.FILTER(Sheet1!$A$2:$A$333,(Sheet1!$I$2:$I$333=$E144)+(Sheet1!$I$2:$I$333=$E145)+(Sheet1!$I$2:$I$333=$E146),"UNFILLED"))</f>
        <v>WILLIAMS, JALEESA</v>
      </c>
      <c r="I144" s="303" t="str" cm="1">
        <f t="array" ref="I144">IF(RIGHT(_xlfn._xlws.FILTER(Sheet1!$K$2:$K$333,(Sheet1!$K$2:$K$333=$E144)+(Sheet1!$K$2:$K$333=$E145)+(Sheet1!$K$2:$K$333=$E146),""),4)="POST",CONCATENATE(_xlfn._xlws.FILTER(Sheet1!$A$2:$A$333,(Sheet1!$K$2:$K$333=$E144)+(Sheet1!$K$2:$K$333=$E145)+(Sheet1!$K$2:$K$333=$E146),""),"-","POST"),_xlfn._xlws.FILTER(Sheet1!$A$2:$A$333,(Sheet1!$K$2:$K$333=$E144)+(Sheet1!$K$2:$K$333=$E145)+(Sheet1!$K$2:$K$333=$E146),"UNFILLED"))</f>
        <v>LOUIS, BRANDON</v>
      </c>
      <c r="J144" s="303" t="str" cm="1">
        <f t="array" ref="J144:J145">IF(RIGHT(_xlfn._xlws.FILTER(Sheet1!M$2:M$333,(Sheet1!M$2:M$333=$E144)+(Sheet1!M$2:M$333=$E145)+(Sheet1!M$2:M$333=$E146),""),4)="POST",CONCATENATE(_xlfn._xlws.FILTER(Sheet1!$A$2:$A$333,(Sheet1!M$2:M$333=$E144)+(Sheet1!M$2:M$333=$E145)+(Sheet1!M$2:M$333=$E146),""),"-","POST"),_xlfn._xlws.FILTER(Sheet1!$A$2:$A$333,(Sheet1!M$2:M$333=$E144)+(Sheet1!M$2:M$333=$E145)+(Sheet1!M$2:M$333=$E146),"UNFILLED"))</f>
        <v>KITCHENS, DARNELL-POST</v>
      </c>
      <c r="K144" s="303" t="str" cm="1">
        <f t="array" ref="K144">IF(RIGHT(_xlfn._xlws.FILTER(Sheet1!$O$2:$O$333,(Sheet1!$O$2:$O$333=$E144)+(Sheet1!$O$2:$O$333=$E145)+(Sheet1!$O$2:$O$333=$E146),""),4)="POST",CONCATENATE(_xlfn._xlws.FILTER(Sheet1!$A$2:$A$333,(Sheet1!$O$2:$O$333=$E144)+(Sheet1!$O$2:$O$333=$E145)+(Sheet1!$O$2:$O$333=$E146),""),"-","POST"),_xlfn._xlws.FILTER(Sheet1!$A$2:$A$333,(Sheet1!$O$2:$O$333=$E144)+(Sheet1!$O$2:$O$333=$E145)+(Sheet1!$O$2:$O$333=$E146),"UNFILLED"))</f>
        <v>WOODS, RAMONNE</v>
      </c>
      <c r="L144" s="303" t="str" cm="1">
        <f t="array" ref="L144">IF(RIGHT(_xlfn._xlws.FILTER(Sheet1!$Q$2:$Q$333,(Sheet1!$Q$2:$Q$333=$E144)+(Sheet1!$Q$2:$Q$333=$E145)+(Sheet1!$Q$2:$Q$333=$E146),""),4)="POST",CONCATENATE(_xlfn._xlws.FILTER(Sheet1!$A$2:$A$333,(Sheet1!$Q$2:$Q$333=$E144)+(Sheet1!$Q$2:$Q$333=$E145)+(Sheet1!$Q$2:$Q$333=$E146),""),"-","POST"),_xlfn._xlws.FILTER(Sheet1!$A$2:$A$333,(Sheet1!$Q$2:$Q$333=$E144)+(Sheet1!$Q$2:$Q$333=$E145)+(Sheet1!$Q$2:$Q$333=$E146),"UNFILLED"))</f>
        <v>WOODS, RAMONNE</v>
      </c>
      <c r="M144" s="303" t="str" cm="1">
        <f t="array" ref="M144">IF(RIGHT(_xlfn._xlws.FILTER(Sheet1!$S$2:$S$333,(Sheet1!$S$2:$S$333=$E144)+(Sheet1!$S$2:$S$333=$E145)+(Sheet1!$S$2:$S$333=$E146),""),4)="POST",CONCATENATE(_xlfn._xlws.FILTER(Sheet1!$A$2:$A$333,(Sheet1!$S$2:$S$333=$E144)+(Sheet1!$S$2:$S$333=$E145)+(Sheet1!$S$2:$S$333=$E146),""),"-","POST"),_xlfn._xlws.FILTER(Sheet1!$A$2:$A$333,(Sheet1!$S$2:$S$333=$E144)+(Sheet1!$S$2:$S$333=$E145)+(Sheet1!$S$2:$S$333=$E146),"UNFILLED"))</f>
        <v>WILLIAMS, JALEESA</v>
      </c>
    </row>
    <row r="145" spans="3:13" ht="17.25" customHeight="1" x14ac:dyDescent="0.4">
      <c r="C145" s="472"/>
      <c r="D145" s="473"/>
      <c r="E145" s="168" t="str">
        <f>_xlfn.CONCAT(E144,"-","POST")</f>
        <v>DV-2-POST</v>
      </c>
      <c r="F145" s="466"/>
      <c r="G145" s="304"/>
      <c r="H145" s="304"/>
      <c r="I145" s="304"/>
      <c r="J145" s="304" t="str">
        <v>WOODS, RAMONNE</v>
      </c>
      <c r="K145" s="304"/>
      <c r="L145" s="304"/>
      <c r="M145" s="304"/>
    </row>
    <row r="146" spans="3:13" ht="17.25" customHeight="1" x14ac:dyDescent="0.4">
      <c r="C146" s="472"/>
      <c r="D146" s="473"/>
      <c r="E146" s="168" t="str">
        <f>_xlfn.CONCAT(E144,"-","PILOT")</f>
        <v>DV-2-PILOT</v>
      </c>
      <c r="F146" s="467"/>
      <c r="G146" s="305"/>
      <c r="H146" s="305"/>
      <c r="I146" s="305"/>
      <c r="J146" s="305"/>
      <c r="K146" s="305"/>
      <c r="L146" s="305"/>
      <c r="M146" s="305"/>
    </row>
    <row r="147" spans="3:13" ht="17.25" customHeight="1" x14ac:dyDescent="0.45">
      <c r="C147" s="472"/>
      <c r="D147" s="473"/>
      <c r="E147" s="175" t="s">
        <v>385</v>
      </c>
      <c r="F147" s="465" t="s">
        <v>1078</v>
      </c>
      <c r="G147" s="303" t="str" cm="1">
        <f t="array" ref="G147">IF(RIGHT(_xlfn._xlws.FILTER(Sheet1!$G$2:$G$333,(Sheet1!$G$2:$G$333=$E147)+(Sheet1!$G$2:$G$333=$E148)+(Sheet1!$G$2:$G$333=$E149),""),4)="POST",CONCATENATE(_xlfn._xlws.FILTER(Sheet1!$A$2:$A$333,(Sheet1!$G$2:$G$333=$E147)+(Sheet1!$G$2:$G$333=$E148)+(Sheet1!$G$2:$G$333=$E149),""),"-","POST"),_xlfn._xlws.FILTER(Sheet1!$A$2:$A$333,(Sheet1!$G$2:$G$333=$E147)+(Sheet1!$G$2:$G$333=$E148)+(Sheet1!$G$2:$G$333=$E149),"UNFILLED"))</f>
        <v>COOPER, JAMES</v>
      </c>
      <c r="H147" s="303" t="str" cm="1">
        <f t="array" ref="H147">IF(RIGHT(_xlfn._xlws.FILTER(Sheet1!$I$2:$I$333,(Sheet1!$I$2:$I$333=$E147)+(Sheet1!$I$2:$I$333=$E148)+(Sheet1!$I$2:$I$333=$E149),""),4)="POST",CONCATENATE(_xlfn._xlws.FILTER(Sheet1!$A$2:$A$333,(Sheet1!$I$2:$I$333=$E147)+(Sheet1!$I$2:$I$333=$E148)+(Sheet1!$I$2:$I$333=$E149),""),"-","POST"),_xlfn._xlws.FILTER(Sheet1!$A$2:$A$333,(Sheet1!$I$2:$I$333=$E147)+(Sheet1!$I$2:$I$333=$E148)+(Sheet1!$I$2:$I$333=$E149),"UNFILLED"))</f>
        <v>COOPER, JAMES</v>
      </c>
      <c r="I147" s="303" t="str" cm="1">
        <f t="array" ref="I147">IF(RIGHT(_xlfn._xlws.FILTER(Sheet1!$K$2:$K$333,(Sheet1!$K$2:$K$333=$E147)+(Sheet1!$K$2:$K$333=$E148)+(Sheet1!$K$2:$K$333=$E149),""),4)="POST",CONCATENATE(_xlfn._xlws.FILTER(Sheet1!$A$2:$A$333,(Sheet1!$K$2:$K$333=$E147)+(Sheet1!$K$2:$K$333=$E148)+(Sheet1!$K$2:$K$333=$E149),""),"-","POST"),_xlfn._xlws.FILTER(Sheet1!$A$2:$A$333,(Sheet1!$K$2:$K$333=$E147)+(Sheet1!$K$2:$K$333=$E148)+(Sheet1!$K$2:$K$333=$E149),"UNFILLED"))</f>
        <v>LITTLES, MARK</v>
      </c>
      <c r="J147" s="303" t="str" cm="1">
        <f t="array" ref="J147">IF(RIGHT(_xlfn._xlws.FILTER(Sheet1!M$2:M$333,(Sheet1!M$2:M$333=$E147)+(Sheet1!M$2:M$333=$E148)+(Sheet1!M$2:M$333=$E149),""),4)="POST",CONCATENATE(_xlfn._xlws.FILTER(Sheet1!$A$2:$A$333,(Sheet1!M$2:M$333=$E147)+(Sheet1!M$2:M$333=$E148)+(Sheet1!M$2:M$333=$E149),""),"-","POST"),_xlfn._xlws.FILTER(Sheet1!$A$2:$A$333,(Sheet1!M$2:M$333=$E147)+(Sheet1!M$2:M$333=$E148)+(Sheet1!M$2:M$333=$E149),"UNFILLED"))</f>
        <v>LITTLES, MARK</v>
      </c>
      <c r="K147" s="303" t="str" cm="1">
        <f t="array" ref="K147">IF(RIGHT(_xlfn._xlws.FILTER(Sheet1!$O$2:$O$333,(Sheet1!$O$2:$O$333=$E147)+(Sheet1!$O$2:$O$333=$E148)+(Sheet1!$O$2:$O$333=$E149),""),4)="POST",CONCATENATE(_xlfn._xlws.FILTER(Sheet1!$A$2:$A$333,(Sheet1!$O$2:$O$333=$E147)+(Sheet1!$O$2:$O$333=$E148)+(Sheet1!$O$2:$O$333=$E149),""),"-","POST"),_xlfn._xlws.FILTER(Sheet1!$A$2:$A$333,(Sheet1!$O$2:$O$333=$E147)+(Sheet1!$O$2:$O$333=$E148)+(Sheet1!$O$2:$O$333=$E149),"UNFILLED"))</f>
        <v>COOPER, JAMES</v>
      </c>
      <c r="L147" s="303" t="str" cm="1">
        <f t="array" ref="L147">IF(RIGHT(_xlfn._xlws.FILTER(Sheet1!$Q$2:$Q$333,(Sheet1!$Q$2:$Q$333=$E147)+(Sheet1!$Q$2:$Q$333=$E148)+(Sheet1!$Q$2:$Q$333=$E149),""),4)="POST",CONCATENATE(_xlfn._xlws.FILTER(Sheet1!$A$2:$A$333,(Sheet1!$Q$2:$Q$333=$E147)+(Sheet1!$Q$2:$Q$333=$E148)+(Sheet1!$Q$2:$Q$333=$E149),""),"-","POST"),_xlfn._xlws.FILTER(Sheet1!$A$2:$A$333,(Sheet1!$Q$2:$Q$333=$E147)+(Sheet1!$Q$2:$Q$333=$E148)+(Sheet1!$Q$2:$Q$333=$E149),"UNFILLED"))</f>
        <v>COOPER, JAMES</v>
      </c>
      <c r="M147" s="303" t="str" cm="1">
        <f t="array" ref="M147">IF(RIGHT(_xlfn._xlws.FILTER(Sheet1!$S$2:$S$333,(Sheet1!$S$2:$S$333=$E147)+(Sheet1!$S$2:$S$333=$E148)+(Sheet1!$S$2:$S$333=$E149),""),4)="POST",CONCATENATE(_xlfn._xlws.FILTER(Sheet1!$A$2:$A$333,(Sheet1!$S$2:$S$333=$E147)+(Sheet1!$S$2:$S$333=$E148)+(Sheet1!$S$2:$S$333=$E149),""),"-","POST"),_xlfn._xlws.FILTER(Sheet1!$A$2:$A$333,(Sheet1!$S$2:$S$333=$E147)+(Sheet1!$S$2:$S$333=$E148)+(Sheet1!$S$2:$S$333=$E149),"UNFILLED"))</f>
        <v>COOPER, JAMES</v>
      </c>
    </row>
    <row r="148" spans="3:13" ht="17.25" customHeight="1" x14ac:dyDescent="0.4">
      <c r="C148" s="472"/>
      <c r="D148" s="473"/>
      <c r="E148" s="168" t="str">
        <f>_xlfn.CONCAT(E147,"-","POST")</f>
        <v>HG-2-POST</v>
      </c>
      <c r="F148" s="466"/>
      <c r="G148" s="304"/>
      <c r="H148" s="304"/>
      <c r="I148" s="304"/>
      <c r="J148" s="304"/>
      <c r="K148" s="304"/>
      <c r="L148" s="304"/>
      <c r="M148" s="304"/>
    </row>
    <row r="149" spans="3:13" ht="17.25" customHeight="1" thickBot="1" x14ac:dyDescent="0.45">
      <c r="C149" s="472"/>
      <c r="D149" s="473"/>
      <c r="E149" s="168" t="str">
        <f>_xlfn.CONCAT(E147,"-","PILOT")</f>
        <v>HG-2-PILOT</v>
      </c>
      <c r="F149" s="466"/>
      <c r="G149" s="305"/>
      <c r="H149" s="305"/>
      <c r="I149" s="305"/>
      <c r="J149" s="305"/>
      <c r="K149" s="305"/>
      <c r="L149" s="305"/>
      <c r="M149" s="305"/>
    </row>
    <row r="150" spans="3:13" ht="28.5" customHeight="1" thickBot="1" x14ac:dyDescent="0.45">
      <c r="C150" s="306"/>
      <c r="D150" s="307"/>
      <c r="E150" s="308"/>
      <c r="F150" s="313"/>
      <c r="G150" s="314"/>
      <c r="H150" s="314"/>
      <c r="I150" s="314"/>
      <c r="J150" s="314"/>
      <c r="K150" s="314"/>
      <c r="L150" s="314"/>
      <c r="M150" s="315"/>
    </row>
    <row r="151" spans="3:13" ht="11.25" customHeight="1" x14ac:dyDescent="0.4">
      <c r="C151" s="299"/>
      <c r="D151" s="300"/>
      <c r="F151" s="468" t="s">
        <v>1056</v>
      </c>
      <c r="G151" s="401"/>
      <c r="H151" s="401"/>
      <c r="I151" s="401"/>
      <c r="J151" s="401"/>
      <c r="K151" s="401"/>
      <c r="L151" s="401"/>
      <c r="M151" s="402"/>
    </row>
    <row r="152" spans="3:13" ht="11.25" customHeight="1" x14ac:dyDescent="0.4">
      <c r="C152" s="299"/>
      <c r="D152" s="312"/>
      <c r="E152" s="194"/>
      <c r="F152" s="397"/>
      <c r="G152" s="397"/>
      <c r="H152" s="397"/>
      <c r="I152" s="397"/>
      <c r="J152" s="397"/>
      <c r="K152" s="397"/>
      <c r="L152" s="397"/>
      <c r="M152" s="403"/>
    </row>
    <row r="153" spans="3:13" ht="11.25" customHeight="1" thickBot="1" x14ac:dyDescent="0.45">
      <c r="C153" s="299"/>
      <c r="D153" s="300"/>
      <c r="F153" s="404"/>
      <c r="G153" s="404"/>
      <c r="H153" s="404"/>
      <c r="I153" s="404"/>
      <c r="J153" s="404"/>
      <c r="K153" s="404"/>
      <c r="L153" s="404"/>
      <c r="M153" s="405"/>
    </row>
    <row r="154" spans="3:13" ht="18" customHeight="1" x14ac:dyDescent="0.45">
      <c r="C154" s="299"/>
      <c r="D154" s="302"/>
      <c r="F154" s="188"/>
      <c r="G154" s="189" t="str">
        <f t="shared" ref="G154:M154" si="4">TEXT(G155,"dddd")</f>
        <v>Saturday</v>
      </c>
      <c r="H154" s="189" t="str">
        <f t="shared" si="4"/>
        <v>Sunday</v>
      </c>
      <c r="I154" s="189" t="str">
        <f t="shared" si="4"/>
        <v>Monday</v>
      </c>
      <c r="J154" s="189" t="str">
        <f t="shared" si="4"/>
        <v>Tuesday</v>
      </c>
      <c r="K154" s="189" t="str">
        <f t="shared" si="4"/>
        <v>Wednesday</v>
      </c>
      <c r="L154" s="189" t="str">
        <f t="shared" si="4"/>
        <v>Thursday</v>
      </c>
      <c r="M154" s="189" t="str">
        <f t="shared" si="4"/>
        <v>Friday</v>
      </c>
    </row>
    <row r="155" spans="3:13" ht="18" customHeight="1" x14ac:dyDescent="0.4">
      <c r="C155" s="299"/>
      <c r="D155" s="302"/>
      <c r="F155" s="164" t="s">
        <v>66</v>
      </c>
      <c r="G155" s="165">
        <f>+G5</f>
        <v>45969</v>
      </c>
      <c r="H155" s="165">
        <f t="shared" ref="H155:M155" si="5">+G155+1</f>
        <v>45970</v>
      </c>
      <c r="I155" s="165">
        <f t="shared" si="5"/>
        <v>45971</v>
      </c>
      <c r="J155" s="165">
        <f t="shared" si="5"/>
        <v>45972</v>
      </c>
      <c r="K155" s="165">
        <f t="shared" si="5"/>
        <v>45973</v>
      </c>
      <c r="L155" s="165">
        <f t="shared" si="5"/>
        <v>45974</v>
      </c>
      <c r="M155" s="165">
        <f t="shared" si="5"/>
        <v>45975</v>
      </c>
    </row>
    <row r="156" spans="3:13" ht="28.5" customHeight="1" x14ac:dyDescent="0.4">
      <c r="C156" s="299"/>
      <c r="D156" s="300"/>
      <c r="F156" s="469" t="s">
        <v>31</v>
      </c>
      <c r="G156" s="470"/>
      <c r="H156" s="470"/>
      <c r="I156" s="470"/>
      <c r="J156" s="470"/>
      <c r="K156" s="470"/>
      <c r="L156" s="470"/>
      <c r="M156" s="471"/>
    </row>
    <row r="157" spans="3:13" ht="17.25" customHeight="1" x14ac:dyDescent="0.4">
      <c r="C157" s="472" t="s">
        <v>142</v>
      </c>
      <c r="D157" s="473"/>
      <c r="E157" s="168" t="s">
        <v>328</v>
      </c>
      <c r="F157" s="465" t="s">
        <v>1057</v>
      </c>
      <c r="G157" s="303" t="str" cm="1">
        <f t="array" ref="G157">IF(RIGHT(_xlfn._xlws.FILTER(Sheet1!$G$2:$G$333,(Sheet1!$G$2:$G$333=$E157)+(Sheet1!$G$2:$G$333=$E158)+(Sheet1!$G$2:$G$333=$E159),""),4)="POST",CONCATENATE(_xlfn._xlws.FILTER(Sheet1!$A$2:$A$333,(Sheet1!$G$2:$G$333=$E157)+(Sheet1!$G$2:$G$333=$E158)+(Sheet1!$G$2:$G$333=$E159),""),"-","POST"),_xlfn._xlws.FILTER(Sheet1!$A$2:$A$333,(Sheet1!$G$2:$G$333=$E157)+(Sheet1!$G$2:$G$333=$E158)+(Sheet1!$G$2:$G$333=$E159),"UNFILLED"))</f>
        <v>DAY, DARRELL</v>
      </c>
      <c r="H157" s="303" t="str" cm="1">
        <f t="array" ref="H157">IF(RIGHT(_xlfn._xlws.FILTER(Sheet1!$I$2:$I$333,(Sheet1!$I$2:$I$333=$E157)+(Sheet1!$I$2:$I$333=$E158)+(Sheet1!$I$2:$I$333=$E159),""),4)="POST",CONCATENATE(_xlfn._xlws.FILTER(Sheet1!$A$2:$A$333,(Sheet1!$I$2:$I$333=$E157)+(Sheet1!$I$2:$I$333=$E158)+(Sheet1!$I$2:$I$333=$E159),""),"-","POST"),_xlfn._xlws.FILTER(Sheet1!$A$2:$A$333,(Sheet1!$I$2:$I$333=$E157)+(Sheet1!$I$2:$I$333=$E158)+(Sheet1!$I$2:$I$333=$E159),"UNFILLED"))</f>
        <v>DAY, DARRELL</v>
      </c>
      <c r="I157" s="303" t="str" cm="1">
        <f t="array" ref="I157">IF(RIGHT(_xlfn._xlws.FILTER(Sheet1!$K$2:$K$333,(Sheet1!$K$2:$K$333=$E157)+(Sheet1!$K$2:$K$333=$E158)+(Sheet1!$K$2:$K$333=$E159),""),4)="POST",CONCATENATE(_xlfn._xlws.FILTER(Sheet1!$A$2:$A$333,(Sheet1!$K$2:$K$333=$E157)+(Sheet1!$K$2:$K$333=$E158)+(Sheet1!$K$2:$K$333=$E159),""),"-","POST"),_xlfn._xlws.FILTER(Sheet1!$A$2:$A$333,(Sheet1!$K$2:$K$333=$E157)+(Sheet1!$K$2:$K$333=$E158)+(Sheet1!$K$2:$K$333=$E159),"UNFILLED"))</f>
        <v>DAY, DARRELL</v>
      </c>
      <c r="J157" s="303" t="str" cm="1">
        <f t="array" ref="J157">IF(RIGHT(_xlfn._xlws.FILTER(Sheet1!M$2:M$333,(Sheet1!M$2:M$333=$E157)+(Sheet1!M$2:M$333=$E158)+(Sheet1!M$2:M$333=$E159),""),4)="POST",CONCATENATE(_xlfn._xlws.FILTER(Sheet1!$A$2:$A$333,(Sheet1!M$2:M$333=$E157)+(Sheet1!M$2:M$333=$E158)+(Sheet1!M$2:M$333=$E159),""),"-","POST"),_xlfn._xlws.FILTER(Sheet1!$A$2:$A$333,(Sheet1!M$2:M$333=$E157)+(Sheet1!M$2:M$333=$E158)+(Sheet1!M$2:M$333=$E159),"UNFILLED"))</f>
        <v>DAY, DARRELL</v>
      </c>
      <c r="K157" s="303" t="str" cm="1">
        <f t="array" ref="K157">IF(RIGHT(_xlfn._xlws.FILTER(Sheet1!$O$2:$O$333,(Sheet1!$O$2:$O$333=$E157)+(Sheet1!$O$2:$O$333=$E158)+(Sheet1!$O$2:$O$333=$E159),""),4)="POST",CONCATENATE(_xlfn._xlws.FILTER(Sheet1!$A$2:$A$333,(Sheet1!$O$2:$O$333=$E157)+(Sheet1!$O$2:$O$333=$E158)+(Sheet1!$O$2:$O$333=$E159),""),"-","POST"),_xlfn._xlws.FILTER(Sheet1!$A$2:$A$333,(Sheet1!$O$2:$O$333=$E157)+(Sheet1!$O$2:$O$333=$E158)+(Sheet1!$O$2:$O$333=$E159),"UNFILLED"))</f>
        <v>DAY, DARRELL</v>
      </c>
      <c r="L157" s="303" t="str" cm="1">
        <f t="array" ref="L157">IF(RIGHT(_xlfn._xlws.FILTER(Sheet1!$Q$2:$Q$333,(Sheet1!$Q$2:$Q$333=$E157)+(Sheet1!$Q$2:$Q$333=$E158)+(Sheet1!$Q$2:$Q$333=$E159),""),4)="POST",CONCATENATE(_xlfn._xlws.FILTER(Sheet1!$A$2:$A$333,(Sheet1!$Q$2:$Q$333=$E157)+(Sheet1!$Q$2:$Q$333=$E158)+(Sheet1!$Q$2:$Q$333=$E159),""),"-","POST"),_xlfn._xlws.FILTER(Sheet1!$A$2:$A$333,(Sheet1!$Q$2:$Q$333=$E157)+(Sheet1!$Q$2:$Q$333=$E158)+(Sheet1!$Q$2:$Q$333=$E159),"UNFILLED"))</f>
        <v>DAY, DARRELL</v>
      </c>
      <c r="M157" s="303" t="str" cm="1">
        <f t="array" ref="M157">IF(RIGHT(_xlfn._xlws.FILTER(Sheet1!$S$2:$S$333,(Sheet1!$S$2:$S$333=$E157)+(Sheet1!$S$2:$S$333=$E158)+(Sheet1!$S$2:$S$333=$E159),""),4)="POST",CONCATENATE(_xlfn._xlws.FILTER(Sheet1!$A$2:$A$333,(Sheet1!$S$2:$S$333=$E157)+(Sheet1!$S$2:$S$333=$E158)+(Sheet1!$S$2:$S$333=$E159),""),"-","POST"),_xlfn._xlws.FILTER(Sheet1!$A$2:$A$333,(Sheet1!$S$2:$S$333=$E157)+(Sheet1!$S$2:$S$333=$E158)+(Sheet1!$S$2:$S$333=$E159),"UNFILLED"))</f>
        <v>JOHNSON -SAMMONS, ASHLYN</v>
      </c>
    </row>
    <row r="158" spans="3:13" ht="17.25" customHeight="1" x14ac:dyDescent="0.4">
      <c r="C158" s="472"/>
      <c r="D158" s="473"/>
      <c r="E158" s="168" t="str">
        <f>_xlfn.CONCAT(E157,"-","POST")</f>
        <v>NE-3-POST</v>
      </c>
      <c r="F158" s="466"/>
      <c r="G158" s="304"/>
      <c r="H158" s="304"/>
      <c r="I158" s="304"/>
      <c r="J158" s="304"/>
      <c r="K158" s="304"/>
      <c r="L158" s="304"/>
      <c r="M158" s="304"/>
    </row>
    <row r="159" spans="3:13" ht="17.25" customHeight="1" x14ac:dyDescent="0.4">
      <c r="C159" s="472"/>
      <c r="D159" s="473"/>
      <c r="E159" s="168" t="str">
        <f>_xlfn.CONCAT(E157,"-","PILOT")</f>
        <v>NE-3-PILOT</v>
      </c>
      <c r="F159" s="467"/>
      <c r="G159" s="305"/>
      <c r="H159" s="305"/>
      <c r="I159" s="305"/>
      <c r="J159" s="305"/>
      <c r="K159" s="305"/>
      <c r="L159" s="305"/>
      <c r="M159" s="305"/>
    </row>
    <row r="160" spans="3:13" ht="17.25" customHeight="1" x14ac:dyDescent="0.4">
      <c r="C160" s="472"/>
      <c r="D160" s="473"/>
      <c r="E160" s="168" t="s">
        <v>634</v>
      </c>
      <c r="F160" s="465" t="s">
        <v>1058</v>
      </c>
      <c r="G160" s="303" t="str" cm="1">
        <f t="array" ref="G160">IF(RIGHT(_xlfn._xlws.FILTER(Sheet1!$G$2:$G$333,(Sheet1!$G$2:$G$333=$E160)+(Sheet1!$G$2:$G$333=$E161)+(Sheet1!$G$2:$G$333=$E162),""),4)="POST",CONCATENATE(_xlfn._xlws.FILTER(Sheet1!$A$2:$A$333,(Sheet1!$G$2:$G$333=$E160)+(Sheet1!$G$2:$G$333=$E161)+(Sheet1!$G$2:$G$333=$E162),""),"-","POST"),_xlfn._xlws.FILTER(Sheet1!$A$2:$A$333,(Sheet1!$G$2:$G$333=$E160)+(Sheet1!$G$2:$G$333=$E161)+(Sheet1!$G$2:$G$333=$E162),"UNFILLED"))</f>
        <v>IBN RABAH, BILAL</v>
      </c>
      <c r="H160" s="303" t="str" cm="1">
        <f t="array" ref="H160:H161">IF(RIGHT(_xlfn._xlws.FILTER(Sheet1!$I$2:$I$333,(Sheet1!$I$2:$I$333=$E160)+(Sheet1!$I$2:$I$333=$E161)+(Sheet1!$I$2:$I$333=$E162),""),4)="POST",CONCATENATE(_xlfn._xlws.FILTER(Sheet1!$A$2:$A$333,(Sheet1!$I$2:$I$333=$E160)+(Sheet1!$I$2:$I$333=$E161)+(Sheet1!$I$2:$I$333=$E162),""),"-","POST"),_xlfn._xlws.FILTER(Sheet1!$A$2:$A$333,(Sheet1!$I$2:$I$333=$E160)+(Sheet1!$I$2:$I$333=$E161)+(Sheet1!$I$2:$I$333=$E162),"UNFILLED"))</f>
        <v>GOSS, PHOENIX-POST</v>
      </c>
      <c r="I160" s="303" t="str" cm="1">
        <f t="array" ref="I160">IF(RIGHT(_xlfn._xlws.FILTER(Sheet1!$K$2:$K$333,(Sheet1!$K$2:$K$333=$E160)+(Sheet1!$K$2:$K$333=$E161)+(Sheet1!$K$2:$K$333=$E162),""),4)="POST",CONCATENATE(_xlfn._xlws.FILTER(Sheet1!$A$2:$A$333,(Sheet1!$K$2:$K$333=$E160)+(Sheet1!$K$2:$K$333=$E161)+(Sheet1!$K$2:$K$333=$E162),""),"-","POST"),_xlfn._xlws.FILTER(Sheet1!$A$2:$A$333,(Sheet1!$K$2:$K$333=$E160)+(Sheet1!$K$2:$K$333=$E161)+(Sheet1!$K$2:$K$333=$E162),"UNFILLED"))</f>
        <v>MAPHENDUKA, DEAN</v>
      </c>
      <c r="J160" s="303" t="str" cm="1">
        <f t="array" ref="J160">IF(RIGHT(_xlfn._xlws.FILTER(Sheet1!M$2:M$333,(Sheet1!M$2:M$333=$E160)+(Sheet1!M$2:M$333=$E161)+(Sheet1!M$2:M$333=$E162),""),4)="POST",CONCATENATE(_xlfn._xlws.FILTER(Sheet1!$A$2:$A$333,(Sheet1!M$2:M$333=$E160)+(Sheet1!M$2:M$333=$E161)+(Sheet1!M$2:M$333=$E162),""),"-","POST"),_xlfn._xlws.FILTER(Sheet1!$A$2:$A$333,(Sheet1!M$2:M$333=$E160)+(Sheet1!M$2:M$333=$E161)+(Sheet1!M$2:M$333=$E162),"UNFILLED"))</f>
        <v>MAPHENDUKA, DEAN</v>
      </c>
      <c r="K160" s="303" t="str" cm="1">
        <f t="array" ref="K160">IF(RIGHT(_xlfn._xlws.FILTER(Sheet1!$O$2:$O$333,(Sheet1!$O$2:$O$333=$E160)+(Sheet1!$O$2:$O$333=$E161)+(Sheet1!$O$2:$O$333=$E162),""),4)="POST",CONCATENATE(_xlfn._xlws.FILTER(Sheet1!$A$2:$A$333,(Sheet1!$O$2:$O$333=$E160)+(Sheet1!$O$2:$O$333=$E161)+(Sheet1!$O$2:$O$333=$E162),""),"-","POST"),_xlfn._xlws.FILTER(Sheet1!$A$2:$A$333,(Sheet1!$O$2:$O$333=$E160)+(Sheet1!$O$2:$O$333=$E161)+(Sheet1!$O$2:$O$333=$E162),"UNFILLED"))</f>
        <v>MAPHENDUKA, DEAN</v>
      </c>
      <c r="L160" s="303" t="str" cm="1">
        <f t="array" ref="L160">IF(RIGHT(_xlfn._xlws.FILTER(Sheet1!$Q$2:$Q$333,(Sheet1!$Q$2:$Q$333=$E160)+(Sheet1!$Q$2:$Q$333=$E161)+(Sheet1!$Q$2:$Q$333=$E162),""),4)="POST",CONCATENATE(_xlfn._xlws.FILTER(Sheet1!$A$2:$A$333,(Sheet1!$Q$2:$Q$333=$E160)+(Sheet1!$Q$2:$Q$333=$E161)+(Sheet1!$Q$2:$Q$333=$E162),""),"-","POST"),_xlfn._xlws.FILTER(Sheet1!$A$2:$A$333,(Sheet1!$Q$2:$Q$333=$E160)+(Sheet1!$Q$2:$Q$333=$E161)+(Sheet1!$Q$2:$Q$333=$E162),"UNFILLED"))</f>
        <v>MAPHENDUKA, DEAN</v>
      </c>
      <c r="M160" s="303" t="str" cm="1">
        <f t="array" ref="M160">IF(RIGHT(_xlfn._xlws.FILTER(Sheet1!$S$2:$S$333,(Sheet1!$S$2:$S$333=$E160)+(Sheet1!$S$2:$S$333=$E161)+(Sheet1!$S$2:$S$333=$E162),""),4)="POST",CONCATENATE(_xlfn._xlws.FILTER(Sheet1!$A$2:$A$333,(Sheet1!$S$2:$S$333=$E160)+(Sheet1!$S$2:$S$333=$E161)+(Sheet1!$S$2:$S$333=$E162),""),"-","POST"),_xlfn._xlws.FILTER(Sheet1!$A$2:$A$333,(Sheet1!$S$2:$S$333=$E160)+(Sheet1!$S$2:$S$333=$E161)+(Sheet1!$S$2:$S$333=$E162),"UNFILLED"))</f>
        <v>WILLIAMS, JASMINE</v>
      </c>
    </row>
    <row r="161" spans="3:13" ht="17.25" customHeight="1" x14ac:dyDescent="0.4">
      <c r="C161" s="472"/>
      <c r="D161" s="473"/>
      <c r="E161" s="168" t="str">
        <f>_xlfn.CONCAT(E160,"-","POST")</f>
        <v>SE-3-POST</v>
      </c>
      <c r="F161" s="466"/>
      <c r="G161" s="304"/>
      <c r="H161" s="304" t="str">
        <v>MAPHENDUKA, DEAN</v>
      </c>
      <c r="I161" s="304"/>
      <c r="J161" s="304"/>
      <c r="K161" s="304"/>
      <c r="L161" s="304"/>
      <c r="M161" s="304"/>
    </row>
    <row r="162" spans="3:13" ht="17.25" customHeight="1" x14ac:dyDescent="0.4">
      <c r="C162" s="472"/>
      <c r="D162" s="473"/>
      <c r="E162" s="168" t="str">
        <f>_xlfn.CONCAT(E160,"-","PILOT")</f>
        <v>SE-3-PILOT</v>
      </c>
      <c r="F162" s="467"/>
      <c r="G162" s="305"/>
      <c r="H162" s="305"/>
      <c r="I162" s="305"/>
      <c r="J162" s="305"/>
      <c r="K162" s="305"/>
      <c r="L162" s="305"/>
      <c r="M162" s="305"/>
    </row>
    <row r="163" spans="3:13" ht="17.25" customHeight="1" x14ac:dyDescent="0.4">
      <c r="C163" s="472"/>
      <c r="D163" s="473"/>
      <c r="E163" s="168" t="s">
        <v>445</v>
      </c>
      <c r="F163" s="465" t="s">
        <v>1059</v>
      </c>
      <c r="G163" s="303" t="str" cm="1">
        <f t="array" ref="G163">IF(RIGHT(_xlfn._xlws.FILTER(Sheet1!$G$2:$G$333,(Sheet1!$G$2:$G$333=$E163)+(Sheet1!$G$2:$G$333=$E164)+(Sheet1!$G$2:$G$333=$E165),""),4)="POST",CONCATENATE(_xlfn._xlws.FILTER(Sheet1!$A$2:$A$333,(Sheet1!$G$2:$G$333=$E163)+(Sheet1!$G$2:$G$333=$E164)+(Sheet1!$G$2:$G$333=$E165),""),"-","POST"),_xlfn._xlws.FILTER(Sheet1!$A$2:$A$333,(Sheet1!$G$2:$G$333=$E163)+(Sheet1!$G$2:$G$333=$E164)+(Sheet1!$G$2:$G$333=$E165),"UNFILLED"))</f>
        <v>PALMER, SANFORD</v>
      </c>
      <c r="H163" s="303" t="str" cm="1">
        <f t="array" ref="H163">IF(RIGHT(_xlfn._xlws.FILTER(Sheet1!$I$2:$I$333,(Sheet1!$I$2:$I$333=$E163)+(Sheet1!$I$2:$I$333=$E164)+(Sheet1!$I$2:$I$333=$E165),""),4)="POST",CONCATENATE(_xlfn._xlws.FILTER(Sheet1!$A$2:$A$333,(Sheet1!$I$2:$I$333=$E163)+(Sheet1!$I$2:$I$333=$E164)+(Sheet1!$I$2:$I$333=$E165),""),"-","POST"),_xlfn._xlws.FILTER(Sheet1!$A$2:$A$333,(Sheet1!$I$2:$I$333=$E163)+(Sheet1!$I$2:$I$333=$E164)+(Sheet1!$I$2:$I$333=$E165),"UNFILLED"))</f>
        <v>DONNOLO, JOE</v>
      </c>
      <c r="I163" s="303" t="str" cm="1">
        <f t="array" ref="I163">IF(RIGHT(_xlfn._xlws.FILTER(Sheet1!$K$2:$K$333,(Sheet1!$K$2:$K$333=$E163)+(Sheet1!$K$2:$K$333=$E164)+(Sheet1!$K$2:$K$333=$E165),""),4)="POST",CONCATENATE(_xlfn._xlws.FILTER(Sheet1!$A$2:$A$333,(Sheet1!$K$2:$K$333=$E163)+(Sheet1!$K$2:$K$333=$E164)+(Sheet1!$K$2:$K$333=$E165),""),"-","POST"),_xlfn._xlws.FILTER(Sheet1!$A$2:$A$333,(Sheet1!$K$2:$K$333=$E163)+(Sheet1!$K$2:$K$333=$E164)+(Sheet1!$K$2:$K$333=$E165),"UNFILLED"))</f>
        <v>DONNOLO, JOE</v>
      </c>
      <c r="J163" s="303" t="str" cm="1">
        <f t="array" ref="J163">IF(RIGHT(_xlfn._xlws.FILTER(Sheet1!M$2:M$333,(Sheet1!M$2:M$333=$E163)+(Sheet1!M$2:M$333=$E164)+(Sheet1!M$2:M$333=$E165),""),4)="POST",CONCATENATE(_xlfn._xlws.FILTER(Sheet1!$A$2:$A$333,(Sheet1!M$2:M$333=$E163)+(Sheet1!M$2:M$333=$E164)+(Sheet1!M$2:M$333=$E165),""),"-","POST"),_xlfn._xlws.FILTER(Sheet1!$A$2:$A$333,(Sheet1!M$2:M$333=$E163)+(Sheet1!M$2:M$333=$E164)+(Sheet1!M$2:M$333=$E165),"UNFILLED"))</f>
        <v>JOHNSON -SAMMONS, ASHLYN</v>
      </c>
      <c r="K163" s="303" t="str" cm="1">
        <f t="array" ref="K163">IF(RIGHT(_xlfn._xlws.FILTER(Sheet1!$O$2:$O$333,(Sheet1!$O$2:$O$333=$E163)+(Sheet1!$O$2:$O$333=$E164)+(Sheet1!$O$2:$O$333=$E165),""),4)="POST",CONCATENATE(_xlfn._xlws.FILTER(Sheet1!$A$2:$A$333,(Sheet1!$O$2:$O$333=$E163)+(Sheet1!$O$2:$O$333=$E164)+(Sheet1!$O$2:$O$333=$E165),""),"-","POST"),_xlfn._xlws.FILTER(Sheet1!$A$2:$A$333,(Sheet1!$O$2:$O$333=$E163)+(Sheet1!$O$2:$O$333=$E164)+(Sheet1!$O$2:$O$333=$E165),"UNFILLED"))</f>
        <v>WRIGHT, SHAMARA</v>
      </c>
      <c r="L163" s="303" t="str" cm="1">
        <f t="array" ref="L163">IF(RIGHT(_xlfn._xlws.FILTER(Sheet1!$Q$2:$Q$333,(Sheet1!$Q$2:$Q$333=$E163)+(Sheet1!$Q$2:$Q$333=$E164)+(Sheet1!$Q$2:$Q$333=$E165),""),4)="POST",CONCATENATE(_xlfn._xlws.FILTER(Sheet1!$A$2:$A$333,(Sheet1!$Q$2:$Q$333=$E163)+(Sheet1!$Q$2:$Q$333=$E164)+(Sheet1!$Q$2:$Q$333=$E165),""),"-","POST"),_xlfn._xlws.FILTER(Sheet1!$A$2:$A$333,(Sheet1!$Q$2:$Q$333=$E163)+(Sheet1!$Q$2:$Q$333=$E164)+(Sheet1!$Q$2:$Q$333=$E165),"UNFILLED"))</f>
        <v>GOSS, PHOENIX</v>
      </c>
      <c r="M163" s="303" t="str" cm="1">
        <f t="array" ref="M163">IF(RIGHT(_xlfn._xlws.FILTER(Sheet1!$S$2:$S$333,(Sheet1!$S$2:$S$333=$E163)+(Sheet1!$S$2:$S$333=$E164)+(Sheet1!$S$2:$S$333=$E165),""),4)="POST",CONCATENATE(_xlfn._xlws.FILTER(Sheet1!$A$2:$A$333,(Sheet1!$S$2:$S$333=$E163)+(Sheet1!$S$2:$S$333=$E164)+(Sheet1!$S$2:$S$333=$E165),""),"-","POST"),_xlfn._xlws.FILTER(Sheet1!$A$2:$A$333,(Sheet1!$S$2:$S$333=$E163)+(Sheet1!$S$2:$S$333=$E164)+(Sheet1!$S$2:$S$333=$E165),"UNFILLED"))</f>
        <v>GOSS, PHOENIX</v>
      </c>
    </row>
    <row r="164" spans="3:13" ht="17.25" customHeight="1" x14ac:dyDescent="0.4">
      <c r="C164" s="472"/>
      <c r="D164" s="473"/>
      <c r="E164" s="168" t="str">
        <f>_xlfn.CONCAT(E163,"-","POST")</f>
        <v>IN-3-POST</v>
      </c>
      <c r="F164" s="466"/>
      <c r="G164" s="304"/>
      <c r="H164" s="304"/>
      <c r="I164" s="304"/>
      <c r="J164" s="304"/>
      <c r="K164" s="304"/>
      <c r="L164" s="304"/>
      <c r="M164" s="304"/>
    </row>
    <row r="165" spans="3:13" ht="17.25" customHeight="1" x14ac:dyDescent="0.4">
      <c r="C165" s="472"/>
      <c r="D165" s="473"/>
      <c r="E165" s="168" t="str">
        <f>_xlfn.CONCAT(E163,"-","PILOT")</f>
        <v>IN-3-PILOT</v>
      </c>
      <c r="F165" s="467"/>
      <c r="G165" s="305"/>
      <c r="H165" s="305"/>
      <c r="I165" s="305"/>
      <c r="J165" s="305"/>
      <c r="K165" s="305"/>
      <c r="L165" s="305"/>
      <c r="M165" s="305"/>
    </row>
    <row r="166" spans="3:13" ht="17.25" customHeight="1" x14ac:dyDescent="0.4">
      <c r="C166" s="472"/>
      <c r="D166" s="473"/>
      <c r="E166" s="168" t="s">
        <v>620</v>
      </c>
      <c r="F166" s="465" t="s">
        <v>1060</v>
      </c>
      <c r="G166" s="303" t="str" cm="1">
        <f t="array" ref="G166">IF(RIGHT(_xlfn._xlws.FILTER(Sheet1!$G$2:$G$333,(Sheet1!$G$2:$G$333=$E166)+(Sheet1!$G$2:$G$333=$E167)+(Sheet1!$G$2:$G$333=$E168),""),4)="POST",CONCATENATE(_xlfn._xlws.FILTER(Sheet1!$A$2:$A$333,(Sheet1!$G$2:$G$333=$E166)+(Sheet1!$G$2:$G$333=$E167)+(Sheet1!$G$2:$G$333=$E168),""),"-","POST"),_xlfn._xlws.FILTER(Sheet1!$A$2:$A$333,(Sheet1!$G$2:$G$333=$E166)+(Sheet1!$G$2:$G$333=$E167)+(Sheet1!$G$2:$G$333=$E168),"UNFILLED"))</f>
        <v>MORGAN, CURTIS</v>
      </c>
      <c r="H166" s="303" t="str" cm="1">
        <f t="array" ref="H166">IF(RIGHT(_xlfn._xlws.FILTER(Sheet1!$I$2:$I$333,(Sheet1!$I$2:$I$333=$E166)+(Sheet1!$I$2:$I$333=$E167)+(Sheet1!$I$2:$I$333=$E168),""),4)="POST",CONCATENATE(_xlfn._xlws.FILTER(Sheet1!$A$2:$A$333,(Sheet1!$I$2:$I$333=$E166)+(Sheet1!$I$2:$I$333=$E167)+(Sheet1!$I$2:$I$333=$E168),""),"-","POST"),_xlfn._xlws.FILTER(Sheet1!$A$2:$A$333,(Sheet1!$I$2:$I$333=$E166)+(Sheet1!$I$2:$I$333=$E167)+(Sheet1!$I$2:$I$333=$E168),"UNFILLED"))</f>
        <v>MORGAN, CURTIS</v>
      </c>
      <c r="I166" s="303" t="str" cm="1">
        <f t="array" ref="I166">IF(RIGHT(_xlfn._xlws.FILTER(Sheet1!$K$2:$K$333,(Sheet1!$K$2:$K$333=$E166)+(Sheet1!$K$2:$K$333=$E167)+(Sheet1!$K$2:$K$333=$E168),""),4)="POST",CONCATENATE(_xlfn._xlws.FILTER(Sheet1!$A$2:$A$333,(Sheet1!$K$2:$K$333=$E166)+(Sheet1!$K$2:$K$333=$E167)+(Sheet1!$K$2:$K$333=$E168),""),"-","POST"),_xlfn._xlws.FILTER(Sheet1!$A$2:$A$333,(Sheet1!$K$2:$K$333=$E166)+(Sheet1!$K$2:$K$333=$E167)+(Sheet1!$K$2:$K$333=$E168),"UNFILLED"))</f>
        <v>MORGAN, CURTIS</v>
      </c>
      <c r="J166" s="303" t="str" cm="1">
        <f t="array" ref="J166">IF(RIGHT(_xlfn._xlws.FILTER(Sheet1!M$2:M$333,(Sheet1!M$2:M$333=$E166)+(Sheet1!M$2:M$333=$E167)+(Sheet1!M$2:M$333=$E168),""),4)="POST",CONCATENATE(_xlfn._xlws.FILTER(Sheet1!$A$2:$A$333,(Sheet1!M$2:M$333=$E166)+(Sheet1!M$2:M$333=$E167)+(Sheet1!M$2:M$333=$E168),""),"-","POST"),_xlfn._xlws.FILTER(Sheet1!$A$2:$A$333,(Sheet1!M$2:M$333=$E166)+(Sheet1!M$2:M$333=$E167)+(Sheet1!M$2:M$333=$E168),"UNFILLED"))</f>
        <v>MORGAN, CURTIS</v>
      </c>
      <c r="K166" s="303" t="str" cm="1">
        <f t="array" ref="K166">IF(RIGHT(_xlfn._xlws.FILTER(Sheet1!$O$2:$O$333,(Sheet1!$O$2:$O$333=$E166)+(Sheet1!$O$2:$O$333=$E167)+(Sheet1!$O$2:$O$333=$E168),""),4)="POST",CONCATENATE(_xlfn._xlws.FILTER(Sheet1!$A$2:$A$333,(Sheet1!$O$2:$O$333=$E166)+(Sheet1!$O$2:$O$333=$E167)+(Sheet1!$O$2:$O$333=$E168),""),"-","POST"),_xlfn._xlws.FILTER(Sheet1!$A$2:$A$333,(Sheet1!$O$2:$O$333=$E166)+(Sheet1!$O$2:$O$333=$E167)+(Sheet1!$O$2:$O$333=$E168),"UNFILLED"))</f>
        <v>HOBBS, DESIREE</v>
      </c>
      <c r="L166" s="303" t="str" cm="1">
        <f t="array" ref="L166">IF(RIGHT(_xlfn._xlws.FILTER(Sheet1!$Q$2:$Q$333,(Sheet1!$Q$2:$Q$333=$E166)+(Sheet1!$Q$2:$Q$333=$E167)+(Sheet1!$Q$2:$Q$333=$E168),""),4)="POST",CONCATENATE(_xlfn._xlws.FILTER(Sheet1!$A$2:$A$333,(Sheet1!$Q$2:$Q$333=$E166)+(Sheet1!$Q$2:$Q$333=$E167)+(Sheet1!$Q$2:$Q$333=$E168),""),"-","POST"),_xlfn._xlws.FILTER(Sheet1!$A$2:$A$333,(Sheet1!$Q$2:$Q$333=$E166)+(Sheet1!$Q$2:$Q$333=$E167)+(Sheet1!$Q$2:$Q$333=$E168),"UNFILLED"))</f>
        <v>JOHNSON -SAMMONS, ASHLYN</v>
      </c>
      <c r="M166" s="303" t="str" cm="1">
        <f t="array" ref="M166">IF(RIGHT(_xlfn._xlws.FILTER(Sheet1!$S$2:$S$333,(Sheet1!$S$2:$S$333=$E166)+(Sheet1!$S$2:$S$333=$E167)+(Sheet1!$S$2:$S$333=$E168),""),4)="POST",CONCATENATE(_xlfn._xlws.FILTER(Sheet1!$A$2:$A$333,(Sheet1!$S$2:$S$333=$E166)+(Sheet1!$S$2:$S$333=$E167)+(Sheet1!$S$2:$S$333=$E168),""),"-","POST"),_xlfn._xlws.FILTER(Sheet1!$A$2:$A$333,(Sheet1!$S$2:$S$333=$E166)+(Sheet1!$S$2:$S$333=$E167)+(Sheet1!$S$2:$S$333=$E168),"UNFILLED"))</f>
        <v>MORGAN, CURTIS</v>
      </c>
    </row>
    <row r="167" spans="3:13" ht="17.25" customHeight="1" x14ac:dyDescent="0.4">
      <c r="C167" s="472"/>
      <c r="D167" s="473"/>
      <c r="E167" s="168" t="str">
        <f>_xlfn.CONCAT(E166,"-","POST")</f>
        <v>GS-3-POST</v>
      </c>
      <c r="F167" s="466"/>
      <c r="G167" s="304"/>
      <c r="H167" s="304"/>
      <c r="I167" s="304"/>
      <c r="J167" s="304"/>
      <c r="K167" s="304"/>
      <c r="L167" s="304"/>
      <c r="M167" s="304"/>
    </row>
    <row r="168" spans="3:13" ht="17.25" customHeight="1" x14ac:dyDescent="0.4">
      <c r="C168" s="472"/>
      <c r="D168" s="473"/>
      <c r="E168" s="168" t="str">
        <f>_xlfn.CONCAT(E166,"-","PILOT")</f>
        <v>GS-3-PILOT</v>
      </c>
      <c r="F168" s="467"/>
      <c r="G168" s="305"/>
      <c r="H168" s="305"/>
      <c r="I168" s="305"/>
      <c r="J168" s="305"/>
      <c r="K168" s="305"/>
      <c r="L168" s="305"/>
      <c r="M168" s="305"/>
    </row>
    <row r="169" spans="3:13" ht="17.25" customHeight="1" x14ac:dyDescent="0.4">
      <c r="C169" s="472"/>
      <c r="D169" s="473"/>
      <c r="E169" s="168" t="s">
        <v>668</v>
      </c>
      <c r="F169" s="465" t="s">
        <v>1061</v>
      </c>
      <c r="G169" s="303" t="str" cm="1">
        <f t="array" ref="G169">IF(RIGHT(_xlfn._xlws.FILTER(Sheet1!$G$2:$G$333,(Sheet1!$G$2:$G$333=$E169)+(Sheet1!$G$2:$G$333=$E170)+(Sheet1!$G$2:$G$333=$E171),""),4)="POST",CONCATENATE(_xlfn._xlws.FILTER(Sheet1!$A$2:$A$333,(Sheet1!$G$2:$G$333=$E169)+(Sheet1!$G$2:$G$333=$E170)+(Sheet1!$G$2:$G$333=$E171),""),"-","POST"),_xlfn._xlws.FILTER(Sheet1!$A$2:$A$333,(Sheet1!$G$2:$G$333=$E169)+(Sheet1!$G$2:$G$333=$E170)+(Sheet1!$G$2:$G$333=$E171),"UNFILLED"))</f>
        <v>SCONIERS, KELVIN</v>
      </c>
      <c r="H169" s="303" t="str" cm="1">
        <f t="array" ref="H169:H170">IF(RIGHT(_xlfn._xlws.FILTER(Sheet1!$I$2:$I$333,(Sheet1!$I$2:$I$333=$E169)+(Sheet1!$I$2:$I$333=$E170)+(Sheet1!$I$2:$I$333=$E171),""),4)="POST",CONCATENATE(_xlfn._xlws.FILTER(Sheet1!$A$2:$A$333,(Sheet1!$I$2:$I$333=$E169)+(Sheet1!$I$2:$I$333=$E170)+(Sheet1!$I$2:$I$333=$E171),""),"-","POST"),_xlfn._xlws.FILTER(Sheet1!$A$2:$A$333,(Sheet1!$I$2:$I$333=$E169)+(Sheet1!$I$2:$I$333=$E170)+(Sheet1!$I$2:$I$333=$E171),"UNFILLED"))</f>
        <v>DILLARD, ROBERT-POST</v>
      </c>
      <c r="I169" s="303" t="str" cm="1">
        <f t="array" ref="I169:I170">IF(RIGHT(_xlfn._xlws.FILTER(Sheet1!$K$2:$K$333,(Sheet1!$K$2:$K$333=$E169)+(Sheet1!$K$2:$K$333=$E170)+(Sheet1!$K$2:$K$333=$E171),""),4)="POST",CONCATENATE(_xlfn._xlws.FILTER(Sheet1!$A$2:$A$333,(Sheet1!$K$2:$K$333=$E169)+(Sheet1!$K$2:$K$333=$E170)+(Sheet1!$K$2:$K$333=$E171),""),"-","POST"),_xlfn._xlws.FILTER(Sheet1!$A$2:$A$333,(Sheet1!$K$2:$K$333=$E169)+(Sheet1!$K$2:$K$333=$E170)+(Sheet1!$K$2:$K$333=$E171),"UNFILLED"))</f>
        <v>DILLARD, ROBERT-POST</v>
      </c>
      <c r="J169" s="303" t="str" cm="1">
        <f t="array" ref="J169:J170">IF(RIGHT(_xlfn._xlws.FILTER(Sheet1!M$2:M$333,(Sheet1!M$2:M$333=$E169)+(Sheet1!M$2:M$333=$E170)+(Sheet1!M$2:M$333=$E171),""),4)="POST",CONCATENATE(_xlfn._xlws.FILTER(Sheet1!$A$2:$A$333,(Sheet1!M$2:M$333=$E169)+(Sheet1!M$2:M$333=$E170)+(Sheet1!M$2:M$333=$E171),""),"-","POST"),_xlfn._xlws.FILTER(Sheet1!$A$2:$A$333,(Sheet1!M$2:M$333=$E169)+(Sheet1!M$2:M$333=$E170)+(Sheet1!M$2:M$333=$E171),"UNFILLED"))</f>
        <v>DILLARD, ROBERT-POST</v>
      </c>
      <c r="K169" s="303" t="str" cm="1">
        <f t="array" ref="K169">IF(RIGHT(_xlfn._xlws.FILTER(Sheet1!$O$2:$O$333,(Sheet1!$O$2:$O$333=$E169)+(Sheet1!$O$2:$O$333=$E170)+(Sheet1!$O$2:$O$333=$E171),""),4)="POST",CONCATENATE(_xlfn._xlws.FILTER(Sheet1!$A$2:$A$333,(Sheet1!$O$2:$O$333=$E169)+(Sheet1!$O$2:$O$333=$E170)+(Sheet1!$O$2:$O$333=$E171),""),"-","POST"),_xlfn._xlws.FILTER(Sheet1!$A$2:$A$333,(Sheet1!$O$2:$O$333=$E169)+(Sheet1!$O$2:$O$333=$E170)+(Sheet1!$O$2:$O$333=$E171),"UNFILLED"))</f>
        <v>JOHNSON -SAMMONS, ASHLYN</v>
      </c>
      <c r="L169" s="303" t="str" cm="1">
        <f t="array" ref="L169:L170">IF(RIGHT(_xlfn._xlws.FILTER(Sheet1!$Q$2:$Q$333,(Sheet1!$Q$2:$Q$333=$E169)+(Sheet1!$Q$2:$Q$333=$E170)+(Sheet1!$Q$2:$Q$333=$E171),""),4)="POST",CONCATENATE(_xlfn._xlws.FILTER(Sheet1!$A$2:$A$333,(Sheet1!$Q$2:$Q$333=$E169)+(Sheet1!$Q$2:$Q$333=$E170)+(Sheet1!$Q$2:$Q$333=$E171),""),"-","POST"),_xlfn._xlws.FILTER(Sheet1!$A$2:$A$333,(Sheet1!$Q$2:$Q$333=$E169)+(Sheet1!$Q$2:$Q$333=$E170)+(Sheet1!$Q$2:$Q$333=$E171),"UNFILLED"))</f>
        <v>DILLARD, ROBERT-POST</v>
      </c>
      <c r="M169" s="303" t="str" cm="1">
        <f t="array" ref="M169:M170">IF(RIGHT(_xlfn._xlws.FILTER(Sheet1!$S$2:$S$333,(Sheet1!$S$2:$S$333=$E169)+(Sheet1!$S$2:$S$333=$E170)+(Sheet1!$S$2:$S$333=$E171),""),4)="POST",CONCATENATE(_xlfn._xlws.FILTER(Sheet1!$A$2:$A$333,(Sheet1!$S$2:$S$333=$E169)+(Sheet1!$S$2:$S$333=$E170)+(Sheet1!$S$2:$S$333=$E171),""),"-","POST"),_xlfn._xlws.FILTER(Sheet1!$A$2:$A$333,(Sheet1!$S$2:$S$333=$E169)+(Sheet1!$S$2:$S$333=$E170)+(Sheet1!$S$2:$S$333=$E171),"UNFILLED"))</f>
        <v>DILLARD, ROBERT-POST</v>
      </c>
    </row>
    <row r="170" spans="3:13" ht="17.25" customHeight="1" x14ac:dyDescent="0.4">
      <c r="C170" s="472"/>
      <c r="D170" s="473"/>
      <c r="E170" s="168" t="str">
        <f>_xlfn.CONCAT(E169,"-","POST")</f>
        <v>SV-3-POST</v>
      </c>
      <c r="F170" s="466"/>
      <c r="G170" s="304"/>
      <c r="H170" s="304" t="str">
        <v>SCONIERS, KELVIN</v>
      </c>
      <c r="I170" s="304" t="str">
        <v>SCONIERS, KELVIN</v>
      </c>
      <c r="J170" s="304" t="str">
        <v>MCGHEE, WAYNE</v>
      </c>
      <c r="K170" s="304"/>
      <c r="L170" s="304" t="str">
        <v>SCONIERS, KELVIN</v>
      </c>
      <c r="M170" s="304" t="str">
        <v>SCONIERS, KELVIN</v>
      </c>
    </row>
    <row r="171" spans="3:13" ht="17.25" customHeight="1" x14ac:dyDescent="0.4">
      <c r="C171" s="472"/>
      <c r="D171" s="473"/>
      <c r="E171" s="168" t="str">
        <f>_xlfn.CONCAT(E169,"-","PILOT")</f>
        <v>SV-3-PILOT</v>
      </c>
      <c r="F171" s="467"/>
      <c r="G171" s="305"/>
      <c r="H171" s="305"/>
      <c r="I171" s="305"/>
      <c r="J171" s="305"/>
      <c r="K171" s="305"/>
      <c r="L171" s="305"/>
      <c r="M171" s="305"/>
    </row>
    <row r="172" spans="3:13" ht="17.25" customHeight="1" x14ac:dyDescent="0.4">
      <c r="C172" s="472"/>
      <c r="D172" s="473"/>
      <c r="E172" s="168" t="s">
        <v>440</v>
      </c>
      <c r="F172" s="465" t="s">
        <v>1062</v>
      </c>
      <c r="G172" s="303" t="str" cm="1">
        <f t="array" ref="G172">IF(RIGHT(_xlfn._xlws.FILTER(Sheet1!$G$2:$G$333,(Sheet1!$G$2:$G$333=$E172)+(Sheet1!$G$2:$G$333=$E173)+(Sheet1!$G$2:$G$333=$E174),""),4)="POST",CONCATENATE(_xlfn._xlws.FILTER(Sheet1!$A$2:$A$333,(Sheet1!$G$2:$G$333=$E172)+(Sheet1!$G$2:$G$333=$E173)+(Sheet1!$G$2:$G$333=$E174),""),"-","POST"),_xlfn._xlws.FILTER(Sheet1!$A$2:$A$333,(Sheet1!$G$2:$G$333=$E172)+(Sheet1!$G$2:$G$333=$E173)+(Sheet1!$G$2:$G$333=$E174),"UNFILLED"))</f>
        <v>PATE, MELINDA</v>
      </c>
      <c r="H172" s="303" t="str" cm="1">
        <f t="array" ref="H172">IF(RIGHT(_xlfn._xlws.FILTER(Sheet1!$I$2:$I$333,(Sheet1!$I$2:$I$333=$E172)+(Sheet1!$I$2:$I$333=$E173)+(Sheet1!$I$2:$I$333=$E174),""),4)="POST",CONCATENATE(_xlfn._xlws.FILTER(Sheet1!$A$2:$A$333,(Sheet1!$I$2:$I$333=$E172)+(Sheet1!$I$2:$I$333=$E173)+(Sheet1!$I$2:$I$333=$E174),""),"-","POST"),_xlfn._xlws.FILTER(Sheet1!$A$2:$A$333,(Sheet1!$I$2:$I$333=$E172)+(Sheet1!$I$2:$I$333=$E173)+(Sheet1!$I$2:$I$333=$E174),"UNFILLED"))</f>
        <v>PATE, MELINDA</v>
      </c>
      <c r="I172" s="303" t="str" cm="1">
        <f t="array" ref="I172">IF(RIGHT(_xlfn._xlws.FILTER(Sheet1!$K$2:$K$333,(Sheet1!$K$2:$K$333=$E172)+(Sheet1!$K$2:$K$333=$E173)+(Sheet1!$K$2:$K$333=$E174),""),4)="POST",CONCATENATE(_xlfn._xlws.FILTER(Sheet1!$A$2:$A$333,(Sheet1!$K$2:$K$333=$E172)+(Sheet1!$K$2:$K$333=$E173)+(Sheet1!$K$2:$K$333=$E174),""),"-","POST"),_xlfn._xlws.FILTER(Sheet1!$A$2:$A$333,(Sheet1!$K$2:$K$333=$E172)+(Sheet1!$K$2:$K$333=$E173)+(Sheet1!$K$2:$K$333=$E174),"UNFILLED"))</f>
        <v>DOBBS, JEREMY</v>
      </c>
      <c r="J172" s="303" t="str" cm="1">
        <f t="array" ref="J172">IF(RIGHT(_xlfn._xlws.FILTER(Sheet1!M$2:M$333,(Sheet1!M$2:M$333=$E172)+(Sheet1!M$2:M$333=$E173)+(Sheet1!M$2:M$333=$E174),""),4)="POST",CONCATENATE(_xlfn._xlws.FILTER(Sheet1!$A$2:$A$333,(Sheet1!M$2:M$333=$E172)+(Sheet1!M$2:M$333=$E173)+(Sheet1!M$2:M$333=$E174),""),"-","POST"),_xlfn._xlws.FILTER(Sheet1!$A$2:$A$333,(Sheet1!M$2:M$333=$E172)+(Sheet1!M$2:M$333=$E173)+(Sheet1!M$2:M$333=$E174),"UNFILLED"))</f>
        <v>DOBBS, JEREMY</v>
      </c>
      <c r="K172" s="303" t="str" cm="1">
        <f t="array" ref="K172">IF(RIGHT(_xlfn._xlws.FILTER(Sheet1!$O$2:$O$333,(Sheet1!$O$2:$O$333=$E172)+(Sheet1!$O$2:$O$333=$E173)+(Sheet1!$O$2:$O$333=$E174),""),4)="POST",CONCATENATE(_xlfn._xlws.FILTER(Sheet1!$A$2:$A$333,(Sheet1!$O$2:$O$333=$E172)+(Sheet1!$O$2:$O$333=$E173)+(Sheet1!$O$2:$O$333=$E174),""),"-","POST"),_xlfn._xlws.FILTER(Sheet1!$A$2:$A$333,(Sheet1!$O$2:$O$333=$E172)+(Sheet1!$O$2:$O$333=$E173)+(Sheet1!$O$2:$O$333=$E174),"UNFILLED"))</f>
        <v>FERGUSON, CRAIG</v>
      </c>
      <c r="L172" s="303" t="str" cm="1">
        <f t="array" ref="L172">IF(RIGHT(_xlfn._xlws.FILTER(Sheet1!$Q$2:$Q$333,(Sheet1!$Q$2:$Q$333=$E172)+(Sheet1!$Q$2:$Q$333=$E173)+(Sheet1!$Q$2:$Q$333=$E174),""),4)="POST",CONCATENATE(_xlfn._xlws.FILTER(Sheet1!$A$2:$A$333,(Sheet1!$Q$2:$Q$333=$E172)+(Sheet1!$Q$2:$Q$333=$E173)+(Sheet1!$Q$2:$Q$333=$E174),""),"-","POST"),_xlfn._xlws.FILTER(Sheet1!$A$2:$A$333,(Sheet1!$Q$2:$Q$333=$E172)+(Sheet1!$Q$2:$Q$333=$E173)+(Sheet1!$Q$2:$Q$333=$E174),"UNFILLED"))</f>
        <v>PATE, MELINDA</v>
      </c>
      <c r="M172" s="303" t="str" cm="1">
        <f t="array" ref="M172">IF(RIGHT(_xlfn._xlws.FILTER(Sheet1!$S$2:$S$333,(Sheet1!$S$2:$S$333=$E172)+(Sheet1!$S$2:$S$333=$E173)+(Sheet1!$S$2:$S$333=$E174),""),4)="POST",CONCATENATE(_xlfn._xlws.FILTER(Sheet1!$A$2:$A$333,(Sheet1!$S$2:$S$333=$E172)+(Sheet1!$S$2:$S$333=$E173)+(Sheet1!$S$2:$S$333=$E174),""),"-","POST"),_xlfn._xlws.FILTER(Sheet1!$A$2:$A$333,(Sheet1!$S$2:$S$333=$E172)+(Sheet1!$S$2:$S$333=$E173)+(Sheet1!$S$2:$S$333=$E174),"UNFILLED"))</f>
        <v>PATE, MELINDA</v>
      </c>
    </row>
    <row r="173" spans="3:13" ht="17.25" customHeight="1" x14ac:dyDescent="0.4">
      <c r="C173" s="472"/>
      <c r="D173" s="473"/>
      <c r="E173" s="168" t="str">
        <f>_xlfn.CONCAT(E172,"-","POST")</f>
        <v>CH-3-POST</v>
      </c>
      <c r="F173" s="466"/>
      <c r="G173" s="304"/>
      <c r="H173" s="304"/>
      <c r="I173" s="304"/>
      <c r="J173" s="304"/>
      <c r="K173" s="304"/>
      <c r="L173" s="304"/>
      <c r="M173" s="304"/>
    </row>
    <row r="174" spans="3:13" ht="17.25" customHeight="1" thickBot="1" x14ac:dyDescent="0.45">
      <c r="C174" s="472"/>
      <c r="D174" s="473"/>
      <c r="E174" s="168" t="str">
        <f>_xlfn.CONCAT(E172,"-","PILOT")</f>
        <v>CH-3-PILOT</v>
      </c>
      <c r="F174" s="467"/>
      <c r="G174" s="305"/>
      <c r="H174" s="305"/>
      <c r="I174" s="305"/>
      <c r="J174" s="305"/>
      <c r="K174" s="305"/>
      <c r="L174" s="305"/>
      <c r="M174" s="305"/>
    </row>
    <row r="175" spans="3:13" ht="28.5" customHeight="1" thickTop="1" x14ac:dyDescent="0.4">
      <c r="C175" s="472"/>
      <c r="D175" s="473"/>
      <c r="E175" s="174"/>
      <c r="F175" s="474" t="s">
        <v>37</v>
      </c>
      <c r="G175" s="475"/>
      <c r="H175" s="475"/>
      <c r="I175" s="475"/>
      <c r="J175" s="475"/>
      <c r="K175" s="475"/>
      <c r="L175" s="475"/>
      <c r="M175" s="476"/>
    </row>
    <row r="176" spans="3:13" ht="17.25" customHeight="1" x14ac:dyDescent="0.4">
      <c r="C176" s="472"/>
      <c r="D176" s="473"/>
      <c r="E176" s="168" t="s">
        <v>524</v>
      </c>
      <c r="F176" s="465" t="s">
        <v>1063</v>
      </c>
      <c r="G176" s="303" t="str" cm="1">
        <f t="array" ref="G176">IF(RIGHT(_xlfn._xlws.FILTER(Sheet1!$G$2:$G$333,(Sheet1!$G$2:$G$333=$E176)+(Sheet1!$G$2:$G$333=$E177)+(Sheet1!$G$2:$G$333=$E178),""),4)="POST",CONCATENATE(_xlfn._xlws.FILTER(Sheet1!$A$2:$A$333,(Sheet1!$G$2:$G$333=$E176)+(Sheet1!$G$2:$G$333=$E177)+(Sheet1!$G$2:$G$333=$E178),""),"-","POST"),_xlfn._xlws.FILTER(Sheet1!$A$2:$A$333,(Sheet1!$G$2:$G$333=$E176)+(Sheet1!$G$2:$G$333=$E177)+(Sheet1!$G$2:$G$333=$E178),"UNFILLED"))</f>
        <v>REBER, MARKUS</v>
      </c>
      <c r="H176" s="303" t="str" cm="1">
        <f t="array" ref="H176">IF(RIGHT(_xlfn._xlws.FILTER(Sheet1!$I$2:$I$333,(Sheet1!$I$2:$I$333=$E176)+(Sheet1!$I$2:$I$333=$E177)+(Sheet1!$I$2:$I$333=$E178),""),4)="POST",CONCATENATE(_xlfn._xlws.FILTER(Sheet1!$A$2:$A$333,(Sheet1!$I$2:$I$333=$E176)+(Sheet1!$I$2:$I$333=$E177)+(Sheet1!$I$2:$I$333=$E178),""),"-","POST"),_xlfn._xlws.FILTER(Sheet1!$A$2:$A$333,(Sheet1!$I$2:$I$333=$E176)+(Sheet1!$I$2:$I$333=$E177)+(Sheet1!$I$2:$I$333=$E178),"UNFILLED"))</f>
        <v>REBER, MARKUS</v>
      </c>
      <c r="I176" s="303" t="str" cm="1">
        <f t="array" ref="I176">IF(RIGHT(_xlfn._xlws.FILTER(Sheet1!$K$2:$K$333,(Sheet1!$K$2:$K$333=$E176)+(Sheet1!$K$2:$K$333=$E177)+(Sheet1!$K$2:$K$333=$E178),""),4)="POST",CONCATENATE(_xlfn._xlws.FILTER(Sheet1!$A$2:$A$333,(Sheet1!$K$2:$K$333=$E176)+(Sheet1!$K$2:$K$333=$E177)+(Sheet1!$K$2:$K$333=$E178),""),"-","POST"),_xlfn._xlws.FILTER(Sheet1!$A$2:$A$333,(Sheet1!$K$2:$K$333=$E176)+(Sheet1!$K$2:$K$333=$E177)+(Sheet1!$K$2:$K$333=$E178),"UNFILLED"))</f>
        <v>REBER, MARKUS</v>
      </c>
      <c r="J176" s="303" t="str" cm="1">
        <f t="array" ref="J176">IF(RIGHT(_xlfn._xlws.FILTER(Sheet1!M$2:M$333,(Sheet1!M$2:M$333=$E176)+(Sheet1!M$2:M$333=$E177)+(Sheet1!M$2:M$333=$E178),""),4)="POST",CONCATENATE(_xlfn._xlws.FILTER(Sheet1!$A$2:$A$333,(Sheet1!M$2:M$333=$E176)+(Sheet1!M$2:M$333=$E177)+(Sheet1!M$2:M$333=$E178),""),"-","POST"),_xlfn._xlws.FILTER(Sheet1!$A$2:$A$333,(Sheet1!M$2:M$333=$E176)+(Sheet1!M$2:M$333=$E177)+(Sheet1!M$2:M$333=$E178),"UNFILLED"))</f>
        <v>LOUIS, EPIPHANY</v>
      </c>
      <c r="K176" s="303" t="str" cm="1">
        <f t="array" ref="K176">IF(RIGHT(_xlfn._xlws.FILTER(Sheet1!$O$2:$O$333,(Sheet1!$O$2:$O$333=$E176)+(Sheet1!$O$2:$O$333=$E177)+(Sheet1!$O$2:$O$333=$E178),""),4)="POST",CONCATENATE(_xlfn._xlws.FILTER(Sheet1!$A$2:$A$333,(Sheet1!$O$2:$O$333=$E176)+(Sheet1!$O$2:$O$333=$E177)+(Sheet1!$O$2:$O$333=$E178),""),"-","POST"),_xlfn._xlws.FILTER(Sheet1!$A$2:$A$333,(Sheet1!$O$2:$O$333=$E176)+(Sheet1!$O$2:$O$333=$E177)+(Sheet1!$O$2:$O$333=$E178),"UNFILLED"))</f>
        <v>FREEMAN, ANGELIQUE</v>
      </c>
      <c r="L176" s="303" t="str" cm="1">
        <f t="array" ref="L176">IF(RIGHT(_xlfn._xlws.FILTER(Sheet1!$Q$2:$Q$333,(Sheet1!$Q$2:$Q$333=$E176)+(Sheet1!$Q$2:$Q$333=$E177)+(Sheet1!$Q$2:$Q$333=$E178),""),4)="POST",CONCATENATE(_xlfn._xlws.FILTER(Sheet1!$A$2:$A$333,(Sheet1!$Q$2:$Q$333=$E176)+(Sheet1!$Q$2:$Q$333=$E177)+(Sheet1!$Q$2:$Q$333=$E178),""),"-","POST"),_xlfn._xlws.FILTER(Sheet1!$A$2:$A$333,(Sheet1!$Q$2:$Q$333=$E176)+(Sheet1!$Q$2:$Q$333=$E177)+(Sheet1!$Q$2:$Q$333=$E178),"UNFILLED"))</f>
        <v>REBER, MARKUS</v>
      </c>
      <c r="M176" s="303" t="str" cm="1">
        <f t="array" ref="M176">IF(RIGHT(_xlfn._xlws.FILTER(Sheet1!$S$2:$S$333,(Sheet1!$S$2:$S$333=$E176)+(Sheet1!$S$2:$S$333=$E177)+(Sheet1!$S$2:$S$333=$E178),""),4)="POST",CONCATENATE(_xlfn._xlws.FILTER(Sheet1!$A$2:$A$333,(Sheet1!$S$2:$S$333=$E176)+(Sheet1!$S$2:$S$333=$E177)+(Sheet1!$S$2:$S$333=$E178),""),"-","POST"),_xlfn._xlws.FILTER(Sheet1!$A$2:$A$333,(Sheet1!$S$2:$S$333=$E176)+(Sheet1!$S$2:$S$333=$E177)+(Sheet1!$S$2:$S$333=$E178),"UNFILLED"))</f>
        <v>REBER, MARKUS</v>
      </c>
    </row>
    <row r="177" spans="3:13" ht="17.25" customHeight="1" x14ac:dyDescent="0.4">
      <c r="C177" s="472"/>
      <c r="D177" s="473"/>
      <c r="E177" s="168" t="str">
        <f>_xlfn.CONCAT(E176,"-","POST")</f>
        <v>ME-3-POST</v>
      </c>
      <c r="F177" s="466"/>
      <c r="G177" s="304"/>
      <c r="H177" s="304"/>
      <c r="I177" s="304"/>
      <c r="J177" s="304"/>
      <c r="K177" s="304"/>
      <c r="L177" s="304"/>
      <c r="M177" s="304"/>
    </row>
    <row r="178" spans="3:13" ht="17.25" customHeight="1" x14ac:dyDescent="0.4">
      <c r="C178" s="472"/>
      <c r="D178" s="473"/>
      <c r="E178" s="168" t="str">
        <f>_xlfn.CONCAT(E176,"-","PILOT")</f>
        <v>ME-3-PILOT</v>
      </c>
      <c r="F178" s="467"/>
      <c r="G178" s="305"/>
      <c r="H178" s="305"/>
      <c r="I178" s="305"/>
      <c r="J178" s="305"/>
      <c r="K178" s="305"/>
      <c r="L178" s="305"/>
      <c r="M178" s="305"/>
    </row>
    <row r="179" spans="3:13" ht="17.25" customHeight="1" x14ac:dyDescent="0.4">
      <c r="C179" s="472"/>
      <c r="D179" s="473"/>
      <c r="E179" s="168" t="s">
        <v>516</v>
      </c>
      <c r="F179" s="465" t="s">
        <v>1064</v>
      </c>
      <c r="G179" s="303" t="str" cm="1">
        <f t="array" ref="G179:G180">IF(RIGHT(_xlfn._xlws.FILTER(Sheet1!$G$2:$G$333,(Sheet1!$G$2:$G$333=$E179)+(Sheet1!$G$2:$G$333=$E180)+(Sheet1!$G$2:$G$333=$E181),""),4)="POST",CONCATENATE(_xlfn._xlws.FILTER(Sheet1!$A$2:$A$333,(Sheet1!$G$2:$G$333=$E179)+(Sheet1!$G$2:$G$333=$E180)+(Sheet1!$G$2:$G$333=$E181),""),"-","POST"),_xlfn._xlws.FILTER(Sheet1!$A$2:$A$333,(Sheet1!$G$2:$G$333=$E179)+(Sheet1!$G$2:$G$333=$E180)+(Sheet1!$G$2:$G$333=$E181),"UNFILLED"))</f>
        <v>CHEDDICK-GEORGE, RASHIDA-POST</v>
      </c>
      <c r="H179" s="303" t="str" cm="1">
        <f t="array" ref="H179:H180">IF(RIGHT(_xlfn._xlws.FILTER(Sheet1!$I$2:$I$333,(Sheet1!$I$2:$I$333=$E179)+(Sheet1!$I$2:$I$333=$E180)+(Sheet1!$I$2:$I$333=$E181),""),4)="POST",CONCATENATE(_xlfn._xlws.FILTER(Sheet1!$A$2:$A$333,(Sheet1!$I$2:$I$333=$E179)+(Sheet1!$I$2:$I$333=$E180)+(Sheet1!$I$2:$I$333=$E181),""),"-","POST"),_xlfn._xlws.FILTER(Sheet1!$A$2:$A$333,(Sheet1!$I$2:$I$333=$E179)+(Sheet1!$I$2:$I$333=$E180)+(Sheet1!$I$2:$I$333=$E181),"UNFILLED"))</f>
        <v>CHEDDICK-GEORGE, RASHIDA-POST</v>
      </c>
      <c r="I179" s="303" t="str" cm="1">
        <f t="array" ref="I179:I180">IF(RIGHT(_xlfn._xlws.FILTER(Sheet1!$K$2:$K$333,(Sheet1!$K$2:$K$333=$E179)+(Sheet1!$K$2:$K$333=$E180)+(Sheet1!$K$2:$K$333=$E181),""),4)="POST",CONCATENATE(_xlfn._xlws.FILTER(Sheet1!$A$2:$A$333,(Sheet1!$K$2:$K$333=$E179)+(Sheet1!$K$2:$K$333=$E180)+(Sheet1!$K$2:$K$333=$E181),""),"-","POST"),_xlfn._xlws.FILTER(Sheet1!$A$2:$A$333,(Sheet1!$K$2:$K$333=$E179)+(Sheet1!$K$2:$K$333=$E180)+(Sheet1!$K$2:$K$333=$E181),"UNFILLED"))</f>
        <v>CHEDDICK-GEORGE, RASHIDA-POST</v>
      </c>
      <c r="J179" s="303" t="str" cm="1">
        <f t="array" ref="J179:J180">IF(RIGHT(_xlfn._xlws.FILTER(Sheet1!M$2:M$333,(Sheet1!M$2:M$333=$E179)+(Sheet1!M$2:M$333=$E180)+(Sheet1!M$2:M$333=$E181),""),4)="POST",CONCATENATE(_xlfn._xlws.FILTER(Sheet1!$A$2:$A$333,(Sheet1!M$2:M$333=$E179)+(Sheet1!M$2:M$333=$E180)+(Sheet1!M$2:M$333=$E181),""),"-","POST"),_xlfn._xlws.FILTER(Sheet1!$A$2:$A$333,(Sheet1!M$2:M$333=$E179)+(Sheet1!M$2:M$333=$E180)+(Sheet1!M$2:M$333=$E181),"UNFILLED"))</f>
        <v>CHEDDICK-GEORGE, RASHIDA-POST</v>
      </c>
      <c r="K179" s="303" t="str" cm="1">
        <f t="array" ref="K179:K180">IF(RIGHT(_xlfn._xlws.FILTER(Sheet1!$O$2:$O$333,(Sheet1!$O$2:$O$333=$E179)+(Sheet1!$O$2:$O$333=$E180)+(Sheet1!$O$2:$O$333=$E181),""),4)="POST",CONCATENATE(_xlfn._xlws.FILTER(Sheet1!$A$2:$A$333,(Sheet1!$O$2:$O$333=$E179)+(Sheet1!$O$2:$O$333=$E180)+(Sheet1!$O$2:$O$333=$E181),""),"-","POST"),_xlfn._xlws.FILTER(Sheet1!$A$2:$A$333,(Sheet1!$O$2:$O$333=$E179)+(Sheet1!$O$2:$O$333=$E180)+(Sheet1!$O$2:$O$333=$E181),"UNFILLED"))</f>
        <v>CHEDDICK-GEORGE, RASHIDA-POST</v>
      </c>
      <c r="L179" s="303" t="str" cm="1">
        <f t="array" ref="L179:L180">IF(RIGHT(_xlfn._xlws.FILTER(Sheet1!$Q$2:$Q$333,(Sheet1!$Q$2:$Q$333=$E179)+(Sheet1!$Q$2:$Q$333=$E180)+(Sheet1!$Q$2:$Q$333=$E181),""),4)="POST",CONCATENATE(_xlfn._xlws.FILTER(Sheet1!$A$2:$A$333,(Sheet1!$Q$2:$Q$333=$E179)+(Sheet1!$Q$2:$Q$333=$E180)+(Sheet1!$Q$2:$Q$333=$E181),""),"-","POST"),_xlfn._xlws.FILTER(Sheet1!$A$2:$A$333,(Sheet1!$Q$2:$Q$333=$E179)+(Sheet1!$Q$2:$Q$333=$E180)+(Sheet1!$Q$2:$Q$333=$E181),"UNFILLED"))</f>
        <v>CHEDDICK-GEORGE, RASHIDA-POST</v>
      </c>
      <c r="M179" s="303" t="str" cm="1">
        <f t="array" ref="M179">IF(RIGHT(_xlfn._xlws.FILTER(Sheet1!$S$2:$S$333,(Sheet1!$S$2:$S$333=$E179)+(Sheet1!$S$2:$S$333=$E180)+(Sheet1!$S$2:$S$333=$E181),""),4)="POST",CONCATENATE(_xlfn._xlws.FILTER(Sheet1!$A$2:$A$333,(Sheet1!$S$2:$S$333=$E179)+(Sheet1!$S$2:$S$333=$E180)+(Sheet1!$S$2:$S$333=$E181),""),"-","POST"),_xlfn._xlws.FILTER(Sheet1!$A$2:$A$333,(Sheet1!$S$2:$S$333=$E179)+(Sheet1!$S$2:$S$333=$E180)+(Sheet1!$S$2:$S$333=$E181),"UNFILLED"))</f>
        <v>FRAZIER, RICKEY</v>
      </c>
    </row>
    <row r="180" spans="3:13" ht="17.25" customHeight="1" x14ac:dyDescent="0.4">
      <c r="C180" s="472"/>
      <c r="D180" s="473"/>
      <c r="E180" s="168" t="str">
        <f>_xlfn.CONCAT(E179,"-","POST")</f>
        <v>EE-3-POST</v>
      </c>
      <c r="F180" s="466"/>
      <c r="G180" s="304" t="str">
        <v>STURLEY, DEANNA</v>
      </c>
      <c r="H180" s="304" t="str">
        <v>PRINCE, MICHAEL</v>
      </c>
      <c r="I180" s="304" t="str">
        <v>STURLEY, DEANNA</v>
      </c>
      <c r="J180" s="304" t="str">
        <v>STURLEY, DEANNA</v>
      </c>
      <c r="K180" s="304" t="str">
        <v>STURLEY, DEANNA</v>
      </c>
      <c r="L180" s="304" t="str">
        <v>WALKER, RODERICK</v>
      </c>
      <c r="M180" s="304"/>
    </row>
    <row r="181" spans="3:13" ht="17.25" customHeight="1" x14ac:dyDescent="0.4">
      <c r="C181" s="472"/>
      <c r="D181" s="473"/>
      <c r="E181" s="168" t="str">
        <f>_xlfn.CONCAT(E179,"-","PILOT")</f>
        <v>EE-3-PILOT</v>
      </c>
      <c r="F181" s="467"/>
      <c r="G181" s="305"/>
      <c r="H181" s="305"/>
      <c r="I181" s="305"/>
      <c r="J181" s="305"/>
      <c r="K181" s="305"/>
      <c r="L181" s="305"/>
      <c r="M181" s="305"/>
    </row>
    <row r="182" spans="3:13" ht="17.25" customHeight="1" x14ac:dyDescent="0.4">
      <c r="C182" s="472"/>
      <c r="D182" s="473"/>
      <c r="E182" s="168" t="s">
        <v>514</v>
      </c>
      <c r="F182" s="465" t="s">
        <v>1065</v>
      </c>
      <c r="G182" s="303" t="str" cm="1">
        <f t="array" ref="G182">IF(RIGHT(_xlfn._xlws.FILTER(Sheet1!$G$2:$G$333,(Sheet1!$G$2:$G$333=$E182)+(Sheet1!$G$2:$G$333=$E183)+(Sheet1!$G$2:$G$333=$E184),""),4)="POST",CONCATENATE(_xlfn._xlws.FILTER(Sheet1!$A$2:$A$333,(Sheet1!$G$2:$G$333=$E182)+(Sheet1!$G$2:$G$333=$E183)+(Sheet1!$G$2:$G$333=$E184),""),"-","POST"),_xlfn._xlws.FILTER(Sheet1!$A$2:$A$333,(Sheet1!$G$2:$G$333=$E182)+(Sheet1!$G$2:$G$333=$E183)+(Sheet1!$G$2:$G$333=$E184),"UNFILLED"))</f>
        <v>PATE, TABITHA</v>
      </c>
      <c r="H182" s="303" t="str" cm="1">
        <f t="array" ref="H182">IF(RIGHT(_xlfn._xlws.FILTER(Sheet1!$I$2:$I$333,(Sheet1!$I$2:$I$333=$E182)+(Sheet1!$I$2:$I$333=$E183)+(Sheet1!$I$2:$I$333=$E184),""),4)="POST",CONCATENATE(_xlfn._xlws.FILTER(Sheet1!$A$2:$A$333,(Sheet1!$I$2:$I$333=$E182)+(Sheet1!$I$2:$I$333=$E183)+(Sheet1!$I$2:$I$333=$E184),""),"-","POST"),_xlfn._xlws.FILTER(Sheet1!$A$2:$A$333,(Sheet1!$I$2:$I$333=$E182)+(Sheet1!$I$2:$I$333=$E183)+(Sheet1!$I$2:$I$333=$E184),"UNFILLED"))</f>
        <v>PATE, TABITHA</v>
      </c>
      <c r="I182" s="303" t="str" cm="1">
        <f t="array" ref="I182">IF(RIGHT(_xlfn._xlws.FILTER(Sheet1!$K$2:$K$333,(Sheet1!$K$2:$K$333=$E182)+(Sheet1!$K$2:$K$333=$E183)+(Sheet1!$K$2:$K$333=$E184),""),4)="POST",CONCATENATE(_xlfn._xlws.FILTER(Sheet1!$A$2:$A$333,(Sheet1!$K$2:$K$333=$E182)+(Sheet1!$K$2:$K$333=$E183)+(Sheet1!$K$2:$K$333=$E184),""),"-","POST"),_xlfn._xlws.FILTER(Sheet1!$A$2:$A$333,(Sheet1!$K$2:$K$333=$E182)+(Sheet1!$K$2:$K$333=$E183)+(Sheet1!$K$2:$K$333=$E184),"UNFILLED"))</f>
        <v>PATE, TABITHA</v>
      </c>
      <c r="J182" s="303" t="str" cm="1">
        <f t="array" ref="J182">IF(RIGHT(_xlfn._xlws.FILTER(Sheet1!M$2:M$333,(Sheet1!M$2:M$333=$E182)+(Sheet1!M$2:M$333=$E183)+(Sheet1!M$2:M$333=$E184),""),4)="POST",CONCATENATE(_xlfn._xlws.FILTER(Sheet1!$A$2:$A$333,(Sheet1!M$2:M$333=$E182)+(Sheet1!M$2:M$333=$E183)+(Sheet1!M$2:M$333=$E184),""),"-","POST"),_xlfn._xlws.FILTER(Sheet1!$A$2:$A$333,(Sheet1!M$2:M$333=$E182)+(Sheet1!M$2:M$333=$E183)+(Sheet1!M$2:M$333=$E184),"UNFILLED"))</f>
        <v>SHAW, ANTHONY</v>
      </c>
      <c r="K182" s="303" t="str" cm="1">
        <f t="array" ref="K182">IF(RIGHT(_xlfn._xlws.FILTER(Sheet1!$O$2:$O$333,(Sheet1!$O$2:$O$333=$E182)+(Sheet1!$O$2:$O$333=$E183)+(Sheet1!$O$2:$O$333=$E184),""),4)="POST",CONCATENATE(_xlfn._xlws.FILTER(Sheet1!$A$2:$A$333,(Sheet1!$O$2:$O$333=$E182)+(Sheet1!$O$2:$O$333=$E183)+(Sheet1!$O$2:$O$333=$E184),""),"-","POST"),_xlfn._xlws.FILTER(Sheet1!$A$2:$A$333,(Sheet1!$O$2:$O$333=$E182)+(Sheet1!$O$2:$O$333=$E183)+(Sheet1!$O$2:$O$333=$E184),"UNFILLED"))</f>
        <v>HARBIN, BRYANT</v>
      </c>
      <c r="L182" s="303" t="str" cm="1">
        <f t="array" ref="L182">IF(RIGHT(_xlfn._xlws.FILTER(Sheet1!$Q$2:$Q$333,(Sheet1!$Q$2:$Q$333=$E182)+(Sheet1!$Q$2:$Q$333=$E183)+(Sheet1!$Q$2:$Q$333=$E184),""),4)="POST",CONCATENATE(_xlfn._xlws.FILTER(Sheet1!$A$2:$A$333,(Sheet1!$Q$2:$Q$333=$E182)+(Sheet1!$Q$2:$Q$333=$E183)+(Sheet1!$Q$2:$Q$333=$E184),""),"-","POST"),_xlfn._xlws.FILTER(Sheet1!$A$2:$A$333,(Sheet1!$Q$2:$Q$333=$E182)+(Sheet1!$Q$2:$Q$333=$E183)+(Sheet1!$Q$2:$Q$333=$E184),"UNFILLED"))</f>
        <v>PATE, TABITHA</v>
      </c>
      <c r="M182" s="303" t="str" cm="1">
        <f t="array" ref="M182">IF(RIGHT(_xlfn._xlws.FILTER(Sheet1!$S$2:$S$333,(Sheet1!$S$2:$S$333=$E182)+(Sheet1!$S$2:$S$333=$E183)+(Sheet1!$S$2:$S$333=$E184),""),4)="POST",CONCATENATE(_xlfn._xlws.FILTER(Sheet1!$A$2:$A$333,(Sheet1!$S$2:$S$333=$E182)+(Sheet1!$S$2:$S$333=$E183)+(Sheet1!$S$2:$S$333=$E184),""),"-","POST"),_xlfn._xlws.FILTER(Sheet1!$A$2:$A$333,(Sheet1!$S$2:$S$333=$E182)+(Sheet1!$S$2:$S$333=$E183)+(Sheet1!$S$2:$S$333=$E184),"UNFILLED"))</f>
        <v>PATE, TABITHA</v>
      </c>
    </row>
    <row r="183" spans="3:13" ht="17.25" customHeight="1" x14ac:dyDescent="0.4">
      <c r="C183" s="472"/>
      <c r="D183" s="473"/>
      <c r="E183" s="168" t="str">
        <f>_xlfn.CONCAT(E182,"-","POST")</f>
        <v>BT-3-POST</v>
      </c>
      <c r="F183" s="466"/>
      <c r="G183" s="304"/>
      <c r="H183" s="304"/>
      <c r="I183" s="304"/>
      <c r="J183" s="304"/>
      <c r="K183" s="304"/>
      <c r="L183" s="304"/>
      <c r="M183" s="304"/>
    </row>
    <row r="184" spans="3:13" ht="17.25" customHeight="1" x14ac:dyDescent="0.4">
      <c r="C184" s="472"/>
      <c r="D184" s="473"/>
      <c r="E184" s="168" t="str">
        <f>_xlfn.CONCAT(E182,"-","PILOT")</f>
        <v>BT-3-PILOT</v>
      </c>
      <c r="F184" s="467"/>
      <c r="G184" s="305"/>
      <c r="H184" s="305"/>
      <c r="I184" s="305"/>
      <c r="J184" s="305"/>
      <c r="K184" s="305"/>
      <c r="L184" s="305"/>
      <c r="M184" s="305"/>
    </row>
    <row r="185" spans="3:13" ht="17.25" customHeight="1" x14ac:dyDescent="0.4">
      <c r="C185" s="472"/>
      <c r="D185" s="473"/>
      <c r="E185" s="168" t="s">
        <v>515</v>
      </c>
      <c r="F185" s="465" t="s">
        <v>1066</v>
      </c>
      <c r="G185" s="303" t="str" cm="1">
        <f t="array" ref="G185">IF(RIGHT(_xlfn._xlws.FILTER(Sheet1!$G$2:$G$333,(Sheet1!$G$2:$G$333=$E185)+(Sheet1!$G$2:$G$333=$E186)+(Sheet1!$G$2:$G$333=$E187),""),4)="POST",CONCATENATE(_xlfn._xlws.FILTER(Sheet1!$A$2:$A$333,(Sheet1!$G$2:$G$333=$E185)+(Sheet1!$G$2:$G$333=$E186)+(Sheet1!$G$2:$G$333=$E187),""),"-","POST"),_xlfn._xlws.FILTER(Sheet1!$A$2:$A$333,(Sheet1!$G$2:$G$333=$E185)+(Sheet1!$G$2:$G$333=$E186)+(Sheet1!$G$2:$G$333=$E187),"UNFILLED"))</f>
        <v>PRINCE, MICHAEL</v>
      </c>
      <c r="H185" s="303" t="str" cm="1">
        <f t="array" ref="H185">IF(RIGHT(_xlfn._xlws.FILTER(Sheet1!$I$2:$I$333,(Sheet1!$I$2:$I$333=$E185)+(Sheet1!$I$2:$I$333=$E186)+(Sheet1!$I$2:$I$333=$E187),""),4)="POST",CONCATENATE(_xlfn._xlws.FILTER(Sheet1!$A$2:$A$333,(Sheet1!$I$2:$I$333=$E185)+(Sheet1!$I$2:$I$333=$E186)+(Sheet1!$I$2:$I$333=$E187),""),"-","POST"),_xlfn._xlws.FILTER(Sheet1!$A$2:$A$333,(Sheet1!$I$2:$I$333=$E185)+(Sheet1!$I$2:$I$333=$E186)+(Sheet1!$I$2:$I$333=$E187),"UNFILLED"))</f>
        <v>RUSSELL, SHALONDIA</v>
      </c>
      <c r="I185" s="303" t="str" cm="1">
        <f t="array" ref="I185">IF(RIGHT(_xlfn._xlws.FILTER(Sheet1!$K$2:$K$333,(Sheet1!$K$2:$K$333=$E185)+(Sheet1!$K$2:$K$333=$E186)+(Sheet1!$K$2:$K$333=$E187),""),4)="POST",CONCATENATE(_xlfn._xlws.FILTER(Sheet1!$A$2:$A$333,(Sheet1!$K$2:$K$333=$E185)+(Sheet1!$K$2:$K$333=$E186)+(Sheet1!$K$2:$K$333=$E187),""),"-","POST"),_xlfn._xlws.FILTER(Sheet1!$A$2:$A$333,(Sheet1!$K$2:$K$333=$E185)+(Sheet1!$K$2:$K$333=$E186)+(Sheet1!$K$2:$K$333=$E187),"UNFILLED"))</f>
        <v>PRINCE, MICHAEL</v>
      </c>
      <c r="J185" s="303" t="str" cm="1">
        <f t="array" ref="J185">IF(RIGHT(_xlfn._xlws.FILTER(Sheet1!M$2:M$333,(Sheet1!M$2:M$333=$E185)+(Sheet1!M$2:M$333=$E186)+(Sheet1!M$2:M$333=$E187),""),4)="POST",CONCATENATE(_xlfn._xlws.FILTER(Sheet1!$A$2:$A$333,(Sheet1!M$2:M$333=$E185)+(Sheet1!M$2:M$333=$E186)+(Sheet1!M$2:M$333=$E187),""),"-","POST"),_xlfn._xlws.FILTER(Sheet1!$A$2:$A$333,(Sheet1!M$2:M$333=$E185)+(Sheet1!M$2:M$333=$E186)+(Sheet1!M$2:M$333=$E187),"UNFILLED"))</f>
        <v>PRINCE, MICHAEL</v>
      </c>
      <c r="K185" s="303" t="str" cm="1">
        <f t="array" ref="K185">IF(RIGHT(_xlfn._xlws.FILTER(Sheet1!$O$2:$O$333,(Sheet1!$O$2:$O$333=$E185)+(Sheet1!$O$2:$O$333=$E186)+(Sheet1!$O$2:$O$333=$E187),""),4)="POST",CONCATENATE(_xlfn._xlws.FILTER(Sheet1!$A$2:$A$333,(Sheet1!$O$2:$O$333=$E185)+(Sheet1!$O$2:$O$333=$E186)+(Sheet1!$O$2:$O$333=$E187),""),"-","POST"),_xlfn._xlws.FILTER(Sheet1!$A$2:$A$333,(Sheet1!$O$2:$O$333=$E185)+(Sheet1!$O$2:$O$333=$E186)+(Sheet1!$O$2:$O$333=$E187),"UNFILLED"))</f>
        <v>HUGHES, DESHON</v>
      </c>
      <c r="L185" s="303" t="str" cm="1">
        <f t="array" ref="L185">IF(RIGHT(_xlfn._xlws.FILTER(Sheet1!$Q$2:$Q$333,(Sheet1!$Q$2:$Q$333=$E185)+(Sheet1!$Q$2:$Q$333=$E186)+(Sheet1!$Q$2:$Q$333=$E187),""),4)="POST",CONCATENATE(_xlfn._xlws.FILTER(Sheet1!$A$2:$A$333,(Sheet1!$Q$2:$Q$333=$E185)+(Sheet1!$Q$2:$Q$333=$E186)+(Sheet1!$Q$2:$Q$333=$E187),""),"-","POST"),_xlfn._xlws.FILTER(Sheet1!$A$2:$A$333,(Sheet1!$Q$2:$Q$333=$E185)+(Sheet1!$Q$2:$Q$333=$E186)+(Sheet1!$Q$2:$Q$333=$E187),"UNFILLED"))</f>
        <v>FRAZIER, RICKEY</v>
      </c>
      <c r="M185" s="303" t="str" cm="1">
        <f t="array" ref="M185">IF(RIGHT(_xlfn._xlws.FILTER(Sheet1!$S$2:$S$333,(Sheet1!$S$2:$S$333=$E185)+(Sheet1!$S$2:$S$333=$E186)+(Sheet1!$S$2:$S$333=$E187),""),4)="POST",CONCATENATE(_xlfn._xlws.FILTER(Sheet1!$A$2:$A$333,(Sheet1!$S$2:$S$333=$E185)+(Sheet1!$S$2:$S$333=$E186)+(Sheet1!$S$2:$S$333=$E187),""),"-","POST"),_xlfn._xlws.FILTER(Sheet1!$A$2:$A$333,(Sheet1!$S$2:$S$333=$E185)+(Sheet1!$S$2:$S$333=$E186)+(Sheet1!$S$2:$S$333=$E187),"UNFILLED"))</f>
        <v>PRINCE, MICHAEL</v>
      </c>
    </row>
    <row r="186" spans="3:13" ht="17.25" customHeight="1" x14ac:dyDescent="0.4">
      <c r="C186" s="472"/>
      <c r="D186" s="473"/>
      <c r="E186" s="168" t="str">
        <f>_xlfn.CONCAT(E185,"-","POST")</f>
        <v>NO-3-POST</v>
      </c>
      <c r="F186" s="466"/>
      <c r="G186" s="304"/>
      <c r="H186" s="304"/>
      <c r="I186" s="304"/>
      <c r="J186" s="304"/>
      <c r="K186" s="304"/>
      <c r="L186" s="304"/>
      <c r="M186" s="304"/>
    </row>
    <row r="187" spans="3:13" ht="17.25" customHeight="1" x14ac:dyDescent="0.4">
      <c r="C187" s="472"/>
      <c r="D187" s="473"/>
      <c r="E187" s="168" t="str">
        <f>_xlfn.CONCAT(E185,"-","PILOT")</f>
        <v>NO-3-PILOT</v>
      </c>
      <c r="F187" s="467"/>
      <c r="G187" s="305"/>
      <c r="H187" s="305"/>
      <c r="I187" s="305"/>
      <c r="J187" s="305"/>
      <c r="K187" s="305"/>
      <c r="L187" s="305"/>
      <c r="M187" s="305"/>
    </row>
    <row r="188" spans="3:13" ht="17.25" customHeight="1" x14ac:dyDescent="0.45">
      <c r="C188" s="472"/>
      <c r="D188" s="473"/>
      <c r="E188" s="175" t="s">
        <v>513</v>
      </c>
      <c r="F188" s="465" t="s">
        <v>1067</v>
      </c>
      <c r="G188" s="303" t="str" cm="1">
        <f t="array" ref="G188">IF(RIGHT(_xlfn._xlws.FILTER(Sheet1!$G$2:$G$333,(Sheet1!$G$2:$G$333=$E188)+(Sheet1!$G$2:$G$333=$E189)+(Sheet1!$G$2:$G$333=$E190),""),4)="POST",CONCATENATE(_xlfn._xlws.FILTER(Sheet1!$A$2:$A$333,(Sheet1!$G$2:$G$333=$E188)+(Sheet1!$G$2:$G$333=$E189)+(Sheet1!$G$2:$G$333=$E190),""),"-","POST"),_xlfn._xlws.FILTER(Sheet1!$A$2:$A$333,(Sheet1!$G$2:$G$333=$E188)+(Sheet1!$G$2:$G$333=$E189)+(Sheet1!$G$2:$G$333=$E190),"UNFILLED"))</f>
        <v>STEELE, DERRICK</v>
      </c>
      <c r="H188" s="303" t="str" cm="1">
        <f t="array" ref="H188">IF(RIGHT(_xlfn._xlws.FILTER(Sheet1!$I$2:$I$333,(Sheet1!$I$2:$I$333=$E188)+(Sheet1!$I$2:$I$333=$E189)+(Sheet1!$I$2:$I$333=$E190),""),4)="POST",CONCATENATE(_xlfn._xlws.FILTER(Sheet1!$A$2:$A$333,(Sheet1!$I$2:$I$333=$E188)+(Sheet1!$I$2:$I$333=$E189)+(Sheet1!$I$2:$I$333=$E190),""),"-","POST"),_xlfn._xlws.FILTER(Sheet1!$A$2:$A$333,(Sheet1!$I$2:$I$333=$E188)+(Sheet1!$I$2:$I$333=$E189)+(Sheet1!$I$2:$I$333=$E190),"UNFILLED"))</f>
        <v>STEELE, DERRICK</v>
      </c>
      <c r="I188" s="303" t="str" cm="1">
        <f t="array" ref="I188">IF(RIGHT(_xlfn._xlws.FILTER(Sheet1!$K$2:$K$333,(Sheet1!$K$2:$K$333=$E188)+(Sheet1!$K$2:$K$333=$E189)+(Sheet1!$K$2:$K$333=$E190),""),4)="POST",CONCATENATE(_xlfn._xlws.FILTER(Sheet1!$A$2:$A$333,(Sheet1!$K$2:$K$333=$E188)+(Sheet1!$K$2:$K$333=$E189)+(Sheet1!$K$2:$K$333=$E190),""),"-","POST"),_xlfn._xlws.FILTER(Sheet1!$A$2:$A$333,(Sheet1!$K$2:$K$333=$E188)+(Sheet1!$K$2:$K$333=$E189)+(Sheet1!$K$2:$K$333=$E190),"UNFILLED"))</f>
        <v>STEELE, DERRICK</v>
      </c>
      <c r="J188" s="303" t="str" cm="1">
        <f t="array" ref="J188">IF(RIGHT(_xlfn._xlws.FILTER(Sheet1!M$2:M$333,(Sheet1!M$2:M$333=$E188)+(Sheet1!M$2:M$333=$E189)+(Sheet1!M$2:M$333=$E190),""),4)="POST",CONCATENATE(_xlfn._xlws.FILTER(Sheet1!$A$2:$A$333,(Sheet1!M$2:M$333=$E188)+(Sheet1!M$2:M$333=$E189)+(Sheet1!M$2:M$333=$E190),""),"-","POST"),_xlfn._xlws.FILTER(Sheet1!$A$2:$A$333,(Sheet1!M$2:M$333=$E188)+(Sheet1!M$2:M$333=$E189)+(Sheet1!M$2:M$333=$E190),"UNFILLED"))</f>
        <v>FRAZIER, RICKEY</v>
      </c>
      <c r="K188" s="303" t="str" cm="1">
        <f t="array" ref="K188">IF(RIGHT(_xlfn._xlws.FILTER(Sheet1!$O$2:$O$333,(Sheet1!$O$2:$O$333=$E188)+(Sheet1!$O$2:$O$333=$E189)+(Sheet1!$O$2:$O$333=$E190),""),4)="POST",CONCATENATE(_xlfn._xlws.FILTER(Sheet1!$A$2:$A$333,(Sheet1!$O$2:$O$333=$E188)+(Sheet1!$O$2:$O$333=$E189)+(Sheet1!$O$2:$O$333=$E190),""),"-","POST"),_xlfn._xlws.FILTER(Sheet1!$A$2:$A$333,(Sheet1!$O$2:$O$333=$E188)+(Sheet1!$O$2:$O$333=$E189)+(Sheet1!$O$2:$O$333=$E190),"UNFILLED"))</f>
        <v>MCKINNEY, REBECCA</v>
      </c>
      <c r="L188" s="303" t="str" cm="1">
        <f t="array" ref="L188">IF(RIGHT(_xlfn._xlws.FILTER(Sheet1!$Q$2:$Q$333,(Sheet1!$Q$2:$Q$333=$E188)+(Sheet1!$Q$2:$Q$333=$E189)+(Sheet1!$Q$2:$Q$333=$E190),""),4)="POST",CONCATENATE(_xlfn._xlws.FILTER(Sheet1!$A$2:$A$333,(Sheet1!$Q$2:$Q$333=$E188)+(Sheet1!$Q$2:$Q$333=$E189)+(Sheet1!$Q$2:$Q$333=$E190),""),"-","POST"),_xlfn._xlws.FILTER(Sheet1!$A$2:$A$333,(Sheet1!$Q$2:$Q$333=$E188)+(Sheet1!$Q$2:$Q$333=$E189)+(Sheet1!$Q$2:$Q$333=$E190),"UNFILLED"))</f>
        <v>STEELE, DERRICK</v>
      </c>
      <c r="M188" s="303" t="str" cm="1">
        <f t="array" ref="M188">IF(RIGHT(_xlfn._xlws.FILTER(Sheet1!$S$2:$S$333,(Sheet1!$S$2:$S$333=$E188)+(Sheet1!$S$2:$S$333=$E189)+(Sheet1!$S$2:$S$333=$E190),""),4)="POST",CONCATENATE(_xlfn._xlws.FILTER(Sheet1!$A$2:$A$333,(Sheet1!$S$2:$S$333=$E188)+(Sheet1!$S$2:$S$333=$E189)+(Sheet1!$S$2:$S$333=$E190),""),"-","POST"),_xlfn._xlws.FILTER(Sheet1!$A$2:$A$333,(Sheet1!$S$2:$S$333=$E188)+(Sheet1!$S$2:$S$333=$E189)+(Sheet1!$S$2:$S$333=$E190),"UNFILLED"))</f>
        <v>STEELE, DERRICK</v>
      </c>
    </row>
    <row r="189" spans="3:13" ht="17.25" customHeight="1" x14ac:dyDescent="0.4">
      <c r="C189" s="472"/>
      <c r="D189" s="473"/>
      <c r="E189" s="168" t="str">
        <f>_xlfn.CONCAT(E188,"-","POST")</f>
        <v>3B-3-POST</v>
      </c>
      <c r="F189" s="466"/>
      <c r="G189" s="304"/>
      <c r="H189" s="304"/>
      <c r="I189" s="304"/>
      <c r="J189" s="304"/>
      <c r="K189" s="304"/>
      <c r="L189" s="304"/>
      <c r="M189" s="304"/>
    </row>
    <row r="190" spans="3:13" ht="17.25" customHeight="1" x14ac:dyDescent="0.4">
      <c r="C190" s="472"/>
      <c r="D190" s="473"/>
      <c r="E190" s="168" t="str">
        <f>_xlfn.CONCAT(E188,"-","PILOT")</f>
        <v>3B-3-PILOT</v>
      </c>
      <c r="F190" s="467"/>
      <c r="G190" s="305"/>
      <c r="H190" s="305"/>
      <c r="I190" s="305"/>
      <c r="J190" s="305"/>
      <c r="K190" s="305"/>
      <c r="L190" s="305"/>
      <c r="M190" s="305"/>
    </row>
    <row r="191" spans="3:13" ht="17.25" customHeight="1" x14ac:dyDescent="0.45">
      <c r="C191" s="472"/>
      <c r="D191" s="473"/>
      <c r="E191" s="175" t="s">
        <v>312</v>
      </c>
      <c r="F191" s="465" t="s">
        <v>1068</v>
      </c>
      <c r="G191" s="303" t="str" cm="1">
        <f t="array" ref="G191:G192">IF(RIGHT(_xlfn._xlws.FILTER(Sheet1!$G$2:$G$333,(Sheet1!$G$2:$G$333=$E191)+(Sheet1!$G$2:$G$333=$E192)+(Sheet1!$G$2:$G$333=$E193),""),4)="POST",CONCATENATE(_xlfn._xlws.FILTER(Sheet1!$A$2:$A$333,(Sheet1!$G$2:$G$333=$E191)+(Sheet1!$G$2:$G$333=$E192)+(Sheet1!$G$2:$G$333=$E193),""),"-","POST"),_xlfn._xlws.FILTER(Sheet1!$A$2:$A$333,(Sheet1!$G$2:$G$333=$E191)+(Sheet1!$G$2:$G$333=$E192)+(Sheet1!$G$2:$G$333=$E193),"UNFILLED"))</f>
        <v>CLEVENGER, R LANCE</v>
      </c>
      <c r="H191" s="303" t="str" cm="1">
        <f t="array" ref="H191:H192">IF(RIGHT(_xlfn._xlws.FILTER(Sheet1!$I$2:$I$333,(Sheet1!$I$2:$I$333=$E191)+(Sheet1!$I$2:$I$333=$E192)+(Sheet1!$I$2:$I$333=$E193),""),4)="POST",CONCATENATE(_xlfn._xlws.FILTER(Sheet1!$A$2:$A$333,(Sheet1!$I$2:$I$333=$E191)+(Sheet1!$I$2:$I$333=$E192)+(Sheet1!$I$2:$I$333=$E193),""),"-","POST"),_xlfn._xlws.FILTER(Sheet1!$A$2:$A$333,(Sheet1!$I$2:$I$333=$E191)+(Sheet1!$I$2:$I$333=$E192)+(Sheet1!$I$2:$I$333=$E193),"UNFILLED"))</f>
        <v>CLEVENGER, R LANCE</v>
      </c>
      <c r="I191" s="303" t="str" cm="1">
        <f t="array" ref="I191:I192">IF(RIGHT(_xlfn._xlws.FILTER(Sheet1!$K$2:$K$333,(Sheet1!$K$2:$K$333=$E191)+(Sheet1!$K$2:$K$333=$E192)+(Sheet1!$K$2:$K$333=$E193),""),4)="POST",CONCATENATE(_xlfn._xlws.FILTER(Sheet1!$A$2:$A$333,(Sheet1!$K$2:$K$333=$E191)+(Sheet1!$K$2:$K$333=$E192)+(Sheet1!$K$2:$K$333=$E193),""),"-","POST"),_xlfn._xlws.FILTER(Sheet1!$A$2:$A$333,(Sheet1!$K$2:$K$333=$E191)+(Sheet1!$K$2:$K$333=$E192)+(Sheet1!$K$2:$K$333=$E193),"UNFILLED"))</f>
        <v>CLEVENGER, R LANCE</v>
      </c>
      <c r="J191" s="303" t="str" cm="1">
        <f t="array" ref="J191:J192">IF(RIGHT(_xlfn._xlws.FILTER(Sheet1!M$2:M$333,(Sheet1!M$2:M$333=$E191)+(Sheet1!M$2:M$333=$E192)+(Sheet1!M$2:M$333=$E193),""),4)="POST",CONCATENATE(_xlfn._xlws.FILTER(Sheet1!$A$2:$A$333,(Sheet1!M$2:M$333=$E191)+(Sheet1!M$2:M$333=$E192)+(Sheet1!M$2:M$333=$E193),""),"-","POST"),_xlfn._xlws.FILTER(Sheet1!$A$2:$A$333,(Sheet1!M$2:M$333=$E191)+(Sheet1!M$2:M$333=$E192)+(Sheet1!M$2:M$333=$E193),"UNFILLED"))</f>
        <v>CLEVENGER, R LANCE</v>
      </c>
      <c r="K191" s="303" t="str" cm="1">
        <f t="array" ref="K191">IF(RIGHT(_xlfn._xlws.FILTER(Sheet1!$O$2:$O$333,(Sheet1!$O$2:$O$333=$E191)+(Sheet1!$O$2:$O$333=$E192)+(Sheet1!$O$2:$O$333=$E193),""),4)="POST",CONCATENATE(_xlfn._xlws.FILTER(Sheet1!$A$2:$A$333,(Sheet1!$O$2:$O$333=$E191)+(Sheet1!$O$2:$O$333=$E192)+(Sheet1!$O$2:$O$333=$E193),""),"-","POST"),_xlfn._xlws.FILTER(Sheet1!$A$2:$A$333,(Sheet1!$O$2:$O$333=$E191)+(Sheet1!$O$2:$O$333=$E192)+(Sheet1!$O$2:$O$333=$E193),"UNFILLED"))</f>
        <v>BRAWNER, PEYTON</v>
      </c>
      <c r="L191" s="303" t="str" cm="1">
        <f t="array" ref="L191">IF(RIGHT(_xlfn._xlws.FILTER(Sheet1!$Q$2:$Q$333,(Sheet1!$Q$2:$Q$333=$E191)+(Sheet1!$Q$2:$Q$333=$E192)+(Sheet1!$Q$2:$Q$333=$E193),""),4)="POST",CONCATENATE(_xlfn._xlws.FILTER(Sheet1!$A$2:$A$333,(Sheet1!$Q$2:$Q$333=$E191)+(Sheet1!$Q$2:$Q$333=$E192)+(Sheet1!$Q$2:$Q$333=$E193),""),"-","POST"),_xlfn._xlws.FILTER(Sheet1!$A$2:$A$333,(Sheet1!$Q$2:$Q$333=$E191)+(Sheet1!$Q$2:$Q$333=$E192)+(Sheet1!$Q$2:$Q$333=$E193),"UNFILLED"))</f>
        <v>HAMILTON, MELVINA</v>
      </c>
      <c r="M191" s="303" t="str" cm="1">
        <f t="array" ref="M191:M192">IF(RIGHT(_xlfn._xlws.FILTER(Sheet1!$S$2:$S$333,(Sheet1!$S$2:$S$333=$E191)+(Sheet1!$S$2:$S$333=$E192)+(Sheet1!$S$2:$S$333=$E193),""),4)="POST",CONCATENATE(_xlfn._xlws.FILTER(Sheet1!$A$2:$A$333,(Sheet1!$S$2:$S$333=$E191)+(Sheet1!$S$2:$S$333=$E192)+(Sheet1!$S$2:$S$333=$E193),""),"-","POST"),_xlfn._xlws.FILTER(Sheet1!$A$2:$A$333,(Sheet1!$S$2:$S$333=$E191)+(Sheet1!$S$2:$S$333=$E192)+(Sheet1!$S$2:$S$333=$E193),"UNFILLED"))</f>
        <v>CLEVENGER, R LANCE</v>
      </c>
    </row>
    <row r="192" spans="3:13" ht="17.25" customHeight="1" x14ac:dyDescent="0.4">
      <c r="C192" s="472"/>
      <c r="D192" s="473"/>
      <c r="E192" s="168" t="str">
        <f>_xlfn.CONCAT(E191,"-","POST")</f>
        <v>CN-3-POST</v>
      </c>
      <c r="F192" s="466"/>
      <c r="G192" s="304" t="str">
        <v>IUSCEAC, MARC-POST</v>
      </c>
      <c r="H192" s="304" t="str">
        <v>IUSCEAC, MARC-POST</v>
      </c>
      <c r="I192" s="304" t="str">
        <v>IUSCEAC, MARC-POST</v>
      </c>
      <c r="J192" s="304" t="str">
        <v>IUSCEAC, MARC-POST</v>
      </c>
      <c r="K192" s="304"/>
      <c r="L192" s="304"/>
      <c r="M192" s="304" t="str">
        <v>IUSCEAC, MARC-POST</v>
      </c>
    </row>
    <row r="193" spans="3:13" ht="17.25" customHeight="1" x14ac:dyDescent="0.4">
      <c r="C193" s="472"/>
      <c r="D193" s="473"/>
      <c r="E193" s="168" t="str">
        <f>_xlfn.CONCAT(E191,"-","PILOT")</f>
        <v>CN-3-PILOT</v>
      </c>
      <c r="F193" s="467"/>
      <c r="G193" s="305"/>
      <c r="H193" s="305"/>
      <c r="I193" s="305"/>
      <c r="J193" s="305"/>
      <c r="K193" s="305"/>
      <c r="L193" s="305"/>
      <c r="M193" s="305"/>
    </row>
    <row r="194" spans="3:13" ht="17.25" customHeight="1" x14ac:dyDescent="0.45">
      <c r="C194" s="472"/>
      <c r="D194" s="473"/>
      <c r="E194" s="175" t="s">
        <v>337</v>
      </c>
      <c r="F194" s="465" t="s">
        <v>1069</v>
      </c>
      <c r="G194" s="303" t="str" cm="1">
        <f t="array" ref="G194">IF(RIGHT(_xlfn._xlws.FILTER(Sheet1!$G$2:$G$333,(Sheet1!$G$2:$G$333=$E194)+(Sheet1!$G$2:$G$333=$E195)+(Sheet1!$G$2:$G$333=$E196),""),4)="POST",CONCATENATE(_xlfn._xlws.FILTER(Sheet1!$A$2:$A$333,(Sheet1!$G$2:$G$333=$E194)+(Sheet1!$G$2:$G$333=$E195)+(Sheet1!$G$2:$G$333=$E196),""),"-","POST"),_xlfn._xlws.FILTER(Sheet1!$A$2:$A$333,(Sheet1!$G$2:$G$333=$E194)+(Sheet1!$G$2:$G$333=$E195)+(Sheet1!$G$2:$G$333=$E196),"UNFILLED"))</f>
        <v>BUSH, MONICA</v>
      </c>
      <c r="H194" s="303" t="str" cm="1">
        <f t="array" ref="H194">IF(RIGHT(_xlfn._xlws.FILTER(Sheet1!$I$2:$I$333,(Sheet1!$I$2:$I$333=$E194)+(Sheet1!$I$2:$I$333=$E195)+(Sheet1!$I$2:$I$333=$E196),""),4)="POST",CONCATENATE(_xlfn._xlws.FILTER(Sheet1!$A$2:$A$333,(Sheet1!$I$2:$I$333=$E194)+(Sheet1!$I$2:$I$333=$E195)+(Sheet1!$I$2:$I$333=$E196),""),"-","POST"),_xlfn._xlws.FILTER(Sheet1!$A$2:$A$333,(Sheet1!$I$2:$I$333=$E194)+(Sheet1!$I$2:$I$333=$E195)+(Sheet1!$I$2:$I$333=$E196),"UNFILLED"))</f>
        <v>BUSH, MONICA</v>
      </c>
      <c r="I194" s="303" t="str" cm="1">
        <f t="array" ref="I194">IF(RIGHT(_xlfn._xlws.FILTER(Sheet1!$K$2:$K$333,(Sheet1!$K$2:$K$333=$E194)+(Sheet1!$K$2:$K$333=$E195)+(Sheet1!$K$2:$K$333=$E196),""),4)="POST",CONCATENATE(_xlfn._xlws.FILTER(Sheet1!$A$2:$A$333,(Sheet1!$K$2:$K$333=$E194)+(Sheet1!$K$2:$K$333=$E195)+(Sheet1!$K$2:$K$333=$E196),""),"-","POST"),_xlfn._xlws.FILTER(Sheet1!$A$2:$A$333,(Sheet1!$K$2:$K$333=$E194)+(Sheet1!$K$2:$K$333=$E195)+(Sheet1!$K$2:$K$333=$E196),"UNFILLED"))</f>
        <v>FRAZIER, RICKEY</v>
      </c>
      <c r="J194" s="303" t="str" cm="1">
        <f t="array" ref="J194">IF(RIGHT(_xlfn._xlws.FILTER(Sheet1!M$2:M$333,(Sheet1!M$2:M$333=$E194)+(Sheet1!M$2:M$333=$E195)+(Sheet1!M$2:M$333=$E196),""),4)="POST",CONCATENATE(_xlfn._xlws.FILTER(Sheet1!$A$2:$A$333,(Sheet1!M$2:M$333=$E194)+(Sheet1!M$2:M$333=$E195)+(Sheet1!M$2:M$333=$E196),""),"-","POST"),_xlfn._xlws.FILTER(Sheet1!$A$2:$A$333,(Sheet1!M$2:M$333=$E194)+(Sheet1!M$2:M$333=$E195)+(Sheet1!M$2:M$333=$E196),"UNFILLED"))</f>
        <v>MANLEY, JOE</v>
      </c>
      <c r="K194" s="303" t="str" cm="1">
        <f t="array" ref="K194">IF(RIGHT(_xlfn._xlws.FILTER(Sheet1!$O$2:$O$333,(Sheet1!$O$2:$O$333=$E194)+(Sheet1!$O$2:$O$333=$E195)+(Sheet1!$O$2:$O$333=$E196),""),4)="POST",CONCATENATE(_xlfn._xlws.FILTER(Sheet1!$A$2:$A$333,(Sheet1!$O$2:$O$333=$E194)+(Sheet1!$O$2:$O$333=$E195)+(Sheet1!$O$2:$O$333=$E196),""),"-","POST"),_xlfn._xlws.FILTER(Sheet1!$A$2:$A$333,(Sheet1!$O$2:$O$333=$E194)+(Sheet1!$O$2:$O$333=$E195)+(Sheet1!$O$2:$O$333=$E196),"UNFILLED"))</f>
        <v>BUSH, MONICA</v>
      </c>
      <c r="L194" s="303" t="str" cm="1">
        <f t="array" ref="L194">IF(RIGHT(_xlfn._xlws.FILTER(Sheet1!$Q$2:$Q$333,(Sheet1!$Q$2:$Q$333=$E194)+(Sheet1!$Q$2:$Q$333=$E195)+(Sheet1!$Q$2:$Q$333=$E196),""),4)="POST",CONCATENATE(_xlfn._xlws.FILTER(Sheet1!$A$2:$A$333,(Sheet1!$Q$2:$Q$333=$E194)+(Sheet1!$Q$2:$Q$333=$E195)+(Sheet1!$Q$2:$Q$333=$E196),""),"-","POST"),_xlfn._xlws.FILTER(Sheet1!$A$2:$A$333,(Sheet1!$Q$2:$Q$333=$E194)+(Sheet1!$Q$2:$Q$333=$E195)+(Sheet1!$Q$2:$Q$333=$E196),"UNFILLED"))</f>
        <v>BUSH, MONICA</v>
      </c>
      <c r="M194" s="303" t="str" cm="1">
        <f t="array" ref="M194">IF(RIGHT(_xlfn._xlws.FILTER(Sheet1!$S$2:$S$333,(Sheet1!$S$2:$S$333=$E194)+(Sheet1!$S$2:$S$333=$E195)+(Sheet1!$S$2:$S$333=$E196),""),4)="POST",CONCATENATE(_xlfn._xlws.FILTER(Sheet1!$A$2:$A$333,(Sheet1!$S$2:$S$333=$E194)+(Sheet1!$S$2:$S$333=$E195)+(Sheet1!$S$2:$S$333=$E196),""),"-","POST"),_xlfn._xlws.FILTER(Sheet1!$A$2:$A$333,(Sheet1!$S$2:$S$333=$E194)+(Sheet1!$S$2:$S$333=$E195)+(Sheet1!$S$2:$S$333=$E196),"UNFILLED"))</f>
        <v>BUSH, MONICA</v>
      </c>
    </row>
    <row r="195" spans="3:13" ht="17.25" customHeight="1" x14ac:dyDescent="0.4">
      <c r="C195" s="472"/>
      <c r="D195" s="473"/>
      <c r="E195" s="168" t="str">
        <f>_xlfn.CONCAT(E194,"-","POST")</f>
        <v>KW-3-POST</v>
      </c>
      <c r="F195" s="466"/>
      <c r="G195" s="304"/>
      <c r="H195" s="304"/>
      <c r="I195" s="304"/>
      <c r="J195" s="304"/>
      <c r="K195" s="304"/>
      <c r="L195" s="304"/>
      <c r="M195" s="304"/>
    </row>
    <row r="196" spans="3:13" ht="17.25" customHeight="1" thickBot="1" x14ac:dyDescent="0.45">
      <c r="C196" s="472"/>
      <c r="D196" s="473"/>
      <c r="E196" s="168" t="str">
        <f>_xlfn.CONCAT(E194,"-","PILOT")</f>
        <v>KW-3-PILOT</v>
      </c>
      <c r="F196" s="467"/>
      <c r="G196" s="305"/>
      <c r="H196" s="305"/>
      <c r="I196" s="305"/>
      <c r="J196" s="305"/>
      <c r="K196" s="305"/>
      <c r="L196" s="305"/>
      <c r="M196" s="305"/>
    </row>
    <row r="197" spans="3:13" ht="28.5" customHeight="1" thickTop="1" x14ac:dyDescent="0.45">
      <c r="C197" s="472"/>
      <c r="D197" s="473"/>
      <c r="E197" s="175"/>
      <c r="F197" s="474" t="s">
        <v>44</v>
      </c>
      <c r="G197" s="475"/>
      <c r="H197" s="475"/>
      <c r="I197" s="475"/>
      <c r="J197" s="475"/>
      <c r="K197" s="475"/>
      <c r="L197" s="475"/>
      <c r="M197" s="476"/>
    </row>
    <row r="198" spans="3:13" ht="17.25" customHeight="1" x14ac:dyDescent="0.45">
      <c r="C198" s="472"/>
      <c r="D198" s="473"/>
      <c r="E198" s="175" t="s">
        <v>495</v>
      </c>
      <c r="F198" s="465" t="s">
        <v>1070</v>
      </c>
      <c r="G198" s="303" t="str" cm="1">
        <f t="array" ref="G198">IF(RIGHT(_xlfn._xlws.FILTER(Sheet1!$G$2:$G$333,(Sheet1!$G$2:$G$333=$E198)+(Sheet1!$G$2:$G$333=$E199)+(Sheet1!$G$2:$G$333=$E200),""),4)="POST",CONCATENATE(_xlfn._xlws.FILTER(Sheet1!$A$2:$A$333,(Sheet1!$G$2:$G$333=$E198)+(Sheet1!$G$2:$G$333=$E199)+(Sheet1!$G$2:$G$333=$E200),""),"-","POST"),_xlfn._xlws.FILTER(Sheet1!$A$2:$A$333,(Sheet1!$G$2:$G$333=$E198)+(Sheet1!$G$2:$G$333=$E199)+(Sheet1!$G$2:$G$333=$E200),"UNFILLED"))</f>
        <v>FORREST, AMANDA</v>
      </c>
      <c r="H198" s="303" t="str" cm="1">
        <f t="array" ref="H198">IF(RIGHT(_xlfn._xlws.FILTER(Sheet1!$I$2:$I$333,(Sheet1!$I$2:$I$333=$E198)+(Sheet1!$I$2:$I$333=$E199)+(Sheet1!$I$2:$I$333=$E200),""),4)="POST",CONCATENATE(_xlfn._xlws.FILTER(Sheet1!$A$2:$A$333,(Sheet1!$I$2:$I$333=$E198)+(Sheet1!$I$2:$I$333=$E199)+(Sheet1!$I$2:$I$333=$E200),""),"-","POST"),_xlfn._xlws.FILTER(Sheet1!$A$2:$A$333,(Sheet1!$I$2:$I$333=$E198)+(Sheet1!$I$2:$I$333=$E199)+(Sheet1!$I$2:$I$333=$E200),"UNFILLED"))</f>
        <v>LITTLE, RYAN</v>
      </c>
      <c r="I198" s="303" t="str" cm="1">
        <f t="array" ref="I198">IF(RIGHT(_xlfn._xlws.FILTER(Sheet1!$K$2:$K$333,(Sheet1!$K$2:$K$333=$E198)+(Sheet1!$K$2:$K$333=$E199)+(Sheet1!$K$2:$K$333=$E200),""),4)="POST",CONCATENATE(_xlfn._xlws.FILTER(Sheet1!$A$2:$A$333,(Sheet1!$K$2:$K$333=$E198)+(Sheet1!$K$2:$K$333=$E199)+(Sheet1!$K$2:$K$333=$E200),""),"-","POST"),_xlfn._xlws.FILTER(Sheet1!$A$2:$A$333,(Sheet1!$K$2:$K$333=$E198)+(Sheet1!$K$2:$K$333=$E199)+(Sheet1!$K$2:$K$333=$E200),"UNFILLED"))</f>
        <v>HAMILTON, MELVINA</v>
      </c>
      <c r="J198" s="303" t="str" cm="1">
        <f t="array" ref="J198">IF(RIGHT(_xlfn._xlws.FILTER(Sheet1!M$2:M$333,(Sheet1!M$2:M$333=$E198)+(Sheet1!M$2:M$333=$E199)+(Sheet1!M$2:M$333=$E200),""),4)="POST",CONCATENATE(_xlfn._xlws.FILTER(Sheet1!$A$2:$A$333,(Sheet1!M$2:M$333=$E198)+(Sheet1!M$2:M$333=$E199)+(Sheet1!M$2:M$333=$E200),""),"-","POST"),_xlfn._xlws.FILTER(Sheet1!$A$2:$A$333,(Sheet1!M$2:M$333=$E198)+(Sheet1!M$2:M$333=$E199)+(Sheet1!M$2:M$333=$E200),"UNFILLED"))</f>
        <v>TAYLOR, JASMINE</v>
      </c>
      <c r="K198" s="303" t="str" cm="1">
        <f t="array" ref="K198:K199">IF(RIGHT(_xlfn._xlws.FILTER(Sheet1!$O$2:$O$333,(Sheet1!$O$2:$O$333=$E198)+(Sheet1!$O$2:$O$333=$E199)+(Sheet1!$O$2:$O$333=$E200),""),4)="POST",CONCATENATE(_xlfn._xlws.FILTER(Sheet1!$A$2:$A$333,(Sheet1!$O$2:$O$333=$E198)+(Sheet1!$O$2:$O$333=$E199)+(Sheet1!$O$2:$O$333=$E200),""),"-","POST"),_xlfn._xlws.FILTER(Sheet1!$A$2:$A$333,(Sheet1!$O$2:$O$333=$E198)+(Sheet1!$O$2:$O$333=$E199)+(Sheet1!$O$2:$O$333=$E200),"UNFILLED"))</f>
        <v>LITTLE, RYAN</v>
      </c>
      <c r="L198" s="303" t="str" cm="1">
        <f t="array" ref="L198:L199">IF(RIGHT(_xlfn._xlws.FILTER(Sheet1!$Q$2:$Q$333,(Sheet1!$Q$2:$Q$333=$E198)+(Sheet1!$Q$2:$Q$333=$E199)+(Sheet1!$Q$2:$Q$333=$E200),""),4)="POST",CONCATENATE(_xlfn._xlws.FILTER(Sheet1!$A$2:$A$333,(Sheet1!$Q$2:$Q$333=$E198)+(Sheet1!$Q$2:$Q$333=$E199)+(Sheet1!$Q$2:$Q$333=$E200),""),"-","POST"),_xlfn._xlws.FILTER(Sheet1!$A$2:$A$333,(Sheet1!$Q$2:$Q$333=$E198)+(Sheet1!$Q$2:$Q$333=$E199)+(Sheet1!$Q$2:$Q$333=$E200),"UNFILLED"))</f>
        <v>NARBEN, GODWIN-POST</v>
      </c>
      <c r="M198" s="303" t="str" cm="1">
        <f t="array" ref="M198">IF(RIGHT(_xlfn._xlws.FILTER(Sheet1!$S$2:$S$333,(Sheet1!$S$2:$S$333=$E198)+(Sheet1!$S$2:$S$333=$E199)+(Sheet1!$S$2:$S$333=$E200),""),4)="POST",CONCATENATE(_xlfn._xlws.FILTER(Sheet1!$A$2:$A$333,(Sheet1!$S$2:$S$333=$E198)+(Sheet1!$S$2:$S$333=$E199)+(Sheet1!$S$2:$S$333=$E200),""),"-","POST"),_xlfn._xlws.FILTER(Sheet1!$A$2:$A$333,(Sheet1!$S$2:$S$333=$E198)+(Sheet1!$S$2:$S$333=$E199)+(Sheet1!$S$2:$S$333=$E200),"UNFILLED"))</f>
        <v>LITTLE, RYAN</v>
      </c>
    </row>
    <row r="199" spans="3:13" ht="17.25" customHeight="1" x14ac:dyDescent="0.4">
      <c r="C199" s="472"/>
      <c r="D199" s="473"/>
      <c r="E199" s="168" t="str">
        <f>_xlfn.CONCAT(E198,"-","POST")</f>
        <v>KN-3-POST</v>
      </c>
      <c r="F199" s="466"/>
      <c r="G199" s="304"/>
      <c r="H199" s="304"/>
      <c r="I199" s="304"/>
      <c r="J199" s="304"/>
      <c r="K199" s="304" t="str">
        <v>NARBEN, GODWIN-POST</v>
      </c>
      <c r="L199" s="304" t="str">
        <v>TINNIEHILL, KENESHIA</v>
      </c>
      <c r="M199" s="304"/>
    </row>
    <row r="200" spans="3:13" ht="17.25" customHeight="1" x14ac:dyDescent="0.4">
      <c r="C200" s="472"/>
      <c r="D200" s="473"/>
      <c r="E200" s="168" t="str">
        <f>_xlfn.CONCAT(E198,"-","PILOT")</f>
        <v>KN-3-PILOT</v>
      </c>
      <c r="F200" s="467"/>
      <c r="G200" s="305"/>
      <c r="H200" s="305"/>
      <c r="I200" s="305"/>
      <c r="J200" s="305"/>
      <c r="K200" s="305"/>
      <c r="L200" s="305"/>
      <c r="M200" s="305"/>
    </row>
    <row r="201" spans="3:13" ht="17.25" customHeight="1" x14ac:dyDescent="0.45">
      <c r="C201" s="472"/>
      <c r="D201" s="473"/>
      <c r="E201" s="175" t="s">
        <v>395</v>
      </c>
      <c r="F201" s="465" t="s">
        <v>1071</v>
      </c>
      <c r="G201" s="303" t="str" cm="1">
        <f t="array" ref="G201">IF(RIGHT(_xlfn._xlws.FILTER(Sheet1!$G$2:$G$333,(Sheet1!$G$2:$G$333=$E201)+(Sheet1!$G$2:$G$333=$E202)+(Sheet1!$G$2:$G$333=$E203),""),4)="POST",CONCATENATE(_xlfn._xlws.FILTER(Sheet1!$A$2:$A$333,(Sheet1!$G$2:$G$333=$E201)+(Sheet1!$G$2:$G$333=$E202)+(Sheet1!$G$2:$G$333=$E203),""),"-","POST"),_xlfn._xlws.FILTER(Sheet1!$A$2:$A$333,(Sheet1!$G$2:$G$333=$E201)+(Sheet1!$G$2:$G$333=$E202)+(Sheet1!$G$2:$G$333=$E203),"UNFILLED"))</f>
        <v>YOUNGER, SAMANTHA</v>
      </c>
      <c r="H201" s="303" t="str" cm="1">
        <f t="array" ref="H201">IF(RIGHT(_xlfn._xlws.FILTER(Sheet1!$I$2:$I$333,(Sheet1!$I$2:$I$333=$E201)+(Sheet1!$I$2:$I$333=$E202)+(Sheet1!$I$2:$I$333=$E203),""),4)="POST",CONCATENATE(_xlfn._xlws.FILTER(Sheet1!$A$2:$A$333,(Sheet1!$I$2:$I$333=$E201)+(Sheet1!$I$2:$I$333=$E202)+(Sheet1!$I$2:$I$333=$E203),""),"-","POST"),_xlfn._xlws.FILTER(Sheet1!$A$2:$A$333,(Sheet1!$I$2:$I$333=$E201)+(Sheet1!$I$2:$I$333=$E202)+(Sheet1!$I$2:$I$333=$E203),"UNFILLED"))</f>
        <v>YOUNGER, SAMANTHA</v>
      </c>
      <c r="I201" s="303" t="str" cm="1">
        <f t="array" ref="I201">IF(RIGHT(_xlfn._xlws.FILTER(Sheet1!$K$2:$K$333,(Sheet1!$K$2:$K$333=$E201)+(Sheet1!$K$2:$K$333=$E202)+(Sheet1!$K$2:$K$333=$E203),""),4)="POST",CONCATENATE(_xlfn._xlws.FILTER(Sheet1!$A$2:$A$333,(Sheet1!$K$2:$K$333=$E201)+(Sheet1!$K$2:$K$333=$E202)+(Sheet1!$K$2:$K$333=$E203),""),"-","POST"),_xlfn._xlws.FILTER(Sheet1!$A$2:$A$333,(Sheet1!$K$2:$K$333=$E201)+(Sheet1!$K$2:$K$333=$E202)+(Sheet1!$K$2:$K$333=$E203),"UNFILLED"))</f>
        <v>YOUNGER, SAMANTHA</v>
      </c>
      <c r="J201" s="303" t="str" cm="1">
        <f t="array" ref="J201">IF(RIGHT(_xlfn._xlws.FILTER(Sheet1!M$2:M$333,(Sheet1!M$2:M$333=$E201)+(Sheet1!M$2:M$333=$E202)+(Sheet1!M$2:M$333=$E203),""),4)="POST",CONCATENATE(_xlfn._xlws.FILTER(Sheet1!$A$2:$A$333,(Sheet1!M$2:M$333=$E201)+(Sheet1!M$2:M$333=$E202)+(Sheet1!M$2:M$333=$E203),""),"-","POST"),_xlfn._xlws.FILTER(Sheet1!$A$2:$A$333,(Sheet1!M$2:M$333=$E201)+(Sheet1!M$2:M$333=$E202)+(Sheet1!M$2:M$333=$E203),"UNFILLED"))</f>
        <v>CREWS, THORNE</v>
      </c>
      <c r="K201" s="303" t="str" cm="1">
        <f t="array" ref="K201">IF(RIGHT(_xlfn._xlws.FILTER(Sheet1!$O$2:$O$333,(Sheet1!$O$2:$O$333=$E201)+(Sheet1!$O$2:$O$333=$E202)+(Sheet1!$O$2:$O$333=$E203),""),4)="POST",CONCATENATE(_xlfn._xlws.FILTER(Sheet1!$A$2:$A$333,(Sheet1!$O$2:$O$333=$E201)+(Sheet1!$O$2:$O$333=$E202)+(Sheet1!$O$2:$O$333=$E203),""),"-","POST"),_xlfn._xlws.FILTER(Sheet1!$A$2:$A$333,(Sheet1!$O$2:$O$333=$E201)+(Sheet1!$O$2:$O$333=$E202)+(Sheet1!$O$2:$O$333=$E203),"UNFILLED"))</f>
        <v>HAMILTON, MELVINA</v>
      </c>
      <c r="L201" s="303" t="str" cm="1">
        <f t="array" ref="L201">IF(RIGHT(_xlfn._xlws.FILTER(Sheet1!$Q$2:$Q$333,(Sheet1!$Q$2:$Q$333=$E201)+(Sheet1!$Q$2:$Q$333=$E202)+(Sheet1!$Q$2:$Q$333=$E203),""),4)="POST",CONCATENATE(_xlfn._xlws.FILTER(Sheet1!$A$2:$A$333,(Sheet1!$Q$2:$Q$333=$E201)+(Sheet1!$Q$2:$Q$333=$E202)+(Sheet1!$Q$2:$Q$333=$E203),""),"-","POST"),_xlfn._xlws.FILTER(Sheet1!$A$2:$A$333,(Sheet1!$Q$2:$Q$333=$E201)+(Sheet1!$Q$2:$Q$333=$E202)+(Sheet1!$Q$2:$Q$333=$E203),"UNFILLED"))</f>
        <v>YOUNGER, SAMANTHA</v>
      </c>
      <c r="M201" s="303" t="str" cm="1">
        <f t="array" ref="M201">IF(RIGHT(_xlfn._xlws.FILTER(Sheet1!$S$2:$S$333,(Sheet1!$S$2:$S$333=$E201)+(Sheet1!$S$2:$S$333=$E202)+(Sheet1!$S$2:$S$333=$E203),""),4)="POST",CONCATENATE(_xlfn._xlws.FILTER(Sheet1!$A$2:$A$333,(Sheet1!$S$2:$S$333=$E201)+(Sheet1!$S$2:$S$333=$E202)+(Sheet1!$S$2:$S$333=$E203),""),"-","POST"),_xlfn._xlws.FILTER(Sheet1!$A$2:$A$333,(Sheet1!$S$2:$S$333=$E201)+(Sheet1!$S$2:$S$333=$E202)+(Sheet1!$S$2:$S$333=$E203),"UNFILLED"))</f>
        <v>YOUNGER, SAMANTHA</v>
      </c>
    </row>
    <row r="202" spans="3:13" ht="17.25" customHeight="1" x14ac:dyDescent="0.4">
      <c r="C202" s="472"/>
      <c r="D202" s="473"/>
      <c r="E202" s="168" t="str">
        <f>_xlfn.CONCAT(E201,"-","POST")</f>
        <v>PO-3-POST</v>
      </c>
      <c r="F202" s="466"/>
      <c r="G202" s="304"/>
      <c r="H202" s="304"/>
      <c r="I202" s="304"/>
      <c r="J202" s="304"/>
      <c r="K202" s="304"/>
      <c r="L202" s="304"/>
      <c r="M202" s="304"/>
    </row>
    <row r="203" spans="3:13" ht="17.25" customHeight="1" x14ac:dyDescent="0.4">
      <c r="C203" s="472"/>
      <c r="D203" s="473"/>
      <c r="E203" s="168" t="str">
        <f>_xlfn.CONCAT(E201,"-","PILOT")</f>
        <v>PO-3-PILOT</v>
      </c>
      <c r="F203" s="467"/>
      <c r="G203" s="305"/>
      <c r="H203" s="305"/>
      <c r="I203" s="305"/>
      <c r="J203" s="305"/>
      <c r="K203" s="305"/>
      <c r="L203" s="305"/>
      <c r="M203" s="305"/>
    </row>
    <row r="204" spans="3:13" ht="17.25" customHeight="1" x14ac:dyDescent="0.45">
      <c r="C204" s="472"/>
      <c r="D204" s="473"/>
      <c r="E204" s="175" t="s">
        <v>496</v>
      </c>
      <c r="F204" s="465" t="s">
        <v>1072</v>
      </c>
      <c r="G204" s="303" t="str" cm="1">
        <f t="array" ref="G204">IF(RIGHT(_xlfn._xlws.FILTER(Sheet1!$G$2:$G$333,(Sheet1!$G$2:$G$333=$E204)+(Sheet1!$G$2:$G$333=$E205)+(Sheet1!$G$2:$G$333=$E206),""),4)="POST",CONCATENATE(_xlfn._xlws.FILTER(Sheet1!$A$2:$A$333,(Sheet1!$G$2:$G$333=$E204)+(Sheet1!$G$2:$G$333=$E205)+(Sheet1!$G$2:$G$333=$E206),""),"-","POST"),_xlfn._xlws.FILTER(Sheet1!$A$2:$A$333,(Sheet1!$G$2:$G$333=$E204)+(Sheet1!$G$2:$G$333=$E205)+(Sheet1!$G$2:$G$333=$E206),"UNFILLED"))</f>
        <v>SHAW, JUSTIN</v>
      </c>
      <c r="H204" s="303" t="str" cm="1">
        <f t="array" ref="H204">IF(RIGHT(_xlfn._xlws.FILTER(Sheet1!$I$2:$I$333,(Sheet1!$I$2:$I$333=$E204)+(Sheet1!$I$2:$I$333=$E205)+(Sheet1!$I$2:$I$333=$E206),""),4)="POST",CONCATENATE(_xlfn._xlws.FILTER(Sheet1!$A$2:$A$333,(Sheet1!$I$2:$I$333=$E204)+(Sheet1!$I$2:$I$333=$E205)+(Sheet1!$I$2:$I$333=$E206),""),"-","POST"),_xlfn._xlws.FILTER(Sheet1!$A$2:$A$333,(Sheet1!$I$2:$I$333=$E204)+(Sheet1!$I$2:$I$333=$E205)+(Sheet1!$I$2:$I$333=$E206),"UNFILLED"))</f>
        <v>SHAW, JUSTIN</v>
      </c>
      <c r="I204" s="303" t="str" cm="1">
        <f t="array" ref="I204">IF(RIGHT(_xlfn._xlws.FILTER(Sheet1!$K$2:$K$333,(Sheet1!$K$2:$K$333=$E204)+(Sheet1!$K$2:$K$333=$E205)+(Sheet1!$K$2:$K$333=$E206),""),4)="POST",CONCATENATE(_xlfn._xlws.FILTER(Sheet1!$A$2:$A$333,(Sheet1!$K$2:$K$333=$E204)+(Sheet1!$K$2:$K$333=$E205)+(Sheet1!$K$2:$K$333=$E206),""),"-","POST"),_xlfn._xlws.FILTER(Sheet1!$A$2:$A$333,(Sheet1!$K$2:$K$333=$E204)+(Sheet1!$K$2:$K$333=$E205)+(Sheet1!$K$2:$K$333=$E206),"UNFILLED"))</f>
        <v>FORREST, AMANDA</v>
      </c>
      <c r="J204" s="303" t="str" cm="1">
        <f t="array" ref="J204">IF(RIGHT(_xlfn._xlws.FILTER(Sheet1!M$2:M$333,(Sheet1!M$2:M$333=$E204)+(Sheet1!M$2:M$333=$E205)+(Sheet1!M$2:M$333=$E206),""),4)="POST",CONCATENATE(_xlfn._xlws.FILTER(Sheet1!$A$2:$A$333,(Sheet1!M$2:M$333=$E204)+(Sheet1!M$2:M$333=$E205)+(Sheet1!M$2:M$333=$E206),""),"-","POST"),_xlfn._xlws.FILTER(Sheet1!$A$2:$A$333,(Sheet1!M$2:M$333=$E204)+(Sheet1!M$2:M$333=$E205)+(Sheet1!M$2:M$333=$E206),"UNFILLED"))</f>
        <v>HAMILTON, MELVINA</v>
      </c>
      <c r="K204" s="303" t="str" cm="1">
        <f t="array" ref="K204">IF(RIGHT(_xlfn._xlws.FILTER(Sheet1!$O$2:$O$333,(Sheet1!$O$2:$O$333=$E204)+(Sheet1!$O$2:$O$333=$E205)+(Sheet1!$O$2:$O$333=$E206),""),4)="POST",CONCATENATE(_xlfn._xlws.FILTER(Sheet1!$A$2:$A$333,(Sheet1!$O$2:$O$333=$E204)+(Sheet1!$O$2:$O$333=$E205)+(Sheet1!$O$2:$O$333=$E206),""),"-","POST"),_xlfn._xlws.FILTER(Sheet1!$A$2:$A$333,(Sheet1!$O$2:$O$333=$E204)+(Sheet1!$O$2:$O$333=$E205)+(Sheet1!$O$2:$O$333=$E206),"UNFILLED"))</f>
        <v>LEDBETTER, SYLVIA</v>
      </c>
      <c r="L204" s="303" t="str" cm="1">
        <f t="array" ref="L204">IF(RIGHT(_xlfn._xlws.FILTER(Sheet1!$Q$2:$Q$333,(Sheet1!$Q$2:$Q$333=$E204)+(Sheet1!$Q$2:$Q$333=$E205)+(Sheet1!$Q$2:$Q$333=$E206),""),4)="POST",CONCATENATE(_xlfn._xlws.FILTER(Sheet1!$A$2:$A$333,(Sheet1!$Q$2:$Q$333=$E204)+(Sheet1!$Q$2:$Q$333=$E205)+(Sheet1!$Q$2:$Q$333=$E206),""),"-","POST"),_xlfn._xlws.FILTER(Sheet1!$A$2:$A$333,(Sheet1!$Q$2:$Q$333=$E204)+(Sheet1!$Q$2:$Q$333=$E205)+(Sheet1!$Q$2:$Q$333=$E206),"UNFILLED"))</f>
        <v>FORREST, AMANDA</v>
      </c>
      <c r="M204" s="303" t="str" cm="1">
        <f t="array" ref="M204">IF(RIGHT(_xlfn._xlws.FILTER(Sheet1!$S$2:$S$333,(Sheet1!$S$2:$S$333=$E204)+(Sheet1!$S$2:$S$333=$E205)+(Sheet1!$S$2:$S$333=$E206),""),4)="POST",CONCATENATE(_xlfn._xlws.FILTER(Sheet1!$A$2:$A$333,(Sheet1!$S$2:$S$333=$E204)+(Sheet1!$S$2:$S$333=$E205)+(Sheet1!$S$2:$S$333=$E206),""),"-","POST"),_xlfn._xlws.FILTER(Sheet1!$A$2:$A$333,(Sheet1!$S$2:$S$333=$E204)+(Sheet1!$S$2:$S$333=$E205)+(Sheet1!$S$2:$S$333=$E206),"UNFILLED"))</f>
        <v>SHAW, JUSTIN</v>
      </c>
    </row>
    <row r="205" spans="3:13" ht="17.25" customHeight="1" x14ac:dyDescent="0.4">
      <c r="C205" s="472"/>
      <c r="D205" s="473"/>
      <c r="E205" s="168" t="str">
        <f>_xlfn.CONCAT(E204,"-","POST")</f>
        <v>NR-3-POST</v>
      </c>
      <c r="F205" s="466"/>
      <c r="G205" s="304"/>
      <c r="H205" s="304"/>
      <c r="I205" s="304"/>
      <c r="J205" s="304"/>
      <c r="K205" s="304"/>
      <c r="L205" s="304"/>
      <c r="M205" s="304"/>
    </row>
    <row r="206" spans="3:13" ht="17.25" customHeight="1" x14ac:dyDescent="0.4">
      <c r="C206" s="472"/>
      <c r="D206" s="473"/>
      <c r="E206" s="168" t="str">
        <f>_xlfn.CONCAT(E204,"-","PILOT")</f>
        <v>NR-3-PILOT</v>
      </c>
      <c r="F206" s="467"/>
      <c r="G206" s="305"/>
      <c r="H206" s="305"/>
      <c r="I206" s="305"/>
      <c r="J206" s="305"/>
      <c r="K206" s="305"/>
      <c r="L206" s="305"/>
      <c r="M206" s="305"/>
    </row>
    <row r="207" spans="3:13" ht="17.25" customHeight="1" x14ac:dyDescent="0.45">
      <c r="C207" s="472"/>
      <c r="D207" s="473"/>
      <c r="E207" s="175" t="s">
        <v>569</v>
      </c>
      <c r="F207" s="465" t="s">
        <v>1073</v>
      </c>
      <c r="G207" s="303" t="str" cm="1">
        <f t="array" ref="G207">IF(RIGHT(_xlfn._xlws.FILTER(Sheet1!$G$2:$G$333,(Sheet1!$G$2:$G$333=$E207)+(Sheet1!$G$2:$G$333=$E208)+(Sheet1!$G$2:$G$333=$E209),""),4)="POST",CONCATENATE(_xlfn._xlws.FILTER(Sheet1!$A$2:$A$333,(Sheet1!$G$2:$G$333=$E207)+(Sheet1!$G$2:$G$333=$E208)+(Sheet1!$G$2:$G$333=$E209),""),"-","POST"),_xlfn._xlws.FILTER(Sheet1!$A$2:$A$333,(Sheet1!$G$2:$G$333=$E207)+(Sheet1!$G$2:$G$333=$E208)+(Sheet1!$G$2:$G$333=$E209),"UNFILLED"))</f>
        <v>GREEN, SUSAN</v>
      </c>
      <c r="H207" s="303" t="str" cm="1">
        <f t="array" ref="H207">IF(RIGHT(_xlfn._xlws.FILTER(Sheet1!$I$2:$I$333,(Sheet1!$I$2:$I$333=$E207)+(Sheet1!$I$2:$I$333=$E208)+(Sheet1!$I$2:$I$333=$E209),""),4)="POST",CONCATENATE(_xlfn._xlws.FILTER(Sheet1!$A$2:$A$333,(Sheet1!$I$2:$I$333=$E207)+(Sheet1!$I$2:$I$333=$E208)+(Sheet1!$I$2:$I$333=$E209),""),"-","POST"),_xlfn._xlws.FILTER(Sheet1!$A$2:$A$333,(Sheet1!$I$2:$I$333=$E207)+(Sheet1!$I$2:$I$333=$E208)+(Sheet1!$I$2:$I$333=$E209),"UNFILLED"))</f>
        <v>MENDOZA-MORGAN, BROOKLYN</v>
      </c>
      <c r="I207" s="303" t="str" cm="1">
        <f t="array" ref="I207">IF(RIGHT(_xlfn._xlws.FILTER(Sheet1!$K$2:$K$333,(Sheet1!$K$2:$K$333=$E207)+(Sheet1!$K$2:$K$333=$E208)+(Sheet1!$K$2:$K$333=$E209),""),4)="POST",CONCATENATE(_xlfn._xlws.FILTER(Sheet1!$A$2:$A$333,(Sheet1!$K$2:$K$333=$E207)+(Sheet1!$K$2:$K$333=$E208)+(Sheet1!$K$2:$K$333=$E209),""),"-","POST"),_xlfn._xlws.FILTER(Sheet1!$A$2:$A$333,(Sheet1!$K$2:$K$333=$E207)+(Sheet1!$K$2:$K$333=$E208)+(Sheet1!$K$2:$K$333=$E209),"UNFILLED"))</f>
        <v>GREEN, SUSAN</v>
      </c>
      <c r="J207" s="303" t="str" cm="1">
        <f t="array" ref="J207">IF(RIGHT(_xlfn._xlws.FILTER(Sheet1!M$2:M$333,(Sheet1!M$2:M$333=$E207)+(Sheet1!M$2:M$333=$E208)+(Sheet1!M$2:M$333=$E209),""),4)="POST",CONCATENATE(_xlfn._xlws.FILTER(Sheet1!$A$2:$A$333,(Sheet1!M$2:M$333=$E207)+(Sheet1!M$2:M$333=$E208)+(Sheet1!M$2:M$333=$E209),""),"-","POST"),_xlfn._xlws.FILTER(Sheet1!$A$2:$A$333,(Sheet1!M$2:M$333=$E207)+(Sheet1!M$2:M$333=$E208)+(Sheet1!M$2:M$333=$E209),"UNFILLED"))</f>
        <v>GRAHAM, KEITH</v>
      </c>
      <c r="K207" s="303" t="str" cm="1">
        <f t="array" ref="K207">IF(RIGHT(_xlfn._xlws.FILTER(Sheet1!$O$2:$O$333,(Sheet1!$O$2:$O$333=$E207)+(Sheet1!$O$2:$O$333=$E208)+(Sheet1!$O$2:$O$333=$E209),""),4)="POST",CONCATENATE(_xlfn._xlws.FILTER(Sheet1!$A$2:$A$333,(Sheet1!$O$2:$O$333=$E207)+(Sheet1!$O$2:$O$333=$E208)+(Sheet1!$O$2:$O$333=$E209),""),"-","POST"),_xlfn._xlws.FILTER(Sheet1!$A$2:$A$333,(Sheet1!$O$2:$O$333=$E207)+(Sheet1!$O$2:$O$333=$E208)+(Sheet1!$O$2:$O$333=$E209),"UNFILLED"))</f>
        <v>REED, JAMES</v>
      </c>
      <c r="L207" s="303" t="str" cm="1">
        <f t="array" ref="L207">IF(RIGHT(_xlfn._xlws.FILTER(Sheet1!$Q$2:$Q$333,(Sheet1!$Q$2:$Q$333=$E207)+(Sheet1!$Q$2:$Q$333=$E208)+(Sheet1!$Q$2:$Q$333=$E209),""),4)="POST",CONCATENATE(_xlfn._xlws.FILTER(Sheet1!$A$2:$A$333,(Sheet1!$Q$2:$Q$333=$E207)+(Sheet1!$Q$2:$Q$333=$E208)+(Sheet1!$Q$2:$Q$333=$E209),""),"-","POST"),_xlfn._xlws.FILTER(Sheet1!$A$2:$A$333,(Sheet1!$Q$2:$Q$333=$E207)+(Sheet1!$Q$2:$Q$333=$E208)+(Sheet1!$Q$2:$Q$333=$E209),"UNFILLED"))</f>
        <v>GREEN, SUSAN</v>
      </c>
      <c r="M207" s="303" t="str" cm="1">
        <f t="array" ref="M207">IF(RIGHT(_xlfn._xlws.FILTER(Sheet1!$S$2:$S$333,(Sheet1!$S$2:$S$333=$E207)+(Sheet1!$S$2:$S$333=$E208)+(Sheet1!$S$2:$S$333=$E209),""),4)="POST",CONCATENATE(_xlfn._xlws.FILTER(Sheet1!$A$2:$A$333,(Sheet1!$S$2:$S$333=$E207)+(Sheet1!$S$2:$S$333=$E208)+(Sheet1!$S$2:$S$333=$E209),""),"-","POST"),_xlfn._xlws.FILTER(Sheet1!$A$2:$A$333,(Sheet1!$S$2:$S$333=$E207)+(Sheet1!$S$2:$S$333=$E208)+(Sheet1!$S$2:$S$333=$E209),"UNFILLED"))</f>
        <v>GREEN, SUSAN</v>
      </c>
    </row>
    <row r="208" spans="3:13" ht="17.25" customHeight="1" x14ac:dyDescent="0.4">
      <c r="C208" s="472"/>
      <c r="D208" s="473"/>
      <c r="E208" s="168" t="str">
        <f>_xlfn.CONCAT(E207,"-","POST")</f>
        <v>ET-3-POST</v>
      </c>
      <c r="F208" s="466"/>
      <c r="G208" s="304"/>
      <c r="H208" s="304"/>
      <c r="I208" s="304"/>
      <c r="J208" s="304"/>
      <c r="K208" s="304"/>
      <c r="L208" s="304"/>
      <c r="M208" s="304"/>
    </row>
    <row r="209" spans="3:13" ht="17.25" customHeight="1" x14ac:dyDescent="0.4">
      <c r="C209" s="472"/>
      <c r="D209" s="473"/>
      <c r="E209" s="168" t="str">
        <f>_xlfn.CONCAT(E207,"-","PILOT")</f>
        <v>ET-3-PILOT</v>
      </c>
      <c r="F209" s="467"/>
      <c r="G209" s="305"/>
      <c r="H209" s="305"/>
      <c r="I209" s="305"/>
      <c r="J209" s="305"/>
      <c r="K209" s="305"/>
      <c r="L209" s="305"/>
      <c r="M209" s="305"/>
    </row>
    <row r="210" spans="3:13" ht="17.25" customHeight="1" x14ac:dyDescent="0.45">
      <c r="C210" s="472"/>
      <c r="D210" s="473"/>
      <c r="E210" s="175" t="s">
        <v>394</v>
      </c>
      <c r="F210" s="465" t="s">
        <v>1074</v>
      </c>
      <c r="G210" s="303" t="str" cm="1">
        <f t="array" ref="G210">IF(RIGHT(_xlfn._xlws.FILTER(Sheet1!$G$2:$G$333,(Sheet1!$G$2:$G$333=$E210)+(Sheet1!$G$2:$G$333=$E211)+(Sheet1!$G$2:$G$333=$E212),""),4)="POST",CONCATENATE(_xlfn._xlws.FILTER(Sheet1!$A$2:$A$333,(Sheet1!$G$2:$G$333=$E210)+(Sheet1!$G$2:$G$333=$E211)+(Sheet1!$G$2:$G$333=$E212),""),"-","POST"),_xlfn._xlws.FILTER(Sheet1!$A$2:$A$333,(Sheet1!$G$2:$G$333=$E210)+(Sheet1!$G$2:$G$333=$E211)+(Sheet1!$G$2:$G$333=$E212),"UNFILLED"))</f>
        <v>DAVIS, JIM</v>
      </c>
      <c r="H210" s="303" t="str" cm="1">
        <f t="array" ref="H210">IF(RIGHT(_xlfn._xlws.FILTER(Sheet1!$I$2:$I$333,(Sheet1!$I$2:$I$333=$E210)+(Sheet1!$I$2:$I$333=$E211)+(Sheet1!$I$2:$I$333=$E212),""),4)="POST",CONCATENATE(_xlfn._xlws.FILTER(Sheet1!$A$2:$A$333,(Sheet1!$I$2:$I$333=$E210)+(Sheet1!$I$2:$I$333=$E211)+(Sheet1!$I$2:$I$333=$E212),""),"-","POST"),_xlfn._xlws.FILTER(Sheet1!$A$2:$A$333,(Sheet1!$I$2:$I$333=$E210)+(Sheet1!$I$2:$I$333=$E211)+(Sheet1!$I$2:$I$333=$E212),"UNFILLED"))</f>
        <v>DAVIS, JIM</v>
      </c>
      <c r="I210" s="303" t="str" cm="1">
        <f t="array" ref="I210">IF(RIGHT(_xlfn._xlws.FILTER(Sheet1!$K$2:$K$333,(Sheet1!$K$2:$K$333=$E210)+(Sheet1!$K$2:$K$333=$E211)+(Sheet1!$K$2:$K$333=$E212),""),4)="POST",CONCATENATE(_xlfn._xlws.FILTER(Sheet1!$A$2:$A$333,(Sheet1!$K$2:$K$333=$E210)+(Sheet1!$K$2:$K$333=$E211)+(Sheet1!$K$2:$K$333=$E212),""),"-","POST"),_xlfn._xlws.FILTER(Sheet1!$A$2:$A$333,(Sheet1!$K$2:$K$333=$E210)+(Sheet1!$K$2:$K$333=$E211)+(Sheet1!$K$2:$K$333=$E212),"UNFILLED"))</f>
        <v>CREWS, THORNE</v>
      </c>
      <c r="J210" s="303" t="str" cm="1">
        <f t="array" ref="J210">IF(RIGHT(_xlfn._xlws.FILTER(Sheet1!M$2:M$333,(Sheet1!M$2:M$333=$E210)+(Sheet1!M$2:M$333=$E211)+(Sheet1!M$2:M$333=$E212),""),4)="POST",CONCATENATE(_xlfn._xlws.FILTER(Sheet1!$A$2:$A$333,(Sheet1!M$2:M$333=$E210)+(Sheet1!M$2:M$333=$E211)+(Sheet1!M$2:M$333=$E212),""),"-","POST"),_xlfn._xlws.FILTER(Sheet1!$A$2:$A$333,(Sheet1!M$2:M$333=$E210)+(Sheet1!M$2:M$333=$E211)+(Sheet1!M$2:M$333=$E212),"UNFILLED"))</f>
        <v>DAVIS, JIM</v>
      </c>
      <c r="K210" s="303" t="str" cm="1">
        <f t="array" ref="K210">IF(RIGHT(_xlfn._xlws.FILTER(Sheet1!$O$2:$O$333,(Sheet1!$O$2:$O$333=$E210)+(Sheet1!$O$2:$O$333=$E211)+(Sheet1!$O$2:$O$333=$E212),""),4)="POST",CONCATENATE(_xlfn._xlws.FILTER(Sheet1!$A$2:$A$333,(Sheet1!$O$2:$O$333=$E210)+(Sheet1!$O$2:$O$333=$E211)+(Sheet1!$O$2:$O$333=$E212),""),"-","POST"),_xlfn._xlws.FILTER(Sheet1!$A$2:$A$333,(Sheet1!$O$2:$O$333=$E210)+(Sheet1!$O$2:$O$333=$E211)+(Sheet1!$O$2:$O$333=$E212),"UNFILLED"))</f>
        <v>DAVIS, JIM</v>
      </c>
      <c r="L210" s="303" t="str" cm="1">
        <f t="array" ref="L210">IF(RIGHT(_xlfn._xlws.FILTER(Sheet1!$Q$2:$Q$333,(Sheet1!$Q$2:$Q$333=$E210)+(Sheet1!$Q$2:$Q$333=$E211)+(Sheet1!$Q$2:$Q$333=$E212),""),4)="POST",CONCATENATE(_xlfn._xlws.FILTER(Sheet1!$A$2:$A$333,(Sheet1!$Q$2:$Q$333=$E210)+(Sheet1!$Q$2:$Q$333=$E211)+(Sheet1!$Q$2:$Q$333=$E212),""),"-","POST"),_xlfn._xlws.FILTER(Sheet1!$A$2:$A$333,(Sheet1!$Q$2:$Q$333=$E210)+(Sheet1!$Q$2:$Q$333=$E211)+(Sheet1!$Q$2:$Q$333=$E212),"UNFILLED"))</f>
        <v>TALLEY, OHAN</v>
      </c>
      <c r="M210" s="303" t="str" cm="1">
        <f t="array" ref="M210">IF(RIGHT(_xlfn._xlws.FILTER(Sheet1!$S$2:$S$333,(Sheet1!$S$2:$S$333=$E210)+(Sheet1!$S$2:$S$333=$E211)+(Sheet1!$S$2:$S$333=$E212),""),4)="POST",CONCATENATE(_xlfn._xlws.FILTER(Sheet1!$A$2:$A$333,(Sheet1!$S$2:$S$333=$E210)+(Sheet1!$S$2:$S$333=$E211)+(Sheet1!$S$2:$S$333=$E212),""),"-","POST"),_xlfn._xlws.FILTER(Sheet1!$A$2:$A$333,(Sheet1!$S$2:$S$333=$E210)+(Sheet1!$S$2:$S$333=$E211)+(Sheet1!$S$2:$S$333=$E212),"UNFILLED"))</f>
        <v>ISBELL, STEVE</v>
      </c>
    </row>
    <row r="211" spans="3:13" ht="17.25" customHeight="1" x14ac:dyDescent="0.4">
      <c r="C211" s="472"/>
      <c r="D211" s="473"/>
      <c r="E211" s="168" t="str">
        <f>_xlfn.CONCAT(E210,"-","POST")</f>
        <v>RT-3-POST</v>
      </c>
      <c r="F211" s="466"/>
      <c r="G211" s="304"/>
      <c r="H211" s="304"/>
      <c r="I211" s="304"/>
      <c r="J211" s="304"/>
      <c r="K211" s="304"/>
      <c r="L211" s="304"/>
      <c r="M211" s="304"/>
    </row>
    <row r="212" spans="3:13" ht="17.25" customHeight="1" x14ac:dyDescent="0.4">
      <c r="C212" s="472"/>
      <c r="D212" s="473"/>
      <c r="E212" s="168" t="str">
        <f>_xlfn.CONCAT(E210,"-","PILOT")</f>
        <v>RT-3-PILOT</v>
      </c>
      <c r="F212" s="467"/>
      <c r="G212" s="305"/>
      <c r="H212" s="305"/>
      <c r="I212" s="305"/>
      <c r="J212" s="305"/>
      <c r="K212" s="305"/>
      <c r="L212" s="305"/>
      <c r="M212" s="305"/>
    </row>
    <row r="213" spans="3:13" ht="17.25" customHeight="1" x14ac:dyDescent="0.45">
      <c r="C213" s="472"/>
      <c r="D213" s="473"/>
      <c r="E213" s="175" t="s">
        <v>647</v>
      </c>
      <c r="F213" s="465" t="s">
        <v>1075</v>
      </c>
      <c r="G213" s="303" t="str" cm="1">
        <f t="array" ref="G213">IF(RIGHT(_xlfn._xlws.FILTER(Sheet1!$G$2:$G$333,(Sheet1!$G$2:$G$333=$E213)+(Sheet1!$G$2:$G$333=$E214)+(Sheet1!$G$2:$G$333=$E215),""),4)="POST",CONCATENATE(_xlfn._xlws.FILTER(Sheet1!$A$2:$A$333,(Sheet1!$G$2:$G$333=$E213)+(Sheet1!$G$2:$G$333=$E214)+(Sheet1!$G$2:$G$333=$E215),""),"-","POST"),_xlfn._xlws.FILTER(Sheet1!$A$2:$A$333,(Sheet1!$G$2:$G$333=$E213)+(Sheet1!$G$2:$G$333=$E214)+(Sheet1!$G$2:$G$333=$E215),"UNFILLED"))</f>
        <v>ROBINSON, ANDY</v>
      </c>
      <c r="H213" s="303" t="str" cm="1">
        <f t="array" ref="H213">IF(RIGHT(_xlfn._xlws.FILTER(Sheet1!$I$2:$I$333,(Sheet1!$I$2:$I$333=$E213)+(Sheet1!$I$2:$I$333=$E214)+(Sheet1!$I$2:$I$333=$E215),""),4)="POST",CONCATENATE(_xlfn._xlws.FILTER(Sheet1!$A$2:$A$333,(Sheet1!$I$2:$I$333=$E213)+(Sheet1!$I$2:$I$333=$E214)+(Sheet1!$I$2:$I$333=$E215),""),"-","POST"),_xlfn._xlws.FILTER(Sheet1!$A$2:$A$333,(Sheet1!$I$2:$I$333=$E213)+(Sheet1!$I$2:$I$333=$E214)+(Sheet1!$I$2:$I$333=$E215),"UNFILLED"))</f>
        <v>ROBINSON, ANDY</v>
      </c>
      <c r="I213" s="303" t="str" cm="1">
        <f t="array" ref="I213">IF(RIGHT(_xlfn._xlws.FILTER(Sheet1!$K$2:$K$333,(Sheet1!$K$2:$K$333=$E213)+(Sheet1!$K$2:$K$333=$E214)+(Sheet1!$K$2:$K$333=$E215),""),4)="POST",CONCATENATE(_xlfn._xlws.FILTER(Sheet1!$A$2:$A$333,(Sheet1!$K$2:$K$333=$E213)+(Sheet1!$K$2:$K$333=$E214)+(Sheet1!$K$2:$K$333=$E215),""),"-","POST"),_xlfn._xlws.FILTER(Sheet1!$A$2:$A$333,(Sheet1!$K$2:$K$333=$E213)+(Sheet1!$K$2:$K$333=$E214)+(Sheet1!$K$2:$K$333=$E215),"UNFILLED"))</f>
        <v>ROBINSON, ANDY</v>
      </c>
      <c r="J213" s="303" t="str" cm="1">
        <f t="array" ref="J213">IF(RIGHT(_xlfn._xlws.FILTER(Sheet1!M$2:M$333,(Sheet1!M$2:M$333=$E213)+(Sheet1!M$2:M$333=$E214)+(Sheet1!M$2:M$333=$E215),""),4)="POST",CONCATENATE(_xlfn._xlws.FILTER(Sheet1!$A$2:$A$333,(Sheet1!M$2:M$333=$E213)+(Sheet1!M$2:M$333=$E214)+(Sheet1!M$2:M$333=$E215),""),"-","POST"),_xlfn._xlws.FILTER(Sheet1!$A$2:$A$333,(Sheet1!M$2:M$333=$E213)+(Sheet1!M$2:M$333=$E214)+(Sheet1!M$2:M$333=$E215),"UNFILLED"))</f>
        <v>WILSON, AISHA</v>
      </c>
      <c r="K213" s="303" t="str" cm="1">
        <f t="array" ref="K213:K214">IF(RIGHT(_xlfn._xlws.FILTER(Sheet1!$O$2:$O$333,(Sheet1!$O$2:$O$333=$E213)+(Sheet1!$O$2:$O$333=$E214)+(Sheet1!$O$2:$O$333=$E215),""),4)="POST",CONCATENATE(_xlfn._xlws.FILTER(Sheet1!$A$2:$A$333,(Sheet1!$O$2:$O$333=$E213)+(Sheet1!$O$2:$O$333=$E214)+(Sheet1!$O$2:$O$333=$E215),""),"-","POST"),_xlfn._xlws.FILTER(Sheet1!$A$2:$A$333,(Sheet1!$O$2:$O$333=$E213)+(Sheet1!$O$2:$O$333=$E214)+(Sheet1!$O$2:$O$333=$E215),"UNFILLED"))</f>
        <v>ISBELL, STEVE</v>
      </c>
      <c r="L213" s="303" t="str" cm="1">
        <f t="array" ref="L213:L214">IF(RIGHT(_xlfn._xlws.FILTER(Sheet1!$Q$2:$Q$333,(Sheet1!$Q$2:$Q$333=$E213)+(Sheet1!$Q$2:$Q$333=$E214)+(Sheet1!$Q$2:$Q$333=$E215),""),4)="POST",CONCATENATE(_xlfn._xlws.FILTER(Sheet1!$A$2:$A$333,(Sheet1!$Q$2:$Q$333=$E213)+(Sheet1!$Q$2:$Q$333=$E214)+(Sheet1!$Q$2:$Q$333=$E215),""),"-","POST"),_xlfn._xlws.FILTER(Sheet1!$A$2:$A$333,(Sheet1!$Q$2:$Q$333=$E213)+(Sheet1!$Q$2:$Q$333=$E214)+(Sheet1!$Q$2:$Q$333=$E215),"UNFILLED"))</f>
        <v>KITCHENS, DARNELL-POST</v>
      </c>
      <c r="M213" s="303" t="str" cm="1">
        <f t="array" ref="M213:M214">IF(RIGHT(_xlfn._xlws.FILTER(Sheet1!$S$2:$S$333,(Sheet1!$S$2:$S$333=$E213)+(Sheet1!$S$2:$S$333=$E214)+(Sheet1!$S$2:$S$333=$E215),""),4)="POST",CONCATENATE(_xlfn._xlws.FILTER(Sheet1!$A$2:$A$333,(Sheet1!$S$2:$S$333=$E213)+(Sheet1!$S$2:$S$333=$E214)+(Sheet1!$S$2:$S$333=$E215),""),"-","POST"),_xlfn._xlws.FILTER(Sheet1!$A$2:$A$333,(Sheet1!$S$2:$S$333=$E213)+(Sheet1!$S$2:$S$333=$E214)+(Sheet1!$S$2:$S$333=$E215),"UNFILLED"))</f>
        <v>KITCHENS, DARNELL-POST</v>
      </c>
    </row>
    <row r="214" spans="3:13" ht="17.25" customHeight="1" x14ac:dyDescent="0.4">
      <c r="C214" s="472"/>
      <c r="D214" s="473"/>
      <c r="E214" s="168" t="str">
        <f>_xlfn.CONCAT(E213,"-","POST")</f>
        <v>VA-3-POST</v>
      </c>
      <c r="F214" s="466"/>
      <c r="G214" s="304"/>
      <c r="H214" s="304"/>
      <c r="I214" s="304"/>
      <c r="J214" s="304"/>
      <c r="K214" s="304" t="str">
        <v>KITCHENS, DARNELL-POST</v>
      </c>
      <c r="L214" s="304" t="str">
        <v>ROBINSON, ANDY</v>
      </c>
      <c r="M214" s="304" t="str">
        <v>ROBINSON, ANDY</v>
      </c>
    </row>
    <row r="215" spans="3:13" ht="17.25" customHeight="1" x14ac:dyDescent="0.4">
      <c r="C215" s="472"/>
      <c r="D215" s="473"/>
      <c r="E215" s="168" t="str">
        <f>_xlfn.CONCAT(E213,"-","PILOT")</f>
        <v>VA-3-PILOT</v>
      </c>
      <c r="F215" s="467"/>
      <c r="G215" s="305"/>
      <c r="H215" s="305"/>
      <c r="I215" s="305"/>
      <c r="J215" s="305"/>
      <c r="K215" s="305"/>
      <c r="L215" s="305"/>
      <c r="M215" s="305"/>
    </row>
    <row r="216" spans="3:13" ht="17.25" customHeight="1" x14ac:dyDescent="0.45">
      <c r="C216" s="472"/>
      <c r="D216" s="473"/>
      <c r="E216" s="175" t="s">
        <v>401</v>
      </c>
      <c r="F216" s="465" t="s">
        <v>1076</v>
      </c>
      <c r="G216" s="303" t="str" cm="1">
        <f t="array" ref="G216">IF(RIGHT(_xlfn._xlws.FILTER(Sheet1!$G$2:$G$333,(Sheet1!$G$2:$G$333=$E216)+(Sheet1!$G$2:$G$333=$E217)+(Sheet1!$G$2:$G$333=$E218),""),4)="POST",CONCATENATE(_xlfn._xlws.FILTER(Sheet1!$A$2:$A$333,(Sheet1!$G$2:$G$333=$E216)+(Sheet1!$G$2:$G$333=$E217)+(Sheet1!$G$2:$G$333=$E218),""),"-","POST"),_xlfn._xlws.FILTER(Sheet1!$A$2:$A$333,(Sheet1!$G$2:$G$333=$E216)+(Sheet1!$G$2:$G$333=$E217)+(Sheet1!$G$2:$G$333=$E218),"UNFILLED"))</f>
        <v>PAYNE, ANDREW</v>
      </c>
      <c r="H216" s="303" t="str" cm="1">
        <f t="array" ref="H216">IF(RIGHT(_xlfn._xlws.FILTER(Sheet1!$I$2:$I$333,(Sheet1!$I$2:$I$333=$E216)+(Sheet1!$I$2:$I$333=$E217)+(Sheet1!$I$2:$I$333=$E218),""),4)="POST",CONCATENATE(_xlfn._xlws.FILTER(Sheet1!$A$2:$A$333,(Sheet1!$I$2:$I$333=$E216)+(Sheet1!$I$2:$I$333=$E217)+(Sheet1!$I$2:$I$333=$E218),""),"-","POST"),_xlfn._xlws.FILTER(Sheet1!$A$2:$A$333,(Sheet1!$I$2:$I$333=$E216)+(Sheet1!$I$2:$I$333=$E217)+(Sheet1!$I$2:$I$333=$E218),"UNFILLED"))</f>
        <v>PAYNE, ANDREW</v>
      </c>
      <c r="I216" s="303" t="str" cm="1">
        <f t="array" ref="I216">IF(RIGHT(_xlfn._xlws.FILTER(Sheet1!$K$2:$K$333,(Sheet1!$K$2:$K$333=$E216)+(Sheet1!$K$2:$K$333=$E217)+(Sheet1!$K$2:$K$333=$E218),""),4)="POST",CONCATENATE(_xlfn._xlws.FILTER(Sheet1!$A$2:$A$333,(Sheet1!$K$2:$K$333=$E216)+(Sheet1!$K$2:$K$333=$E217)+(Sheet1!$K$2:$K$333=$E218),""),"-","POST"),_xlfn._xlws.FILTER(Sheet1!$A$2:$A$333,(Sheet1!$K$2:$K$333=$E216)+(Sheet1!$K$2:$K$333=$E217)+(Sheet1!$K$2:$K$333=$E218),"UNFILLED"))</f>
        <v>CURRY, CASEY</v>
      </c>
      <c r="J216" s="303" t="str" cm="1">
        <f t="array" ref="J216">IF(RIGHT(_xlfn._xlws.FILTER(Sheet1!M$2:M$333,(Sheet1!M$2:M$333=$E216)+(Sheet1!M$2:M$333=$E217)+(Sheet1!M$2:M$333=$E218),""),4)="POST",CONCATENATE(_xlfn._xlws.FILTER(Sheet1!$A$2:$A$333,(Sheet1!M$2:M$333=$E216)+(Sheet1!M$2:M$333=$E217)+(Sheet1!M$2:M$333=$E218),""),"-","POST"),_xlfn._xlws.FILTER(Sheet1!$A$2:$A$333,(Sheet1!M$2:M$333=$E216)+(Sheet1!M$2:M$333=$E217)+(Sheet1!M$2:M$333=$E218),"UNFILLED"))</f>
        <v>GODFREY, DENNIS</v>
      </c>
      <c r="K216" s="303" t="str" cm="1">
        <f t="array" ref="K216">IF(RIGHT(_xlfn._xlws.FILTER(Sheet1!$O$2:$O$333,(Sheet1!$O$2:$O$333=$E216)+(Sheet1!$O$2:$O$333=$E217)+(Sheet1!$O$2:$O$333=$E218),""),4)="POST",CONCATENATE(_xlfn._xlws.FILTER(Sheet1!$A$2:$A$333,(Sheet1!$O$2:$O$333=$E216)+(Sheet1!$O$2:$O$333=$E217)+(Sheet1!$O$2:$O$333=$E218),""),"-","POST"),_xlfn._xlws.FILTER(Sheet1!$A$2:$A$333,(Sheet1!$O$2:$O$333=$E216)+(Sheet1!$O$2:$O$333=$E217)+(Sheet1!$O$2:$O$333=$E218),"UNFILLED"))</f>
        <v>PAYNE, ANDREW</v>
      </c>
      <c r="L216" s="303" t="str" cm="1">
        <f t="array" ref="L216">IF(RIGHT(_xlfn._xlws.FILTER(Sheet1!$Q$2:$Q$333,(Sheet1!$Q$2:$Q$333=$E216)+(Sheet1!$Q$2:$Q$333=$E217)+(Sheet1!$Q$2:$Q$333=$E218),""),4)="POST",CONCATENATE(_xlfn._xlws.FILTER(Sheet1!$A$2:$A$333,(Sheet1!$Q$2:$Q$333=$E216)+(Sheet1!$Q$2:$Q$333=$E217)+(Sheet1!$Q$2:$Q$333=$E218),""),"-","POST"),_xlfn._xlws.FILTER(Sheet1!$A$2:$A$333,(Sheet1!$Q$2:$Q$333=$E216)+(Sheet1!$Q$2:$Q$333=$E217)+(Sheet1!$Q$2:$Q$333=$E218),"UNFILLED"))</f>
        <v>PAYNE, ANDREW</v>
      </c>
      <c r="M216" s="303" t="str" cm="1">
        <f t="array" ref="M216">IF(RIGHT(_xlfn._xlws.FILTER(Sheet1!$S$2:$S$333,(Sheet1!$S$2:$S$333=$E216)+(Sheet1!$S$2:$S$333=$E217)+(Sheet1!$S$2:$S$333=$E218),""),4)="POST",CONCATENATE(_xlfn._xlws.FILTER(Sheet1!$A$2:$A$333,(Sheet1!$S$2:$S$333=$E216)+(Sheet1!$S$2:$S$333=$E217)+(Sheet1!$S$2:$S$333=$E218),""),"-","POST"),_xlfn._xlws.FILTER(Sheet1!$A$2:$A$333,(Sheet1!$S$2:$S$333=$E216)+(Sheet1!$S$2:$S$333=$E217)+(Sheet1!$S$2:$S$333=$E218),"UNFILLED"))</f>
        <v>PAYNE, ANDREW</v>
      </c>
    </row>
    <row r="217" spans="3:13" ht="17.25" customHeight="1" x14ac:dyDescent="0.4">
      <c r="C217" s="472"/>
      <c r="D217" s="473"/>
      <c r="E217" s="168" t="str">
        <f>_xlfn.CONCAT(E216,"-","POST")</f>
        <v>AS-3-POST</v>
      </c>
      <c r="F217" s="466"/>
      <c r="G217" s="304"/>
      <c r="H217" s="304"/>
      <c r="I217" s="304"/>
      <c r="J217" s="304"/>
      <c r="K217" s="304"/>
      <c r="L217" s="304"/>
      <c r="M217" s="304"/>
    </row>
    <row r="218" spans="3:13" ht="17.25" customHeight="1" x14ac:dyDescent="0.4">
      <c r="C218" s="472"/>
      <c r="D218" s="473"/>
      <c r="E218" s="168" t="str">
        <f>_xlfn.CONCAT(E216,"-","PILOT")</f>
        <v>AS-3-PILOT</v>
      </c>
      <c r="F218" s="467"/>
      <c r="G218" s="305"/>
      <c r="H218" s="305"/>
      <c r="I218" s="305"/>
      <c r="J218" s="305"/>
      <c r="K218" s="305"/>
      <c r="L218" s="305"/>
      <c r="M218" s="305"/>
    </row>
    <row r="219" spans="3:13" ht="17.25" customHeight="1" x14ac:dyDescent="0.45">
      <c r="C219" s="472"/>
      <c r="D219" s="473"/>
      <c r="E219" s="175" t="s">
        <v>360</v>
      </c>
      <c r="F219" s="465" t="s">
        <v>1077</v>
      </c>
      <c r="G219" s="303" t="str" cm="1">
        <f t="array" ref="G219">IF(RIGHT(_xlfn._xlws.FILTER(Sheet1!$G$2:$G$333,(Sheet1!$G$2:$G$333=$E219)+(Sheet1!$G$2:$G$333=$E220)+(Sheet1!$G$2:$G$333=$E221),""),4)="POST",CONCATENATE(_xlfn._xlws.FILTER(Sheet1!$A$2:$A$333,(Sheet1!$G$2:$G$333=$E219)+(Sheet1!$G$2:$G$333=$E220)+(Sheet1!$G$2:$G$333=$E221),""),"-","POST"),_xlfn._xlws.FILTER(Sheet1!$A$2:$A$333,(Sheet1!$G$2:$G$333=$E219)+(Sheet1!$G$2:$G$333=$E220)+(Sheet1!$G$2:$G$333=$E221),"UNFILLED"))</f>
        <v>VINCENT, JAMES</v>
      </c>
      <c r="H219" s="303" t="str" cm="1">
        <f t="array" ref="H219">IF(RIGHT(_xlfn._xlws.FILTER(Sheet1!$I$2:$I$333,(Sheet1!$I$2:$I$333=$E219)+(Sheet1!$I$2:$I$333=$E220)+(Sheet1!$I$2:$I$333=$E221),""),4)="POST",CONCATENATE(_xlfn._xlws.FILTER(Sheet1!$A$2:$A$333,(Sheet1!$I$2:$I$333=$E219)+(Sheet1!$I$2:$I$333=$E220)+(Sheet1!$I$2:$I$333=$E221),""),"-","POST"),_xlfn._xlws.FILTER(Sheet1!$A$2:$A$333,(Sheet1!$I$2:$I$333=$E219)+(Sheet1!$I$2:$I$333=$E220)+(Sheet1!$I$2:$I$333=$E221),"UNFILLED"))</f>
        <v>VINCENT, JAMES</v>
      </c>
      <c r="I219" s="303" t="str" cm="1">
        <f t="array" ref="I219">IF(RIGHT(_xlfn._xlws.FILTER(Sheet1!$K$2:$K$333,(Sheet1!$K$2:$K$333=$E219)+(Sheet1!$K$2:$K$333=$E220)+(Sheet1!$K$2:$K$333=$E221),""),4)="POST",CONCATENATE(_xlfn._xlws.FILTER(Sheet1!$A$2:$A$333,(Sheet1!$K$2:$K$333=$E219)+(Sheet1!$K$2:$K$333=$E220)+(Sheet1!$K$2:$K$333=$E221),""),"-","POST"),_xlfn._xlws.FILTER(Sheet1!$A$2:$A$333,(Sheet1!$K$2:$K$333=$E219)+(Sheet1!$K$2:$K$333=$E220)+(Sheet1!$K$2:$K$333=$E221),"UNFILLED"))</f>
        <v>CARTER, TREY</v>
      </c>
      <c r="J219" s="303" t="str" cm="1">
        <f t="array" ref="J219">IF(RIGHT(_xlfn._xlws.FILTER(Sheet1!M$2:M$333,(Sheet1!M$2:M$333=$E219)+(Sheet1!M$2:M$333=$E220)+(Sheet1!M$2:M$333=$E221),""),4)="POST",CONCATENATE(_xlfn._xlws.FILTER(Sheet1!$A$2:$A$333,(Sheet1!M$2:M$333=$E219)+(Sheet1!M$2:M$333=$E220)+(Sheet1!M$2:M$333=$E221),""),"-","POST"),_xlfn._xlws.FILTER(Sheet1!$A$2:$A$333,(Sheet1!M$2:M$333=$E219)+(Sheet1!M$2:M$333=$E220)+(Sheet1!M$2:M$333=$E221),"UNFILLED"))</f>
        <v>LOUIS, BRANDON</v>
      </c>
      <c r="K219" s="303" t="str" cm="1">
        <f t="array" ref="K219">IF(RIGHT(_xlfn._xlws.FILTER(Sheet1!$O$2:$O$333,(Sheet1!$O$2:$O$333=$E219)+(Sheet1!$O$2:$O$333=$E220)+(Sheet1!$O$2:$O$333=$E221),""),4)="POST",CONCATENATE(_xlfn._xlws.FILTER(Sheet1!$A$2:$A$333,(Sheet1!$O$2:$O$333=$E219)+(Sheet1!$O$2:$O$333=$E220)+(Sheet1!$O$2:$O$333=$E221),""),"-","POST"),_xlfn._xlws.FILTER(Sheet1!$A$2:$A$333,(Sheet1!$O$2:$O$333=$E219)+(Sheet1!$O$2:$O$333=$E220)+(Sheet1!$O$2:$O$333=$E221),"UNFILLED"))</f>
        <v>WILLIAMS, RICHARD</v>
      </c>
      <c r="L219" s="303" t="str" cm="1">
        <f t="array" ref="L219">IF(RIGHT(_xlfn._xlws.FILTER(Sheet1!$Q$2:$Q$333,(Sheet1!$Q$2:$Q$333=$E219)+(Sheet1!$Q$2:$Q$333=$E220)+(Sheet1!$Q$2:$Q$333=$E221),""),4)="POST",CONCATENATE(_xlfn._xlws.FILTER(Sheet1!$A$2:$A$333,(Sheet1!$Q$2:$Q$333=$E219)+(Sheet1!$Q$2:$Q$333=$E220)+(Sheet1!$Q$2:$Q$333=$E221),""),"-","POST"),_xlfn._xlws.FILTER(Sheet1!$A$2:$A$333,(Sheet1!$Q$2:$Q$333=$E219)+(Sheet1!$Q$2:$Q$333=$E220)+(Sheet1!$Q$2:$Q$333=$E221),"UNFILLED"))</f>
        <v>VINCENT, JAMES</v>
      </c>
      <c r="M219" s="303" t="str" cm="1">
        <f t="array" ref="M219">IF(RIGHT(_xlfn._xlws.FILTER(Sheet1!$S$2:$S$333,(Sheet1!$S$2:$S$333=$E219)+(Sheet1!$S$2:$S$333=$E220)+(Sheet1!$S$2:$S$333=$E221),""),4)="POST",CONCATENATE(_xlfn._xlws.FILTER(Sheet1!$A$2:$A$333,(Sheet1!$S$2:$S$333=$E219)+(Sheet1!$S$2:$S$333=$E220)+(Sheet1!$S$2:$S$333=$E221),""),"-","POST"),_xlfn._xlws.FILTER(Sheet1!$A$2:$A$333,(Sheet1!$S$2:$S$333=$E219)+(Sheet1!$S$2:$S$333=$E220)+(Sheet1!$S$2:$S$333=$E221),"UNFILLED"))</f>
        <v>VINCENT, JAMES</v>
      </c>
    </row>
    <row r="220" spans="3:13" ht="17.25" customHeight="1" x14ac:dyDescent="0.4">
      <c r="C220" s="472"/>
      <c r="D220" s="473"/>
      <c r="E220" s="168" t="str">
        <f>_xlfn.CONCAT(E219,"-","POST")</f>
        <v>DV-3-POST</v>
      </c>
      <c r="F220" s="466"/>
      <c r="G220" s="304"/>
      <c r="H220" s="304"/>
      <c r="I220" s="304"/>
      <c r="J220" s="304"/>
      <c r="K220" s="304"/>
      <c r="L220" s="304"/>
      <c r="M220" s="304"/>
    </row>
    <row r="221" spans="3:13" ht="17.25" customHeight="1" x14ac:dyDescent="0.4">
      <c r="C221" s="472"/>
      <c r="D221" s="473"/>
      <c r="E221" s="168" t="str">
        <f>_xlfn.CONCAT(E219,"-","PILOT")</f>
        <v>DV-3-PILOT</v>
      </c>
      <c r="F221" s="467"/>
      <c r="G221" s="305"/>
      <c r="H221" s="305"/>
      <c r="I221" s="305"/>
      <c r="J221" s="305"/>
      <c r="K221" s="305"/>
      <c r="L221" s="305"/>
      <c r="M221" s="305"/>
    </row>
    <row r="222" spans="3:13" ht="17.25" customHeight="1" x14ac:dyDescent="0.45">
      <c r="C222" s="472"/>
      <c r="D222" s="473"/>
      <c r="E222" s="175" t="s">
        <v>282</v>
      </c>
      <c r="F222" s="465" t="s">
        <v>1078</v>
      </c>
      <c r="G222" s="303" t="str" cm="1">
        <f t="array" ref="G222">IF(RIGHT(_xlfn._xlws.FILTER(Sheet1!$G$2:$G$333,(Sheet1!$G$2:$G$333=$E222)+(Sheet1!$G$2:$G$333=$E223)+(Sheet1!$G$2:$G$333=$E224),""),4)="POST",CONCATENATE(_xlfn._xlws.FILTER(Sheet1!$A$2:$A$333,(Sheet1!$G$2:$G$333=$E222)+(Sheet1!$G$2:$G$333=$E223)+(Sheet1!$G$2:$G$333=$E224),""),"-","POST"),_xlfn._xlws.FILTER(Sheet1!$A$2:$A$333,(Sheet1!$G$2:$G$333=$E222)+(Sheet1!$G$2:$G$333=$E223)+(Sheet1!$G$2:$G$333=$E224),"UNFILLED"))</f>
        <v>BILLINGS, CYNTHIA</v>
      </c>
      <c r="H222" s="303" t="str" cm="1">
        <f t="array" ref="H222">IF(RIGHT(_xlfn._xlws.FILTER(Sheet1!$I$2:$I$333,(Sheet1!$I$2:$I$333=$E222)+(Sheet1!$I$2:$I$333=$E223)+(Sheet1!$I$2:$I$333=$E224),""),4)="POST",CONCATENATE(_xlfn._xlws.FILTER(Sheet1!$A$2:$A$333,(Sheet1!$I$2:$I$333=$E222)+(Sheet1!$I$2:$I$333=$E223)+(Sheet1!$I$2:$I$333=$E224),""),"-","POST"),_xlfn._xlws.FILTER(Sheet1!$A$2:$A$333,(Sheet1!$I$2:$I$333=$E222)+(Sheet1!$I$2:$I$333=$E223)+(Sheet1!$I$2:$I$333=$E224),"UNFILLED"))</f>
        <v>BILLINGS, CYNTHIA</v>
      </c>
      <c r="I222" s="303" t="str" cm="1">
        <f t="array" ref="I222">IF(RIGHT(_xlfn._xlws.FILTER(Sheet1!$K$2:$K$333,(Sheet1!$K$2:$K$333=$E222)+(Sheet1!$K$2:$K$333=$E223)+(Sheet1!$K$2:$K$333=$E224),""),4)="POST",CONCATENATE(_xlfn._xlws.FILTER(Sheet1!$A$2:$A$333,(Sheet1!$K$2:$K$333=$E222)+(Sheet1!$K$2:$K$333=$E223)+(Sheet1!$K$2:$K$333=$E224),""),"-","POST"),_xlfn._xlws.FILTER(Sheet1!$A$2:$A$333,(Sheet1!$K$2:$K$333=$E222)+(Sheet1!$K$2:$K$333=$E223)+(Sheet1!$K$2:$K$333=$E224),"UNFILLED"))</f>
        <v>BILLINGS, CYNTHIA</v>
      </c>
      <c r="J222" s="303" t="str" cm="1">
        <f t="array" ref="J222">IF(RIGHT(_xlfn._xlws.FILTER(Sheet1!M$2:M$333,(Sheet1!M$2:M$333=$E222)+(Sheet1!M$2:M$333=$E223)+(Sheet1!M$2:M$333=$E224),""),4)="POST",CONCATENATE(_xlfn._xlws.FILTER(Sheet1!$A$2:$A$333,(Sheet1!M$2:M$333=$E222)+(Sheet1!M$2:M$333=$E223)+(Sheet1!M$2:M$333=$E224),""),"-","POST"),_xlfn._xlws.FILTER(Sheet1!$A$2:$A$333,(Sheet1!M$2:M$333=$E222)+(Sheet1!M$2:M$333=$E223)+(Sheet1!M$2:M$333=$E224),"UNFILLED"))</f>
        <v>BILLINGS, CYNTHIA</v>
      </c>
      <c r="K222" s="303" t="str" cm="1">
        <f t="array" ref="K222">IF(RIGHT(_xlfn._xlws.FILTER(Sheet1!$O$2:$O$333,(Sheet1!$O$2:$O$333=$E222)+(Sheet1!$O$2:$O$333=$E223)+(Sheet1!$O$2:$O$333=$E224),""),4)="POST",CONCATENATE(_xlfn._xlws.FILTER(Sheet1!$A$2:$A$333,(Sheet1!$O$2:$O$333=$E222)+(Sheet1!$O$2:$O$333=$E223)+(Sheet1!$O$2:$O$333=$E224),""),"-","POST"),_xlfn._xlws.FILTER(Sheet1!$A$2:$A$333,(Sheet1!$O$2:$O$333=$E222)+(Sheet1!$O$2:$O$333=$E223)+(Sheet1!$O$2:$O$333=$E224),"UNFILLED"))</f>
        <v>LITTLES, MARK</v>
      </c>
      <c r="L222" s="303" t="str" cm="1">
        <f t="array" ref="L222">IF(RIGHT(_xlfn._xlws.FILTER(Sheet1!$Q$2:$Q$333,(Sheet1!$Q$2:$Q$333=$E222)+(Sheet1!$Q$2:$Q$333=$E223)+(Sheet1!$Q$2:$Q$333=$E224),""),4)="POST",CONCATENATE(_xlfn._xlws.FILTER(Sheet1!$A$2:$A$333,(Sheet1!$Q$2:$Q$333=$E222)+(Sheet1!$Q$2:$Q$333=$E223)+(Sheet1!$Q$2:$Q$333=$E224),""),"-","POST"),_xlfn._xlws.FILTER(Sheet1!$A$2:$A$333,(Sheet1!$Q$2:$Q$333=$E222)+(Sheet1!$Q$2:$Q$333=$E223)+(Sheet1!$Q$2:$Q$333=$E224),"UNFILLED"))</f>
        <v>WILLIAMS, RICHARD</v>
      </c>
      <c r="M222" s="303" t="str" cm="1">
        <f t="array" ref="M222">IF(RIGHT(_xlfn._xlws.FILTER(Sheet1!$S$2:$S$333,(Sheet1!$S$2:$S$333=$E222)+(Sheet1!$S$2:$S$333=$E223)+(Sheet1!$S$2:$S$333=$E224),""),4)="POST",CONCATENATE(_xlfn._xlws.FILTER(Sheet1!$A$2:$A$333,(Sheet1!$S$2:$S$333=$E222)+(Sheet1!$S$2:$S$333=$E223)+(Sheet1!$S$2:$S$333=$E224),""),"-","POST"),_xlfn._xlws.FILTER(Sheet1!$A$2:$A$333,(Sheet1!$S$2:$S$333=$E222)+(Sheet1!$S$2:$S$333=$E223)+(Sheet1!$S$2:$S$333=$E224),"UNFILLED"))</f>
        <v>TINNIEHILL, KENESHIA</v>
      </c>
    </row>
    <row r="223" spans="3:13" ht="17.25" customHeight="1" x14ac:dyDescent="0.4">
      <c r="C223" s="472"/>
      <c r="D223" s="473"/>
      <c r="E223" s="168" t="str">
        <f>_xlfn.CONCAT(E222,"-","POST")</f>
        <v>HG-3-POST</v>
      </c>
      <c r="F223" s="466"/>
      <c r="G223" s="304"/>
      <c r="H223" s="304"/>
      <c r="I223" s="304"/>
      <c r="J223" s="304"/>
      <c r="K223" s="304"/>
      <c r="L223" s="304"/>
      <c r="M223" s="304"/>
    </row>
    <row r="224" spans="3:13" ht="17.25" customHeight="1" thickBot="1" x14ac:dyDescent="0.45">
      <c r="C224" s="472"/>
      <c r="D224" s="473"/>
      <c r="E224" s="168" t="str">
        <f>_xlfn.CONCAT(E222,"-","PILOT")</f>
        <v>HG-3-PILOT</v>
      </c>
      <c r="F224" s="466"/>
      <c r="G224" s="305"/>
      <c r="H224" s="305"/>
      <c r="I224" s="305"/>
      <c r="J224" s="305"/>
      <c r="K224" s="305"/>
      <c r="L224" s="305"/>
      <c r="M224" s="305"/>
    </row>
    <row r="225" spans="3:13" ht="28.5" customHeight="1" thickBot="1" x14ac:dyDescent="0.55000000000000004">
      <c r="C225" s="306"/>
      <c r="D225" s="307"/>
      <c r="E225" s="316"/>
      <c r="F225" s="309"/>
      <c r="G225" s="310"/>
      <c r="H225" s="310"/>
      <c r="I225" s="310"/>
      <c r="J225" s="310"/>
      <c r="K225" s="310"/>
      <c r="L225" s="310"/>
      <c r="M225" s="311"/>
    </row>
    <row r="226" spans="3:13" ht="11.25" customHeight="1" x14ac:dyDescent="0.4">
      <c r="C226" s="472" t="s">
        <v>167</v>
      </c>
      <c r="D226" s="473"/>
      <c r="F226" s="482" t="s">
        <v>1079</v>
      </c>
      <c r="G226" s="477"/>
      <c r="H226" s="477"/>
      <c r="I226" s="477"/>
      <c r="J226" s="477"/>
      <c r="K226" s="477"/>
      <c r="L226" s="477"/>
      <c r="M226" s="478"/>
    </row>
    <row r="227" spans="3:13" ht="11.25" customHeight="1" x14ac:dyDescent="0.4">
      <c r="C227" s="472"/>
      <c r="D227" s="473"/>
      <c r="F227" s="482"/>
      <c r="G227" s="477"/>
      <c r="H227" s="477"/>
      <c r="I227" s="477"/>
      <c r="J227" s="477"/>
      <c r="K227" s="477"/>
      <c r="L227" s="477"/>
      <c r="M227" s="478"/>
    </row>
    <row r="228" spans="3:13" ht="11.25" customHeight="1" thickBot="1" x14ac:dyDescent="0.45">
      <c r="C228" s="472"/>
      <c r="D228" s="473"/>
      <c r="F228" s="483"/>
      <c r="G228" s="479"/>
      <c r="H228" s="479"/>
      <c r="I228" s="479"/>
      <c r="J228" s="479"/>
      <c r="K228" s="479"/>
      <c r="L228" s="479"/>
      <c r="M228" s="480"/>
    </row>
    <row r="229" spans="3:13" ht="18" customHeight="1" x14ac:dyDescent="0.45">
      <c r="C229" s="472"/>
      <c r="D229" s="473"/>
      <c r="F229" s="188"/>
      <c r="G229" s="189" t="str">
        <f t="shared" ref="G229:M229" si="6">TEXT(G230,"dddd")</f>
        <v>Saturday</v>
      </c>
      <c r="H229" s="189" t="str">
        <f t="shared" si="6"/>
        <v>Sunday</v>
      </c>
      <c r="I229" s="189" t="str">
        <f t="shared" si="6"/>
        <v>Monday</v>
      </c>
      <c r="J229" s="189" t="str">
        <f t="shared" si="6"/>
        <v>Tuesday</v>
      </c>
      <c r="K229" s="189" t="str">
        <f t="shared" si="6"/>
        <v>Wednesday</v>
      </c>
      <c r="L229" s="189" t="str">
        <f t="shared" si="6"/>
        <v>Thursday</v>
      </c>
      <c r="M229" s="189" t="str">
        <f t="shared" si="6"/>
        <v>Friday</v>
      </c>
    </row>
    <row r="230" spans="3:13" ht="18" customHeight="1" x14ac:dyDescent="0.4">
      <c r="C230" s="472"/>
      <c r="D230" s="473"/>
      <c r="F230" s="164"/>
      <c r="G230" s="165">
        <f>+G80</f>
        <v>45969</v>
      </c>
      <c r="H230" s="165">
        <f t="shared" ref="H230:M230" si="7">+G230+1</f>
        <v>45970</v>
      </c>
      <c r="I230" s="165">
        <f t="shared" si="7"/>
        <v>45971</v>
      </c>
      <c r="J230" s="165">
        <f t="shared" si="7"/>
        <v>45972</v>
      </c>
      <c r="K230" s="165">
        <f t="shared" si="7"/>
        <v>45973</v>
      </c>
      <c r="L230" s="165">
        <f t="shared" si="7"/>
        <v>45974</v>
      </c>
      <c r="M230" s="165">
        <f t="shared" si="7"/>
        <v>45975</v>
      </c>
    </row>
    <row r="231" spans="3:13" ht="20.25" customHeight="1" x14ac:dyDescent="0.4">
      <c r="C231" s="472"/>
      <c r="D231" s="473"/>
      <c r="E231" s="161" t="s">
        <v>278</v>
      </c>
      <c r="F231" s="414" t="s">
        <v>1080</v>
      </c>
      <c r="G231" s="169" t="str" cm="1">
        <f t="array" ref="G231">IF(RIGHT(_xlfn._xlws.FILTER(Sheet1!$G$2:$G$333,(Sheet1!$G$2:$G$333=$E231)+(Sheet1!$G$2:$G$333=$E232),""),4)="POST",CONCATENATE(_xlfn._xlws.FILTER(Sheet1!$A$2:$A$333,(Sheet1!$G$2:$G$333=$E231)+(Sheet1!$G$2:$G$333=$E232),""),"-","POST"),_xlfn._xlws.FILTER(Sheet1!$A$2:$A$333,(Sheet1!$G$2:$G$333=$E231)+(Sheet1!$G$2:$G$333=$E232),"UNFILLED"))</f>
        <v>BELCHER, MATT</v>
      </c>
      <c r="H231" s="169" t="str" cm="1">
        <f t="array" ref="H231">IF(RIGHT(_xlfn._xlws.FILTER(Sheet1!$I$2:$I$333,(Sheet1!$I$2:$I$333=$E231)+(Sheet1!$I$2:$I$333=$E232),""),4)="POST",CONCATENATE(_xlfn._xlws.FILTER(Sheet1!$A$2:$A$333,(Sheet1!$I$2:$I$333=$E231)+(Sheet1!$I$2:$I$333=$E232),""),"-","POST"),_xlfn._xlws.FILTER(Sheet1!$A$2:$A$333,(Sheet1!$I$2:$I$333=$E231)+(Sheet1!$I$2:$I$333=$E232),"UNFILLED"))</f>
        <v>BELCHER, MATT</v>
      </c>
      <c r="I231" s="169" t="str" cm="1">
        <f t="array" ref="I231">IF(RIGHT(_xlfn._xlws.FILTER(Sheet1!$K$2:$K$333,(Sheet1!$K$2:$K$333=$E231)+(Sheet1!$K$2:$K$333=$E232),""),4)="POST",CONCATENATE(_xlfn._xlws.FILTER(Sheet1!$A$2:$A$333,(Sheet1!$K$2:$K$333=$E231)+(Sheet1!$K$2:$K$333=$E232),""),"-","POST"),_xlfn._xlws.FILTER(Sheet1!$A$2:$A$333,(Sheet1!$K$2:$K$333=$E231)+(Sheet1!$K$2:$K$333=$E232),"UNFILLED"))</f>
        <v>BELCHER, MATT</v>
      </c>
      <c r="J231" s="169" t="str" cm="1">
        <f t="array" ref="J231">IF(RIGHT(_xlfn._xlws.FILTER(Sheet1!M$2:M$333,(Sheet1!M$2:M$333=$E231)+(Sheet1!M$2:M$333=$E232),""),4)="POST",CONCATENATE(_xlfn._xlws.FILTER(Sheet1!$A$2:$A$333,(Sheet1!M$2:M$333=$E231)+(Sheet1!M$2:M$333=$E232),""),"-","POST"),_xlfn._xlws.FILTER(Sheet1!$A$2:$A$333,(Sheet1!M$2:M$333=$E231)+(Sheet1!M$2:M$333=$E232),"UNFILLED"))</f>
        <v>BELCHER, MATT</v>
      </c>
      <c r="K231" s="169" t="str" cm="1">
        <f t="array" ref="K231">IF(RIGHT(_xlfn._xlws.FILTER(Sheet1!$O$2:$O$333,(Sheet1!$O$2:$O$333=$E231)+(Sheet1!$O$2:$O$333=$E232),""),4)="POST",CONCATENATE(_xlfn._xlws.FILTER(Sheet1!$A$2:$A$333,(Sheet1!$O$2:$O$333=$E231)+(Sheet1!$O$2:$O$333=$E232),""),"-","POST"),_xlfn._xlws.FILTER(Sheet1!$A$2:$A$333,(Sheet1!$O$2:$O$333=$E231)+(Sheet1!$O$2:$O$333=$E232),"UNFILLED"))</f>
        <v>RUBERT, JIM</v>
      </c>
      <c r="L231" s="169" t="str" cm="1">
        <f t="array" ref="L231">IF(RIGHT(_xlfn._xlws.FILTER(Sheet1!$Q$2:$Q$333,(Sheet1!$Q$2:$Q$333=$E231)+(Sheet1!$Q$2:$Q$333=$E232),""),4)="POST",CONCATENATE(_xlfn._xlws.FILTER(Sheet1!$A$2:$A$333,(Sheet1!$Q$2:$Q$333=$E231)+(Sheet1!$Q$2:$Q$333=$E232),""),"-","POST"),_xlfn._xlws.FILTER(Sheet1!$A$2:$A$333,(Sheet1!$Q$2:$Q$333=$E231)+(Sheet1!$Q$2:$Q$333=$E232),"UNFILLED"))</f>
        <v>RUBERT, JIM</v>
      </c>
      <c r="M231" s="169" t="str" cm="1">
        <f t="array" ref="M231">IF(RIGHT(_xlfn._xlws.FILTER(Sheet1!$S$2:$S$333,(Sheet1!$S$2:$S$333=$E231)+(Sheet1!$S$2:$S$333=$E232),""),4)="POST",CONCATENATE(_xlfn._xlws.FILTER(Sheet1!$A$2:$A$333,(Sheet1!$S$2:$S$333=$E231)+(Sheet1!$S$2:$S$333=$E232),""),"-","POST"),_xlfn._xlws.FILTER(Sheet1!$A$2:$A$333,(Sheet1!$S$2:$S$333=$E231)+(Sheet1!$S$2:$S$333=$E232),"UNFILLED"))</f>
        <v>MCKINNEY, REBECCA</v>
      </c>
    </row>
    <row r="232" spans="3:13" ht="20.25" customHeight="1" x14ac:dyDescent="0.4">
      <c r="C232" s="472"/>
      <c r="D232" s="473"/>
      <c r="E232" s="161" t="str">
        <f>_xlfn.CONCAT(E231,"-","POST")</f>
        <v>ACD1-CO-POST</v>
      </c>
      <c r="F232" s="484"/>
      <c r="G232" s="317"/>
      <c r="H232" s="317"/>
      <c r="I232" s="317"/>
      <c r="J232" s="317"/>
      <c r="K232" s="317"/>
      <c r="L232" s="317"/>
      <c r="M232" s="317"/>
    </row>
    <row r="233" spans="3:13" ht="20.25" customHeight="1" x14ac:dyDescent="0.4">
      <c r="C233" s="472"/>
      <c r="D233" s="473"/>
      <c r="E233" s="161" t="s">
        <v>421</v>
      </c>
      <c r="F233" s="414" t="s">
        <v>1081</v>
      </c>
      <c r="G233" s="169" t="str" cm="1">
        <f t="array" ref="G233">IF(RIGHT(_xlfn._xlws.FILTER(Sheet1!$G$2:$G$333,(Sheet1!$G$2:$G$333=$E233)+(Sheet1!$G$2:$G$333=$E234),""),4)="POST",CONCATENATE(_xlfn._xlws.FILTER(Sheet1!$A$2:$A$333,(Sheet1!$G$2:$G$333=$E233)+(Sheet1!$G$2:$G$333=$E234),""),"-","POST"),_xlfn._xlws.FILTER(Sheet1!$A$2:$A$333,(Sheet1!$G$2:$G$333=$E233)+(Sheet1!$G$2:$G$333=$E234),"UNFILLED"))</f>
        <v>GADDIS, CRAIG</v>
      </c>
      <c r="H233" s="169" t="str" cm="1">
        <f t="array" ref="H233">IF(RIGHT(_xlfn._xlws.FILTER(Sheet1!$I$2:$I$333,(Sheet1!$I$2:$I$333=$E233)+(Sheet1!$I$2:$I$333=$E234),""),4)="POST",CONCATENATE(_xlfn._xlws.FILTER(Sheet1!$A$2:$A$333,(Sheet1!$I$2:$I$333=$E233)+(Sheet1!$I$2:$I$333=$E234),""),"-","POST"),_xlfn._xlws.FILTER(Sheet1!$A$2:$A$333,(Sheet1!$I$2:$I$333=$E233)+(Sheet1!$I$2:$I$333=$E234),"UNFILLED"))</f>
        <v>GADDIS, CRAIG</v>
      </c>
      <c r="I233" s="169" t="str" cm="1">
        <f t="array" ref="I233">IF(RIGHT(_xlfn._xlws.FILTER(Sheet1!$K$2:$K$333,(Sheet1!$K$2:$K$333=$E233)+(Sheet1!$K$2:$K$333=$E234),""),4)="POST",CONCATENATE(_xlfn._xlws.FILTER(Sheet1!$A$2:$A$333,(Sheet1!$K$2:$K$333=$E233)+(Sheet1!$K$2:$K$333=$E234),""),"-","POST"),_xlfn._xlws.FILTER(Sheet1!$A$2:$A$333,(Sheet1!$K$2:$K$333=$E233)+(Sheet1!$K$2:$K$333=$E234),"UNFILLED"))</f>
        <v>GADDIS, CRAIG</v>
      </c>
      <c r="J233" s="169" t="str" cm="1">
        <f t="array" ref="J233">IF(RIGHT(_xlfn._xlws.FILTER(Sheet1!M$2:M$333,(Sheet1!M$2:M$333=$E233)+(Sheet1!M$2:M$333=$E234),""),4)="POST",CONCATENATE(_xlfn._xlws.FILTER(Sheet1!$A$2:$A$333,(Sheet1!M$2:M$333=$E233)+(Sheet1!M$2:M$333=$E234),""),"-","POST"),_xlfn._xlws.FILTER(Sheet1!$A$2:$A$333,(Sheet1!M$2:M$333=$E233)+(Sheet1!M$2:M$333=$E234),"UNFILLED"))</f>
        <v>GADDIS, CRAIG</v>
      </c>
      <c r="K233" s="169" t="str" cm="1">
        <f t="array" ref="K233">IF(RIGHT(_xlfn._xlws.FILTER(Sheet1!$O$2:$O$333,(Sheet1!$O$2:$O$333=$E233)+(Sheet1!$O$2:$O$333=$E234),""),4)="POST",CONCATENATE(_xlfn._xlws.FILTER(Sheet1!$A$2:$A$333,(Sheet1!$O$2:$O$333=$E233)+(Sheet1!$O$2:$O$333=$E234),""),"-","POST"),_xlfn._xlws.FILTER(Sheet1!$A$2:$A$333,(Sheet1!$O$2:$O$333=$E233)+(Sheet1!$O$2:$O$333=$E234),"UNFILLED"))</f>
        <v>DICKERSON, BRANDON</v>
      </c>
      <c r="L233" s="169" t="str" cm="1">
        <f t="array" ref="L233">IF(RIGHT(_xlfn._xlws.FILTER(Sheet1!$Q$2:$Q$333,(Sheet1!$Q$2:$Q$333=$E233)+(Sheet1!$Q$2:$Q$333=$E234),""),4)="POST",CONCATENATE(_xlfn._xlws.FILTER(Sheet1!$A$2:$A$333,(Sheet1!$Q$2:$Q$333=$E233)+(Sheet1!$Q$2:$Q$333=$E234),""),"-","POST"),_xlfn._xlws.FILTER(Sheet1!$A$2:$A$333,(Sheet1!$Q$2:$Q$333=$E233)+(Sheet1!$Q$2:$Q$333=$E234),"UNFILLED"))</f>
        <v>DICKERSON, BRANDON</v>
      </c>
      <c r="M233" s="169" t="str" cm="1">
        <f t="array" ref="M233">IF(RIGHT(_xlfn._xlws.FILTER(Sheet1!$S$2:$S$333,(Sheet1!$S$2:$S$333=$E233)+(Sheet1!$S$2:$S$333=$E234),""),4)="POST",CONCATENATE(_xlfn._xlws.FILTER(Sheet1!$A$2:$A$333,(Sheet1!$S$2:$S$333=$E233)+(Sheet1!$S$2:$S$333=$E234),""),"-","POST"),_xlfn._xlws.FILTER(Sheet1!$A$2:$A$333,(Sheet1!$S$2:$S$333=$E233)+(Sheet1!$S$2:$S$333=$E234),"UNFILLED"))</f>
        <v>DICKERSON, BRANDON</v>
      </c>
    </row>
    <row r="234" spans="3:13" ht="20.25" customHeight="1" x14ac:dyDescent="0.4">
      <c r="C234" s="472"/>
      <c r="D234" s="473"/>
      <c r="E234" s="161" t="str">
        <f>_xlfn.CONCAT(E233,"-","POST")</f>
        <v>ACD2-CO-POST</v>
      </c>
      <c r="F234" s="484"/>
      <c r="G234" s="317"/>
      <c r="H234" s="317"/>
      <c r="I234" s="317"/>
      <c r="J234" s="317"/>
      <c r="K234" s="317"/>
      <c r="L234" s="317"/>
      <c r="M234" s="317"/>
    </row>
    <row r="235" spans="3:13" ht="20.25" customHeight="1" x14ac:dyDescent="0.4">
      <c r="C235" s="472"/>
      <c r="D235" s="473"/>
      <c r="E235" s="161" t="s">
        <v>505</v>
      </c>
      <c r="F235" s="414" t="s">
        <v>1082</v>
      </c>
      <c r="G235" s="169" t="str" cm="1">
        <f t="array" ref="G235">IF(RIGHT(_xlfn._xlws.FILTER(Sheet1!$G$2:$G$333,(Sheet1!$G$2:$G$333=$E235)+(Sheet1!$G$2:$G$333=$E236),""),4)="POST",CONCATENATE(_xlfn._xlws.FILTER(Sheet1!$A$2:$A$333,(Sheet1!$G$2:$G$333=$E235)+(Sheet1!$G$2:$G$333=$E236),""),"-","POST"),_xlfn._xlws.FILTER(Sheet1!$A$2:$A$333,(Sheet1!$G$2:$G$333=$E235)+(Sheet1!$G$2:$G$333=$E236),"UNFILLED"))</f>
        <v>SUMMERS, CLINT</v>
      </c>
      <c r="H235" s="169" t="str" cm="1">
        <f t="array" ref="H235">IF(RIGHT(_xlfn._xlws.FILTER(Sheet1!$I$2:$I$333,(Sheet1!$I$2:$I$333=$E235)+(Sheet1!$I$2:$I$333=$E236),""),4)="POST",CONCATENATE(_xlfn._xlws.FILTER(Sheet1!$A$2:$A$333,(Sheet1!$I$2:$I$333=$E235)+(Sheet1!$I$2:$I$333=$E236),""),"-","POST"),_xlfn._xlws.FILTER(Sheet1!$A$2:$A$333,(Sheet1!$I$2:$I$333=$E235)+(Sheet1!$I$2:$I$333=$E236),"UNFILLED"))</f>
        <v>SUMMERS, CLINT</v>
      </c>
      <c r="I235" s="169" t="str" cm="1">
        <f t="array" ref="I235">IF(RIGHT(_xlfn._xlws.FILTER(Sheet1!$K$2:$K$333,(Sheet1!$K$2:$K$333=$E235)+(Sheet1!$K$2:$K$333=$E236),""),4)="POST",CONCATENATE(_xlfn._xlws.FILTER(Sheet1!$A$2:$A$333,(Sheet1!$K$2:$K$333=$E235)+(Sheet1!$K$2:$K$333=$E236),""),"-","POST"),_xlfn._xlws.FILTER(Sheet1!$A$2:$A$333,(Sheet1!$K$2:$K$333=$E235)+(Sheet1!$K$2:$K$333=$E236),"UNFILLED"))</f>
        <v>SUMMERS, CLINT</v>
      </c>
      <c r="J235" s="169" t="str" cm="1">
        <f t="array" ref="J235">IF(RIGHT(_xlfn._xlws.FILTER(Sheet1!M$2:M$333,(Sheet1!M$2:M$333=$E235)+(Sheet1!M$2:M$333=$E236),""),4)="POST",CONCATENATE(_xlfn._xlws.FILTER(Sheet1!$A$2:$A$333,(Sheet1!M$2:M$333=$E235)+(Sheet1!M$2:M$333=$E236),""),"-","POST"),_xlfn._xlws.FILTER(Sheet1!$A$2:$A$333,(Sheet1!M$2:M$333=$E235)+(Sheet1!M$2:M$333=$E236),"UNFILLED"))</f>
        <v>SUMMERS, CLINT</v>
      </c>
      <c r="K235" s="169" t="str" cm="1">
        <f t="array" ref="K235">IF(RIGHT(_xlfn._xlws.FILTER(Sheet1!$O$2:$O$333,(Sheet1!$O$2:$O$333=$E235)+(Sheet1!$O$2:$O$333=$E236),""),4)="POST",CONCATENATE(_xlfn._xlws.FILTER(Sheet1!$A$2:$A$333,(Sheet1!$O$2:$O$333=$E235)+(Sheet1!$O$2:$O$333=$E236),""),"-","POST"),_xlfn._xlws.FILTER(Sheet1!$A$2:$A$333,(Sheet1!$O$2:$O$333=$E235)+(Sheet1!$O$2:$O$333=$E236),"UNFILLED"))</f>
        <v>FOX, JEFFERY</v>
      </c>
      <c r="L235" s="169" t="str" cm="1">
        <f t="array" ref="L235">IF(RIGHT(_xlfn._xlws.FILTER(Sheet1!$Q$2:$Q$333,(Sheet1!$Q$2:$Q$333=$E235)+(Sheet1!$Q$2:$Q$333=$E236),""),4)="POST",CONCATENATE(_xlfn._xlws.FILTER(Sheet1!$A$2:$A$333,(Sheet1!$Q$2:$Q$333=$E235)+(Sheet1!$Q$2:$Q$333=$E236),""),"-","POST"),_xlfn._xlws.FILTER(Sheet1!$A$2:$A$333,(Sheet1!$Q$2:$Q$333=$E235)+(Sheet1!$Q$2:$Q$333=$E236),"UNFILLED"))</f>
        <v>FOX, JEFFERY</v>
      </c>
      <c r="M235" s="169" t="str" cm="1">
        <f t="array" ref="M235">IF(RIGHT(_xlfn._xlws.FILTER(Sheet1!$S$2:$S$333,(Sheet1!$S$2:$S$333=$E235)+(Sheet1!$S$2:$S$333=$E236),""),4)="POST",CONCATENATE(_xlfn._xlws.FILTER(Sheet1!$A$2:$A$333,(Sheet1!$S$2:$S$333=$E235)+(Sheet1!$S$2:$S$333=$E236),""),"-","POST"),_xlfn._xlws.FILTER(Sheet1!$A$2:$A$333,(Sheet1!$S$2:$S$333=$E235)+(Sheet1!$S$2:$S$333=$E236),"UNFILLED"))</f>
        <v>FOX, JEFFERY</v>
      </c>
    </row>
    <row r="236" spans="3:13" ht="20.25" customHeight="1" x14ac:dyDescent="0.4">
      <c r="C236" s="472"/>
      <c r="D236" s="473"/>
      <c r="E236" s="161" t="str">
        <f>_xlfn.CONCAT(E235,"-","POST")</f>
        <v>ACD1-GU-POST</v>
      </c>
      <c r="F236" s="484"/>
      <c r="G236" s="317"/>
      <c r="H236" s="317"/>
      <c r="I236" s="317"/>
      <c r="J236" s="317"/>
      <c r="K236" s="317"/>
      <c r="L236" s="317"/>
      <c r="M236" s="317"/>
    </row>
    <row r="237" spans="3:13" ht="20.25" customHeight="1" x14ac:dyDescent="0.4">
      <c r="C237" s="472"/>
      <c r="D237" s="473"/>
      <c r="E237" s="161" t="s">
        <v>603</v>
      </c>
      <c r="F237" s="414" t="s">
        <v>1083</v>
      </c>
      <c r="G237" s="169" t="str" cm="1">
        <f t="array" ref="G237">IF(RIGHT(_xlfn._xlws.FILTER(Sheet1!$G$2:$G$333,(Sheet1!$G$2:$G$333=$E237)+(Sheet1!$G$2:$G$333=$E238),""),4)="POST",CONCATENATE(_xlfn._xlws.FILTER(Sheet1!$A$2:$A$333,(Sheet1!$G$2:$G$333=$E237)+(Sheet1!$G$2:$G$333=$E238),""),"-","POST"),_xlfn._xlws.FILTER(Sheet1!$A$2:$A$333,(Sheet1!$G$2:$G$333=$E237)+(Sheet1!$G$2:$G$333=$E238),"UNFILLED"))</f>
        <v>PIETSCH, KYLE</v>
      </c>
      <c r="H237" s="169" t="str" cm="1">
        <f t="array" ref="H237">IF(RIGHT(_xlfn._xlws.FILTER(Sheet1!$I$2:$I$333,(Sheet1!$I$2:$I$333=$E237)+(Sheet1!$I$2:$I$333=$E238),""),4)="POST",CONCATENATE(_xlfn._xlws.FILTER(Sheet1!$A$2:$A$333,(Sheet1!$I$2:$I$333=$E237)+(Sheet1!$I$2:$I$333=$E238),""),"-","POST"),_xlfn._xlws.FILTER(Sheet1!$A$2:$A$333,(Sheet1!$I$2:$I$333=$E237)+(Sheet1!$I$2:$I$333=$E238),"UNFILLED"))</f>
        <v>PIETSCH, KYLE</v>
      </c>
      <c r="I237" s="169" t="str" cm="1">
        <f t="array" ref="I237">IF(RIGHT(_xlfn._xlws.FILTER(Sheet1!$K$2:$K$333,(Sheet1!$K$2:$K$333=$E237)+(Sheet1!$K$2:$K$333=$E238),""),4)="POST",CONCATENATE(_xlfn._xlws.FILTER(Sheet1!$A$2:$A$333,(Sheet1!$K$2:$K$333=$E237)+(Sheet1!$K$2:$K$333=$E238),""),"-","POST"),_xlfn._xlws.FILTER(Sheet1!$A$2:$A$333,(Sheet1!$K$2:$K$333=$E237)+(Sheet1!$K$2:$K$333=$E238),"UNFILLED"))</f>
        <v>MCKINNEY, REBECCA</v>
      </c>
      <c r="J237" s="169" t="str" cm="1">
        <f t="array" ref="J237">IF(RIGHT(_xlfn._xlws.FILTER(Sheet1!M$2:M$333,(Sheet1!M$2:M$333=$E237)+(Sheet1!M$2:M$333=$E238),""),4)="POST",CONCATENATE(_xlfn._xlws.FILTER(Sheet1!$A$2:$A$333,(Sheet1!M$2:M$333=$E237)+(Sheet1!M$2:M$333=$E238),""),"-","POST"),_xlfn._xlws.FILTER(Sheet1!$A$2:$A$333,(Sheet1!M$2:M$333=$E237)+(Sheet1!M$2:M$333=$E238),"UNFILLED"))</f>
        <v>MCKINNEY, REBECCA</v>
      </c>
      <c r="K237" s="169" t="str" cm="1">
        <f t="array" ref="K237">IF(RIGHT(_xlfn._xlws.FILTER(Sheet1!$O$2:$O$333,(Sheet1!$O$2:$O$333=$E237)+(Sheet1!$O$2:$O$333=$E238),""),4)="POST",CONCATENATE(_xlfn._xlws.FILTER(Sheet1!$A$2:$A$333,(Sheet1!$O$2:$O$333=$E237)+(Sheet1!$O$2:$O$333=$E238),""),"-","POST"),_xlfn._xlws.FILTER(Sheet1!$A$2:$A$333,(Sheet1!$O$2:$O$333=$E237)+(Sheet1!$O$2:$O$333=$E238),"UNFILLED"))</f>
        <v>HAWKINS, STEPHANIE</v>
      </c>
      <c r="L237" s="169" t="str" cm="1">
        <f t="array" ref="L237">IF(RIGHT(_xlfn._xlws.FILTER(Sheet1!$Q$2:$Q$333,(Sheet1!$Q$2:$Q$333=$E237)+(Sheet1!$Q$2:$Q$333=$E238),""),4)="POST",CONCATENATE(_xlfn._xlws.FILTER(Sheet1!$A$2:$A$333,(Sheet1!$Q$2:$Q$333=$E237)+(Sheet1!$Q$2:$Q$333=$E238),""),"-","POST"),_xlfn._xlws.FILTER(Sheet1!$A$2:$A$333,(Sheet1!$Q$2:$Q$333=$E237)+(Sheet1!$Q$2:$Q$333=$E238),"UNFILLED"))</f>
        <v>HAWKINS, STEPHANIE</v>
      </c>
      <c r="M237" s="169" t="str" cm="1">
        <f t="array" ref="M237">IF(RIGHT(_xlfn._xlws.FILTER(Sheet1!$S$2:$S$333,(Sheet1!$S$2:$S$333=$E237)+(Sheet1!$S$2:$S$333=$E238),""),4)="POST",CONCATENATE(_xlfn._xlws.FILTER(Sheet1!$A$2:$A$333,(Sheet1!$S$2:$S$333=$E237)+(Sheet1!$S$2:$S$333=$E238),""),"-","POST"),_xlfn._xlws.FILTER(Sheet1!$A$2:$A$333,(Sheet1!$S$2:$S$333=$E237)+(Sheet1!$S$2:$S$333=$E238),"UNFILLED"))</f>
        <v>HAWKINS, STEPHANIE</v>
      </c>
    </row>
    <row r="238" spans="3:13" ht="20.25" customHeight="1" x14ac:dyDescent="0.4">
      <c r="C238" s="472"/>
      <c r="D238" s="473"/>
      <c r="E238" s="161" t="str">
        <f>_xlfn.CONCAT(E237,"-","POST")</f>
        <v>ACD2-GU-POST</v>
      </c>
      <c r="F238" s="484"/>
      <c r="G238" s="317"/>
      <c r="H238" s="317"/>
      <c r="I238" s="317"/>
      <c r="J238" s="317"/>
      <c r="K238" s="317"/>
      <c r="L238" s="317"/>
      <c r="M238" s="317"/>
    </row>
    <row r="239" spans="3:13" ht="20.25" customHeight="1" x14ac:dyDescent="0.4">
      <c r="C239" s="472"/>
      <c r="D239" s="473"/>
      <c r="E239" s="161" t="s">
        <v>351</v>
      </c>
      <c r="F239" s="414" t="s">
        <v>1084</v>
      </c>
      <c r="G239" s="169" t="str" cm="1">
        <f t="array" ref="G239">IF(RIGHT(_xlfn._xlws.FILTER(Sheet1!$G$2:$G$333,(Sheet1!$G$2:$G$333=$E239)+(Sheet1!$G$2:$G$333=$E240),""),4)="POST",CONCATENATE(_xlfn._xlws.FILTER(Sheet1!$A$2:$A$333,(Sheet1!$G$2:$G$333=$E239)+(Sheet1!$G$2:$G$333=$E240),""),"-","POST"),_xlfn._xlws.FILTER(Sheet1!$A$2:$A$333,(Sheet1!$G$2:$G$333=$E239)+(Sheet1!$G$2:$G$333=$E240),"UNFILLED"))</f>
        <v>CARLSON, MATT</v>
      </c>
      <c r="H239" s="169" t="str" cm="1">
        <f t="array" ref="H239">IF(RIGHT(_xlfn._xlws.FILTER(Sheet1!$I$2:$I$333,(Sheet1!$I$2:$I$333=$E239)+(Sheet1!$I$2:$I$333=$E240),""),4)="POST",CONCATENATE(_xlfn._xlws.FILTER(Sheet1!$A$2:$A$333,(Sheet1!$I$2:$I$333=$E239)+(Sheet1!$I$2:$I$333=$E240),""),"-","POST"),_xlfn._xlws.FILTER(Sheet1!$A$2:$A$333,(Sheet1!$I$2:$I$333=$E239)+(Sheet1!$I$2:$I$333=$E240),"UNFILLED"))</f>
        <v>CARLSON, MATT</v>
      </c>
      <c r="I239" s="169" t="str" cm="1">
        <f t="array" ref="I239">IF(RIGHT(_xlfn._xlws.FILTER(Sheet1!$K$2:$K$333,(Sheet1!$K$2:$K$333=$E239)+(Sheet1!$K$2:$K$333=$E240),""),4)="POST",CONCATENATE(_xlfn._xlws.FILTER(Sheet1!$A$2:$A$333,(Sheet1!$K$2:$K$333=$E239)+(Sheet1!$K$2:$K$333=$E240),""),"-","POST"),_xlfn._xlws.FILTER(Sheet1!$A$2:$A$333,(Sheet1!$K$2:$K$333=$E239)+(Sheet1!$K$2:$K$333=$E240),"UNFILLED"))</f>
        <v>CARLSON, MATT</v>
      </c>
      <c r="J239" s="169" t="str" cm="1">
        <f t="array" ref="J239">IF(RIGHT(_xlfn._xlws.FILTER(Sheet1!M$2:M$333,(Sheet1!M$2:M$333=$E239)+(Sheet1!M$2:M$333=$E240),""),4)="POST",CONCATENATE(_xlfn._xlws.FILTER(Sheet1!$A$2:$A$333,(Sheet1!M$2:M$333=$E239)+(Sheet1!M$2:M$333=$E240),""),"-","POST"),_xlfn._xlws.FILTER(Sheet1!$A$2:$A$333,(Sheet1!M$2:M$333=$E239)+(Sheet1!M$2:M$333=$E240),"UNFILLED"))</f>
        <v>CARLSON, MATT</v>
      </c>
      <c r="K239" s="169" t="str" cm="1">
        <f t="array" ref="K239">IF(RIGHT(_xlfn._xlws.FILTER(Sheet1!$O$2:$O$333,(Sheet1!$O$2:$O$333=$E239)+(Sheet1!$O$2:$O$333=$E240),""),4)="POST",CONCATENATE(_xlfn._xlws.FILTER(Sheet1!$A$2:$A$333,(Sheet1!$O$2:$O$333=$E239)+(Sheet1!$O$2:$O$333=$E240),""),"-","POST"),_xlfn._xlws.FILTER(Sheet1!$A$2:$A$333,(Sheet1!$O$2:$O$333=$E239)+(Sheet1!$O$2:$O$333=$E240),"UNFILLED"))</f>
        <v>FEIGL, SARAH</v>
      </c>
      <c r="L239" s="169" t="str" cm="1">
        <f t="array" ref="L239">IF(RIGHT(_xlfn._xlws.FILTER(Sheet1!$Q$2:$Q$333,(Sheet1!$Q$2:$Q$333=$E239)+(Sheet1!$Q$2:$Q$333=$E240),""),4)="POST",CONCATENATE(_xlfn._xlws.FILTER(Sheet1!$A$2:$A$333,(Sheet1!$Q$2:$Q$333=$E239)+(Sheet1!$Q$2:$Q$333=$E240),""),"-","POST"),_xlfn._xlws.FILTER(Sheet1!$A$2:$A$333,(Sheet1!$Q$2:$Q$333=$E239)+(Sheet1!$Q$2:$Q$333=$E240),"UNFILLED"))</f>
        <v>FEIGL, SARAH</v>
      </c>
      <c r="M239" s="169" t="str" cm="1">
        <f t="array" ref="M239">IF(RIGHT(_xlfn._xlws.FILTER(Sheet1!$S$2:$S$333,(Sheet1!$S$2:$S$333=$E239)+(Sheet1!$S$2:$S$333=$E240),""),4)="POST",CONCATENATE(_xlfn._xlws.FILTER(Sheet1!$A$2:$A$333,(Sheet1!$S$2:$S$333=$E239)+(Sheet1!$S$2:$S$333=$E240),""),"-","POST"),_xlfn._xlws.FILTER(Sheet1!$A$2:$A$333,(Sheet1!$S$2:$S$333=$E239)+(Sheet1!$S$2:$S$333=$E240),"UNFILLED"))</f>
        <v>FEIGL, SARAH</v>
      </c>
    </row>
    <row r="240" spans="3:13" ht="20.25" customHeight="1" x14ac:dyDescent="0.4">
      <c r="C240" s="472"/>
      <c r="D240" s="473"/>
      <c r="E240" s="161" t="str">
        <f>_xlfn.CONCAT(E239,"-","POST")</f>
        <v>ACD1-BR-POST</v>
      </c>
      <c r="F240" s="484"/>
      <c r="G240" s="317"/>
      <c r="H240" s="317"/>
      <c r="I240" s="317"/>
      <c r="J240" s="317"/>
      <c r="K240" s="317"/>
      <c r="L240" s="317"/>
      <c r="M240" s="317"/>
    </row>
    <row r="241" spans="1:13" ht="20.25" customHeight="1" x14ac:dyDescent="0.4">
      <c r="C241" s="472"/>
      <c r="D241" s="473"/>
      <c r="E241" s="161" t="s">
        <v>473</v>
      </c>
      <c r="F241" s="414" t="s">
        <v>1085</v>
      </c>
      <c r="G241" s="169" t="str" cm="1">
        <f t="array" ref="G241">IF(RIGHT(_xlfn._xlws.FILTER(Sheet1!$G$2:$G$333,(Sheet1!$G$2:$G$333=$E241)+(Sheet1!$G$2:$G$333=$E242),""),4)="POST",CONCATENATE(_xlfn._xlws.FILTER(Sheet1!$A$2:$A$333,(Sheet1!$G$2:$G$333=$E241)+(Sheet1!$G$2:$G$333=$E242),""),"-","POST"),_xlfn._xlws.FILTER(Sheet1!$A$2:$A$333,(Sheet1!$G$2:$G$333=$E241)+(Sheet1!$G$2:$G$333=$E242),"UNFILLED"))</f>
        <v>FEIGL, SARAH</v>
      </c>
      <c r="H241" s="169" t="str" cm="1">
        <f t="array" ref="H241">IF(RIGHT(_xlfn._xlws.FILTER(Sheet1!$I$2:$I$333,(Sheet1!$I$2:$I$333=$E241)+(Sheet1!$I$2:$I$333=$E242),""),4)="POST",CONCATENATE(_xlfn._xlws.FILTER(Sheet1!$A$2:$A$333,(Sheet1!$I$2:$I$333=$E241)+(Sheet1!$I$2:$I$333=$E242),""),"-","POST"),_xlfn._xlws.FILTER(Sheet1!$A$2:$A$333,(Sheet1!$I$2:$I$333=$E241)+(Sheet1!$I$2:$I$333=$E242),"UNFILLED"))</f>
        <v>SCOTT, CLIFF</v>
      </c>
      <c r="I241" s="169" t="str" cm="1">
        <f t="array" ref="I241">IF(RIGHT(_xlfn._xlws.FILTER(Sheet1!$K$2:$K$333,(Sheet1!$K$2:$K$333=$E241)+(Sheet1!$K$2:$K$333=$E242),""),4)="POST",CONCATENATE(_xlfn._xlws.FILTER(Sheet1!$A$2:$A$333,(Sheet1!$K$2:$K$333=$E241)+(Sheet1!$K$2:$K$333=$E242),""),"-","POST"),_xlfn._xlws.FILTER(Sheet1!$A$2:$A$333,(Sheet1!$K$2:$K$333=$E241)+(Sheet1!$K$2:$K$333=$E242),"UNFILLED"))</f>
        <v>SCOTT, CLIFF</v>
      </c>
      <c r="J241" s="169" t="str" cm="1">
        <f t="array" ref="J241">IF(RIGHT(_xlfn._xlws.FILTER(Sheet1!M$2:M$333,(Sheet1!M$2:M$333=$E241)+(Sheet1!M$2:M$333=$E242),""),4)="POST",CONCATENATE(_xlfn._xlws.FILTER(Sheet1!$A$2:$A$333,(Sheet1!M$2:M$333=$E241)+(Sheet1!M$2:M$333=$E242),""),"-","POST"),_xlfn._xlws.FILTER(Sheet1!$A$2:$A$333,(Sheet1!M$2:M$333=$E241)+(Sheet1!M$2:M$333=$E242),"UNFILLED"))</f>
        <v>SCOTT, CLIFF</v>
      </c>
      <c r="K241" s="169" t="str" cm="1">
        <f t="array" ref="K241">IF(RIGHT(_xlfn._xlws.FILTER(Sheet1!$O$2:$O$333,(Sheet1!$O$2:$O$333=$E241)+(Sheet1!$O$2:$O$333=$E242),""),4)="POST",CONCATENATE(_xlfn._xlws.FILTER(Sheet1!$A$2:$A$333,(Sheet1!$O$2:$O$333=$E241)+(Sheet1!$O$2:$O$333=$E242),""),"-","POST"),_xlfn._xlws.FILTER(Sheet1!$A$2:$A$333,(Sheet1!$O$2:$O$333=$E241)+(Sheet1!$O$2:$O$333=$E242),"UNFILLED"))</f>
        <v>MOSS, ZACH</v>
      </c>
      <c r="L241" s="169" t="str" cm="1">
        <f t="array" ref="L241">IF(RIGHT(_xlfn._xlws.FILTER(Sheet1!$Q$2:$Q$333,(Sheet1!$Q$2:$Q$333=$E241)+(Sheet1!$Q$2:$Q$333=$E242),""),4)="POST",CONCATENATE(_xlfn._xlws.FILTER(Sheet1!$A$2:$A$333,(Sheet1!$Q$2:$Q$333=$E241)+(Sheet1!$Q$2:$Q$333=$E242),""),"-","POST"),_xlfn._xlws.FILTER(Sheet1!$A$2:$A$333,(Sheet1!$Q$2:$Q$333=$E241)+(Sheet1!$Q$2:$Q$333=$E242),"UNFILLED"))</f>
        <v>MOSS, ZACH</v>
      </c>
      <c r="M241" s="169" t="str" cm="1">
        <f t="array" ref="M241">IF(RIGHT(_xlfn._xlws.FILTER(Sheet1!$S$2:$S$333,(Sheet1!$S$2:$S$333=$E241)+(Sheet1!$S$2:$S$333=$E242),""),4)="POST",CONCATENATE(_xlfn._xlws.FILTER(Sheet1!$A$2:$A$333,(Sheet1!$S$2:$S$333=$E241)+(Sheet1!$S$2:$S$333=$E242),""),"-","POST"),_xlfn._xlws.FILTER(Sheet1!$A$2:$A$333,(Sheet1!$S$2:$S$333=$E241)+(Sheet1!$S$2:$S$333=$E242),"UNFILLED"))</f>
        <v>MOSS, ZACH</v>
      </c>
    </row>
    <row r="242" spans="1:13" ht="20.25" customHeight="1" thickBot="1" x14ac:dyDescent="0.45">
      <c r="C242" s="481"/>
      <c r="D242" s="473"/>
      <c r="E242" s="161" t="str">
        <f>_xlfn.CONCAT(E241,"-","POST")</f>
        <v>ACD2-BR-POST</v>
      </c>
      <c r="F242" s="415"/>
      <c r="G242" s="317"/>
      <c r="H242" s="317"/>
      <c r="I242" s="317"/>
      <c r="J242" s="317"/>
      <c r="K242" s="317"/>
      <c r="L242" s="317"/>
      <c r="M242" s="317"/>
    </row>
    <row r="243" spans="1:13" ht="24" customHeight="1" thickBot="1" x14ac:dyDescent="0.45">
      <c r="A243" s="153"/>
      <c r="B243" s="152"/>
      <c r="C243" s="176"/>
      <c r="D243" s="177"/>
      <c r="E243" s="178"/>
      <c r="F243" s="191"/>
      <c r="G243" s="192"/>
      <c r="H243" s="192"/>
      <c r="I243" s="192"/>
      <c r="J243" s="203"/>
      <c r="K243" s="192"/>
      <c r="L243" s="192"/>
      <c r="M243" s="177"/>
    </row>
    <row r="244" spans="1:13" ht="11.25" customHeight="1" thickBot="1" x14ac:dyDescent="0.45">
      <c r="A244" s="153"/>
      <c r="B244" s="152"/>
      <c r="C244" s="345"/>
      <c r="D244" s="346"/>
      <c r="F244" s="411" t="s">
        <v>189</v>
      </c>
      <c r="G244" s="401"/>
      <c r="H244" s="401"/>
      <c r="I244" s="401"/>
      <c r="J244" s="401"/>
      <c r="K244" s="401"/>
      <c r="L244" s="401"/>
      <c r="M244" s="402"/>
    </row>
    <row r="245" spans="1:13" ht="11.25" customHeight="1" thickBot="1" x14ac:dyDescent="0.45">
      <c r="A245" s="153"/>
      <c r="B245" s="152"/>
      <c r="C245" s="347"/>
      <c r="D245" s="348"/>
      <c r="E245" s="349"/>
      <c r="F245" s="404"/>
      <c r="G245" s="404"/>
      <c r="H245" s="404"/>
      <c r="I245" s="404"/>
      <c r="J245" s="404"/>
      <c r="K245" s="404"/>
      <c r="L245" s="404"/>
      <c r="M245" s="405"/>
    </row>
    <row r="246" spans="1:13" ht="26.25" customHeight="1" x14ac:dyDescent="0.4">
      <c r="A246" s="153"/>
      <c r="B246" s="152"/>
      <c r="C246" s="350"/>
      <c r="D246" s="350"/>
      <c r="E246" s="351"/>
      <c r="F246" s="350" t="s">
        <v>190</v>
      </c>
      <c r="G246" s="350"/>
      <c r="M246" s="352"/>
    </row>
    <row r="247" spans="1:13" ht="19" thickBot="1" x14ac:dyDescent="0.45">
      <c r="A247" s="153"/>
      <c r="B247" s="152"/>
      <c r="C247" s="353"/>
      <c r="D247" s="354"/>
      <c r="E247" s="355"/>
      <c r="F247" s="356" t="s">
        <v>3</v>
      </c>
      <c r="G247" s="356" t="s">
        <v>191</v>
      </c>
      <c r="H247" s="356" t="s">
        <v>192</v>
      </c>
      <c r="I247" s="356" t="s">
        <v>193</v>
      </c>
      <c r="J247" s="356" t="s">
        <v>194</v>
      </c>
      <c r="K247" s="356" t="s">
        <v>195</v>
      </c>
      <c r="L247" s="356" t="s">
        <v>196</v>
      </c>
      <c r="M247" s="357" t="s">
        <v>197</v>
      </c>
    </row>
    <row r="248" spans="1:13" ht="16.5" thickBot="1" x14ac:dyDescent="0.45">
      <c r="A248" s="153"/>
      <c r="B248" s="152"/>
      <c r="C248" s="358"/>
      <c r="D248" s="358"/>
      <c r="E248" s="359"/>
      <c r="F248" s="360" t="str" cm="1">
        <f t="array" ref="F248:M254">_xlfn._xlws.FILTER(Sheet2!B2:I52,Sheet2!A2:A52="SOUTHERN","None Found")</f>
        <v>BLUE RIDGE</v>
      </c>
      <c r="G248" s="360" t="str">
        <v>AS-1</v>
      </c>
      <c r="H248" s="360" t="str">
        <v>VACATION</v>
      </c>
      <c r="I248" s="361">
        <v>45935</v>
      </c>
      <c r="J248" s="361">
        <v>45948</v>
      </c>
      <c r="K248" s="361">
        <v>45935</v>
      </c>
      <c r="L248" s="361" t="str">
        <v>WILLIAMS, JALEESA</v>
      </c>
      <c r="M248" s="362" t="str">
        <v>FRAZIER, PATRICK</v>
      </c>
    </row>
    <row r="249" spans="1:13" ht="16.5" thickBot="1" x14ac:dyDescent="0.45">
      <c r="A249" s="153"/>
      <c r="B249" s="152"/>
      <c r="C249" s="366"/>
      <c r="D249" s="366"/>
      <c r="E249" s="367"/>
      <c r="F249" s="363" t="str">
        <v>COASTAL</v>
      </c>
      <c r="G249" s="363" t="str">
        <v>NE-R</v>
      </c>
      <c r="H249" s="363" t="str">
        <v>VACATION</v>
      </c>
      <c r="I249" s="364">
        <v>45942</v>
      </c>
      <c r="J249" s="364">
        <v>45946</v>
      </c>
      <c r="K249" s="364">
        <v>45942</v>
      </c>
      <c r="L249" s="364" t="str">
        <v>JOHNSON-SAMMONS, ASHLYN</v>
      </c>
      <c r="M249" s="365" t="str">
        <v>BRUNS, DANTRE</v>
      </c>
    </row>
    <row r="250" spans="1:13" ht="16.5" thickBot="1" x14ac:dyDescent="0.45">
      <c r="A250" s="153"/>
      <c r="B250" s="152"/>
      <c r="C250" s="366"/>
      <c r="D250" s="366"/>
      <c r="E250" s="367"/>
      <c r="F250" s="363" t="str">
        <v>COASTAL</v>
      </c>
      <c r="G250" s="363" t="str">
        <v>SE-2</v>
      </c>
      <c r="H250" s="363" t="str">
        <v>VACATION</v>
      </c>
      <c r="I250" s="364">
        <v>45947</v>
      </c>
      <c r="J250" s="364">
        <v>45954</v>
      </c>
      <c r="K250" s="364">
        <v>45947</v>
      </c>
      <c r="L250" s="364">
        <v>0</v>
      </c>
      <c r="M250" s="365" t="str">
        <v>PACE, LEWIS</v>
      </c>
    </row>
    <row r="251" spans="1:13" ht="16.5" thickBot="1" x14ac:dyDescent="0.45">
      <c r="A251" s="153"/>
      <c r="B251" s="152"/>
      <c r="C251" s="366"/>
      <c r="D251" s="366"/>
      <c r="E251" s="367"/>
      <c r="F251" s="363" t="str">
        <v>GULF</v>
      </c>
      <c r="G251" s="363" t="str">
        <v>ME-2</v>
      </c>
      <c r="H251" s="363" t="str">
        <v>VACATION</v>
      </c>
      <c r="I251" s="364">
        <v>45952</v>
      </c>
      <c r="J251" s="364">
        <v>45958</v>
      </c>
      <c r="K251" s="364">
        <v>45952</v>
      </c>
      <c r="L251" s="364" t="str">
        <v>ALICIE, BRANDON</v>
      </c>
      <c r="M251" s="365" t="str">
        <v>FAIRCLOTH, HANNAH</v>
      </c>
    </row>
    <row r="252" spans="1:13" ht="16.5" thickBot="1" x14ac:dyDescent="0.45">
      <c r="A252" s="153"/>
      <c r="B252" s="152"/>
      <c r="C252" s="366"/>
      <c r="D252" s="366"/>
      <c r="E252" s="367"/>
      <c r="F252" s="363" t="str">
        <v>BLUE RIDGE</v>
      </c>
      <c r="G252" s="363" t="str">
        <v>AS-2</v>
      </c>
      <c r="H252" s="363" t="str">
        <v>VACATION</v>
      </c>
      <c r="I252" s="364">
        <v>45951</v>
      </c>
      <c r="J252" s="364">
        <v>45957</v>
      </c>
      <c r="K252" s="364">
        <v>45951</v>
      </c>
      <c r="L252" s="364" t="str">
        <v>WRIGHT, SHAMARA</v>
      </c>
      <c r="M252" s="365" t="str">
        <v>FITZGERALD, JIM</v>
      </c>
    </row>
    <row r="253" spans="1:13" ht="16.5" thickBot="1" x14ac:dyDescent="0.45">
      <c r="A253" s="153"/>
      <c r="B253" s="152"/>
      <c r="C253" s="366"/>
      <c r="D253" s="366"/>
      <c r="E253" s="367"/>
      <c r="F253" s="363" t="str">
        <v>BLUE RIDGE</v>
      </c>
      <c r="G253" s="363" t="str">
        <v>ET-3</v>
      </c>
      <c r="H253" s="363" t="str">
        <v>VACATION</v>
      </c>
      <c r="I253" s="364">
        <v>45953</v>
      </c>
      <c r="J253" s="364">
        <v>45959</v>
      </c>
      <c r="K253" s="364">
        <v>45953</v>
      </c>
      <c r="L253" s="364" t="str">
        <v>WILLIAMS, GARRETT</v>
      </c>
      <c r="M253" s="365" t="str">
        <v>GREEN, SUSAN</v>
      </c>
    </row>
    <row r="254" spans="1:13" ht="16.5" thickBot="1" x14ac:dyDescent="0.45">
      <c r="A254" s="153"/>
      <c r="B254" s="152"/>
      <c r="C254" s="366"/>
      <c r="D254" s="366"/>
      <c r="E254" s="367"/>
      <c r="F254" s="363" t="str">
        <v>BLUE RIDGE</v>
      </c>
      <c r="G254" s="363" t="str">
        <v>DV-3</v>
      </c>
      <c r="H254" s="363" t="str">
        <v>VACATION</v>
      </c>
      <c r="I254" s="364">
        <v>45961</v>
      </c>
      <c r="J254" s="364">
        <v>45967</v>
      </c>
      <c r="K254" s="364">
        <v>45961</v>
      </c>
      <c r="L254" s="364" t="str">
        <v>WILLIAMS, GARRETT</v>
      </c>
      <c r="M254" s="365" t="str">
        <v>VINCENT, JAMES</v>
      </c>
    </row>
    <row r="255" spans="1:13" ht="16.5" thickBot="1" x14ac:dyDescent="0.45">
      <c r="A255" s="153"/>
      <c r="B255" s="152"/>
      <c r="C255" s="366"/>
      <c r="D255" s="366"/>
      <c r="E255" s="367"/>
      <c r="F255" s="363"/>
      <c r="G255" s="363"/>
      <c r="H255" s="363"/>
      <c r="I255" s="364"/>
      <c r="J255" s="364"/>
      <c r="K255" s="364"/>
      <c r="L255" s="364"/>
      <c r="M255" s="365"/>
    </row>
    <row r="256" spans="1:13" ht="16.5" thickBot="1" x14ac:dyDescent="0.45">
      <c r="A256" s="153"/>
      <c r="B256" s="152"/>
      <c r="C256" s="366"/>
      <c r="D256" s="366"/>
      <c r="E256" s="367"/>
      <c r="F256" s="363"/>
      <c r="G256" s="363"/>
      <c r="H256" s="363"/>
      <c r="I256" s="364"/>
      <c r="J256" s="364"/>
      <c r="K256" s="364"/>
      <c r="L256" s="364"/>
      <c r="M256" s="365"/>
    </row>
    <row r="257" spans="1:13" ht="16.5" thickBot="1" x14ac:dyDescent="0.45">
      <c r="A257" s="153"/>
      <c r="B257" s="152"/>
      <c r="C257" s="366"/>
      <c r="D257" s="366"/>
      <c r="E257" s="367"/>
      <c r="F257" s="363"/>
      <c r="G257" s="363"/>
      <c r="H257" s="363"/>
      <c r="I257" s="364"/>
      <c r="J257" s="364"/>
      <c r="K257" s="364"/>
      <c r="L257" s="364"/>
      <c r="M257" s="365"/>
    </row>
    <row r="258" spans="1:13" ht="16.5" thickBot="1" x14ac:dyDescent="0.45">
      <c r="A258" s="153"/>
      <c r="B258" s="152"/>
      <c r="C258" s="366"/>
      <c r="D258" s="366"/>
      <c r="E258" s="367"/>
      <c r="F258" s="363"/>
      <c r="G258" s="363"/>
      <c r="H258" s="363"/>
      <c r="I258" s="364"/>
      <c r="J258" s="364"/>
      <c r="K258" s="364"/>
      <c r="L258" s="364"/>
      <c r="M258" s="365"/>
    </row>
    <row r="259" spans="1:13" ht="16.5" thickBot="1" x14ac:dyDescent="0.45">
      <c r="A259" s="153"/>
      <c r="B259" s="152"/>
      <c r="C259" s="366"/>
      <c r="D259" s="366"/>
      <c r="E259" s="367"/>
      <c r="F259" s="363"/>
      <c r="G259" s="363"/>
      <c r="H259" s="363"/>
      <c r="I259" s="364"/>
      <c r="J259" s="364"/>
      <c r="K259" s="364"/>
      <c r="L259" s="364"/>
      <c r="M259" s="365"/>
    </row>
    <row r="260" spans="1:13" ht="16.5" thickBot="1" x14ac:dyDescent="0.45">
      <c r="A260" s="153"/>
      <c r="B260" s="152"/>
      <c r="C260" s="366"/>
      <c r="D260" s="366"/>
      <c r="E260" s="367"/>
      <c r="F260" s="363"/>
      <c r="G260" s="363"/>
      <c r="H260" s="363"/>
      <c r="I260" s="364"/>
      <c r="J260" s="364"/>
      <c r="K260" s="364"/>
      <c r="L260" s="364"/>
      <c r="M260" s="365"/>
    </row>
    <row r="261" spans="1:13" ht="16.5" thickBot="1" x14ac:dyDescent="0.45">
      <c r="A261" s="153"/>
      <c r="B261" s="152"/>
      <c r="C261" s="366"/>
      <c r="D261" s="366"/>
      <c r="E261" s="367"/>
      <c r="F261" s="363"/>
      <c r="G261" s="363"/>
      <c r="H261" s="363"/>
      <c r="I261" s="364"/>
      <c r="J261" s="364"/>
      <c r="K261" s="364"/>
      <c r="L261" s="364"/>
      <c r="M261" s="365"/>
    </row>
    <row r="262" spans="1:13" ht="16.5" thickBot="1" x14ac:dyDescent="0.45">
      <c r="A262" s="153"/>
      <c r="B262" s="152"/>
      <c r="C262" s="366"/>
      <c r="D262" s="366"/>
      <c r="E262" s="367"/>
      <c r="F262" s="363"/>
      <c r="G262" s="363"/>
      <c r="H262" s="363"/>
      <c r="I262" s="364"/>
      <c r="J262" s="364"/>
      <c r="K262" s="364"/>
      <c r="L262" s="364"/>
      <c r="M262" s="365"/>
    </row>
    <row r="263" spans="1:13" ht="16.5" thickBot="1" x14ac:dyDescent="0.45">
      <c r="A263" s="153"/>
      <c r="B263" s="152"/>
      <c r="C263" s="366"/>
      <c r="D263" s="366"/>
      <c r="E263" s="367"/>
      <c r="F263" s="363"/>
      <c r="G263" s="363"/>
      <c r="H263" s="363"/>
      <c r="I263" s="364"/>
      <c r="J263" s="364"/>
      <c r="K263" s="364"/>
      <c r="L263" s="364"/>
      <c r="M263" s="365"/>
    </row>
    <row r="264" spans="1:13" ht="16.5" thickBot="1" x14ac:dyDescent="0.45">
      <c r="A264" s="153"/>
      <c r="B264" s="152"/>
      <c r="C264" s="366"/>
      <c r="D264" s="366"/>
      <c r="E264" s="367"/>
      <c r="F264" s="363"/>
      <c r="G264" s="363"/>
      <c r="H264" s="363"/>
      <c r="I264" s="364"/>
      <c r="J264" s="364"/>
      <c r="K264" s="364"/>
      <c r="L264" s="364"/>
      <c r="M264" s="365"/>
    </row>
    <row r="265" spans="1:13" ht="16.5" thickBot="1" x14ac:dyDescent="0.45">
      <c r="A265" s="153"/>
      <c r="B265" s="152"/>
      <c r="C265" s="366"/>
      <c r="D265" s="366"/>
      <c r="E265" s="367"/>
      <c r="F265" s="363"/>
      <c r="G265" s="363"/>
      <c r="H265" s="363"/>
      <c r="I265" s="364"/>
      <c r="J265" s="364"/>
      <c r="K265" s="364"/>
      <c r="L265" s="364"/>
      <c r="M265" s="365"/>
    </row>
    <row r="266" spans="1:13" ht="16.5" thickBot="1" x14ac:dyDescent="0.45">
      <c r="A266" s="153"/>
      <c r="B266" s="152"/>
      <c r="C266" s="366"/>
      <c r="D266" s="366"/>
      <c r="E266" s="367"/>
      <c r="F266" s="363"/>
      <c r="G266" s="363"/>
      <c r="H266" s="363"/>
      <c r="I266" s="364"/>
      <c r="J266" s="364"/>
      <c r="K266" s="364"/>
      <c r="L266" s="364"/>
      <c r="M266" s="365"/>
    </row>
    <row r="267" spans="1:13" ht="16.5" thickBot="1" x14ac:dyDescent="0.45">
      <c r="A267" s="153"/>
      <c r="B267" s="152"/>
      <c r="C267" s="366"/>
      <c r="D267" s="366"/>
      <c r="E267" s="367"/>
      <c r="F267" s="363"/>
      <c r="G267" s="363"/>
      <c r="H267" s="363"/>
      <c r="I267" s="364"/>
      <c r="J267" s="364"/>
      <c r="K267" s="364"/>
      <c r="L267" s="364"/>
      <c r="M267" s="365"/>
    </row>
    <row r="268" spans="1:13" ht="16.5" thickBot="1" x14ac:dyDescent="0.45">
      <c r="A268" s="153"/>
      <c r="B268" s="152"/>
      <c r="C268" s="366"/>
      <c r="D268" s="366"/>
      <c r="E268" s="367"/>
      <c r="F268" s="363"/>
      <c r="G268" s="363"/>
      <c r="H268" s="363"/>
      <c r="I268" s="364"/>
      <c r="J268" s="364"/>
      <c r="K268" s="364"/>
      <c r="L268" s="364"/>
      <c r="M268" s="365"/>
    </row>
    <row r="269" spans="1:13" ht="16.5" thickBot="1" x14ac:dyDescent="0.45">
      <c r="A269" s="153"/>
      <c r="B269" s="152"/>
      <c r="C269" s="366"/>
      <c r="D269" s="366"/>
      <c r="E269" s="367"/>
      <c r="F269" s="363"/>
      <c r="G269" s="363"/>
      <c r="H269" s="363"/>
      <c r="I269" s="364"/>
      <c r="J269" s="364"/>
      <c r="K269" s="364"/>
      <c r="L269" s="364"/>
      <c r="M269" s="365"/>
    </row>
    <row r="270" spans="1:13" ht="16.5" thickBot="1" x14ac:dyDescent="0.45">
      <c r="A270" s="153"/>
      <c r="B270" s="152"/>
      <c r="C270" s="366"/>
      <c r="D270" s="366"/>
      <c r="E270" s="367"/>
      <c r="F270" s="363"/>
      <c r="G270" s="363"/>
      <c r="H270" s="363"/>
      <c r="I270" s="364"/>
      <c r="J270" s="364"/>
      <c r="K270" s="364"/>
      <c r="L270" s="364"/>
      <c r="M270" s="365"/>
    </row>
    <row r="271" spans="1:13" ht="16.5" thickBot="1" x14ac:dyDescent="0.45">
      <c r="A271" s="153"/>
      <c r="B271" s="152"/>
      <c r="C271" s="366"/>
      <c r="D271" s="366"/>
      <c r="E271" s="367"/>
      <c r="F271" s="363"/>
      <c r="G271" s="363"/>
      <c r="H271" s="363"/>
      <c r="I271" s="364"/>
      <c r="J271" s="364"/>
      <c r="K271" s="364"/>
      <c r="L271" s="364"/>
      <c r="M271" s="365"/>
    </row>
    <row r="272" spans="1:13" ht="16.5" thickBot="1" x14ac:dyDescent="0.45">
      <c r="A272" s="153"/>
      <c r="B272" s="152"/>
      <c r="C272" s="366"/>
      <c r="D272" s="366"/>
      <c r="E272" s="367"/>
      <c r="F272" s="363"/>
      <c r="G272" s="363"/>
      <c r="H272" s="363"/>
      <c r="I272" s="364"/>
      <c r="J272" s="364"/>
      <c r="K272" s="364"/>
      <c r="L272" s="364"/>
      <c r="M272" s="365"/>
    </row>
    <row r="273" spans="1:13" ht="16.5" thickBot="1" x14ac:dyDescent="0.45">
      <c r="A273" s="153"/>
      <c r="B273" s="152"/>
      <c r="C273" s="366"/>
      <c r="D273" s="366"/>
      <c r="E273" s="367"/>
      <c r="F273" s="363"/>
      <c r="G273" s="363"/>
      <c r="H273" s="363"/>
      <c r="I273" s="364"/>
      <c r="J273" s="364"/>
      <c r="K273" s="364"/>
      <c r="L273" s="364"/>
      <c r="M273" s="365"/>
    </row>
    <row r="274" spans="1:13" ht="16.5" thickBot="1" x14ac:dyDescent="0.45">
      <c r="A274" s="153"/>
      <c r="B274" s="152"/>
      <c r="C274" s="366"/>
      <c r="D274" s="366"/>
      <c r="E274" s="367"/>
      <c r="F274" s="363"/>
      <c r="G274" s="363"/>
      <c r="H274" s="363"/>
      <c r="I274" s="364"/>
      <c r="J274" s="364"/>
      <c r="K274" s="364"/>
      <c r="L274" s="364"/>
      <c r="M274" s="365"/>
    </row>
    <row r="275" spans="1:13" ht="16.5" thickBot="1" x14ac:dyDescent="0.45">
      <c r="A275" s="153"/>
      <c r="B275" s="152"/>
      <c r="C275" s="366"/>
      <c r="D275" s="366"/>
      <c r="E275" s="367"/>
      <c r="F275" s="363"/>
      <c r="G275" s="363"/>
      <c r="H275" s="363"/>
      <c r="I275" s="364"/>
      <c r="J275" s="364"/>
      <c r="K275" s="364"/>
      <c r="L275" s="364"/>
      <c r="M275" s="365"/>
    </row>
    <row r="276" spans="1:13" ht="16.5" thickBot="1" x14ac:dyDescent="0.45">
      <c r="A276" s="153"/>
      <c r="B276" s="152"/>
      <c r="C276" s="366"/>
      <c r="D276" s="366"/>
      <c r="E276" s="367"/>
      <c r="F276" s="363"/>
      <c r="G276" s="363"/>
      <c r="H276" s="363"/>
      <c r="I276" s="364"/>
      <c r="J276" s="364"/>
      <c r="K276" s="364"/>
      <c r="L276" s="364"/>
      <c r="M276" s="365"/>
    </row>
    <row r="277" spans="1:13" ht="16.5" thickBot="1" x14ac:dyDescent="0.45">
      <c r="A277" s="153"/>
      <c r="B277" s="152"/>
      <c r="C277" s="368"/>
      <c r="D277" s="368"/>
      <c r="E277" s="369"/>
      <c r="F277" s="370"/>
      <c r="G277" s="370"/>
      <c r="H277" s="370"/>
      <c r="I277" s="371"/>
      <c r="J277" s="371"/>
      <c r="K277" s="371"/>
      <c r="L277" s="371"/>
      <c r="M277" s="372"/>
    </row>
    <row r="278" spans="1:13" ht="26.25" customHeight="1" x14ac:dyDescent="0.4">
      <c r="A278" s="153"/>
      <c r="B278" s="152"/>
      <c r="C278" s="350"/>
      <c r="D278" s="350"/>
      <c r="E278" s="351"/>
      <c r="F278" s="350" t="s">
        <v>198</v>
      </c>
      <c r="G278" s="350"/>
      <c r="M278" s="373"/>
    </row>
    <row r="279" spans="1:13" ht="19" thickBot="1" x14ac:dyDescent="0.45">
      <c r="A279" s="153"/>
      <c r="B279" s="152"/>
      <c r="C279" s="353"/>
      <c r="D279" s="354"/>
      <c r="E279" s="355"/>
      <c r="F279" s="356" t="s">
        <v>3</v>
      </c>
      <c r="G279" s="356" t="s">
        <v>191</v>
      </c>
      <c r="H279" s="356"/>
      <c r="I279" s="356"/>
      <c r="J279" s="356"/>
      <c r="K279" s="356"/>
      <c r="L279" s="374"/>
      <c r="M279" s="375"/>
    </row>
    <row r="280" spans="1:13" ht="16.5" thickBot="1" x14ac:dyDescent="0.45">
      <c r="A280" s="153"/>
      <c r="B280" s="152"/>
      <c r="C280" s="358"/>
      <c r="D280" s="358"/>
      <c r="E280" s="359"/>
      <c r="F280" s="360" t="str" cm="1">
        <f t="array" ref="F280">_xlfn._xlws.FILTER(Sheet2!M2:N52,Sheet2!L2:L52="SOUTHERN","None Found")</f>
        <v>None Found</v>
      </c>
      <c r="G280" s="360"/>
      <c r="H280" s="376"/>
      <c r="I280" s="377"/>
      <c r="J280" s="378"/>
      <c r="K280" s="378"/>
      <c r="L280" s="379"/>
      <c r="M280" s="380"/>
    </row>
    <row r="281" spans="1:13" ht="16.5" thickBot="1" x14ac:dyDescent="0.45">
      <c r="A281" s="153"/>
      <c r="B281" s="152"/>
      <c r="C281" s="366"/>
      <c r="D281" s="366"/>
      <c r="E281" s="367"/>
      <c r="F281" s="363"/>
      <c r="G281" s="363"/>
      <c r="H281" s="381"/>
      <c r="I281" s="382"/>
      <c r="J281" s="383"/>
      <c r="K281" s="383"/>
      <c r="L281" s="384"/>
      <c r="M281" s="385"/>
    </row>
    <row r="282" spans="1:13" ht="16.5" thickBot="1" x14ac:dyDescent="0.45">
      <c r="A282" s="153"/>
      <c r="B282" s="152"/>
      <c r="C282" s="366"/>
      <c r="D282" s="366"/>
      <c r="E282" s="367"/>
      <c r="F282" s="363"/>
      <c r="G282" s="363"/>
      <c r="H282" s="381"/>
      <c r="I282" s="382"/>
      <c r="J282" s="383"/>
      <c r="K282" s="383"/>
      <c r="L282" s="384"/>
      <c r="M282" s="385"/>
    </row>
    <row r="283" spans="1:13" ht="16.5" thickBot="1" x14ac:dyDescent="0.45">
      <c r="A283" s="153"/>
      <c r="B283" s="152"/>
      <c r="C283" s="366"/>
      <c r="D283" s="366"/>
      <c r="E283" s="367"/>
      <c r="F283" s="363"/>
      <c r="G283" s="363"/>
      <c r="H283" s="381"/>
      <c r="I283" s="382"/>
      <c r="J283" s="383"/>
      <c r="K283" s="383"/>
      <c r="L283" s="384"/>
      <c r="M283" s="385"/>
    </row>
    <row r="284" spans="1:13" ht="16.5" thickBot="1" x14ac:dyDescent="0.45">
      <c r="A284" s="153"/>
      <c r="B284" s="152"/>
      <c r="C284" s="366"/>
      <c r="D284" s="366"/>
      <c r="E284" s="367"/>
      <c r="F284" s="363"/>
      <c r="G284" s="363"/>
      <c r="H284" s="381"/>
      <c r="I284" s="382"/>
      <c r="J284" s="383"/>
      <c r="K284" s="383"/>
      <c r="L284" s="384"/>
      <c r="M284" s="385"/>
    </row>
    <row r="285" spans="1:13" ht="16.5" thickBot="1" x14ac:dyDescent="0.45">
      <c r="A285" s="153"/>
      <c r="B285" s="152"/>
      <c r="C285" s="366"/>
      <c r="D285" s="366"/>
      <c r="E285" s="367"/>
      <c r="F285" s="363"/>
      <c r="G285" s="363"/>
      <c r="H285" s="381"/>
      <c r="I285" s="382"/>
      <c r="J285" s="383"/>
      <c r="K285" s="383"/>
      <c r="L285" s="384"/>
      <c r="M285" s="385"/>
    </row>
    <row r="286" spans="1:13" ht="16.5" thickBot="1" x14ac:dyDescent="0.45">
      <c r="A286" s="153"/>
      <c r="B286" s="152"/>
      <c r="C286" s="366"/>
      <c r="D286" s="366"/>
      <c r="E286" s="367"/>
      <c r="F286" s="363"/>
      <c r="G286" s="363"/>
      <c r="H286" s="381"/>
      <c r="I286" s="382"/>
      <c r="J286" s="383"/>
      <c r="K286" s="383"/>
      <c r="L286" s="384"/>
      <c r="M286" s="385"/>
    </row>
    <row r="287" spans="1:13" ht="16.5" thickBot="1" x14ac:dyDescent="0.45">
      <c r="A287" s="153"/>
      <c r="B287" s="152"/>
      <c r="C287" s="366"/>
      <c r="D287" s="366"/>
      <c r="E287" s="367"/>
      <c r="F287" s="363"/>
      <c r="G287" s="363"/>
      <c r="H287" s="381"/>
      <c r="I287" s="382"/>
      <c r="J287" s="383"/>
      <c r="K287" s="383"/>
      <c r="L287" s="384"/>
      <c r="M287" s="385"/>
    </row>
    <row r="288" spans="1:13" ht="16.5" thickBot="1" x14ac:dyDescent="0.45">
      <c r="A288" s="153"/>
      <c r="B288" s="152"/>
      <c r="C288" s="366"/>
      <c r="D288" s="366"/>
      <c r="E288" s="367"/>
      <c r="F288" s="363"/>
      <c r="G288" s="363"/>
      <c r="H288" s="381"/>
      <c r="I288" s="382"/>
      <c r="J288" s="383"/>
      <c r="K288" s="383"/>
      <c r="L288" s="384"/>
      <c r="M288" s="385"/>
    </row>
    <row r="289" spans="1:13" ht="16.5" thickBot="1" x14ac:dyDescent="0.45">
      <c r="A289" s="153"/>
      <c r="B289" s="152"/>
      <c r="C289" s="366"/>
      <c r="D289" s="366"/>
      <c r="E289" s="367"/>
      <c r="F289" s="363"/>
      <c r="G289" s="363"/>
      <c r="H289" s="381"/>
      <c r="I289" s="382"/>
      <c r="J289" s="383"/>
      <c r="K289" s="383"/>
      <c r="L289" s="384"/>
      <c r="M289" s="385"/>
    </row>
    <row r="290" spans="1:13" ht="16.5" thickBot="1" x14ac:dyDescent="0.45">
      <c r="A290" s="153"/>
      <c r="B290" s="152"/>
      <c r="C290" s="366"/>
      <c r="D290" s="366"/>
      <c r="E290" s="367"/>
      <c r="F290" s="363"/>
      <c r="G290" s="363"/>
      <c r="H290" s="381"/>
      <c r="I290" s="382"/>
      <c r="J290" s="383"/>
      <c r="K290" s="383"/>
      <c r="L290" s="384"/>
      <c r="M290" s="385"/>
    </row>
    <row r="291" spans="1:13" ht="16.5" thickBot="1" x14ac:dyDescent="0.45">
      <c r="A291" s="153"/>
      <c r="B291" s="152"/>
      <c r="C291" s="366"/>
      <c r="D291" s="366"/>
      <c r="E291" s="367"/>
      <c r="F291" s="363"/>
      <c r="G291" s="363"/>
      <c r="H291" s="381"/>
      <c r="I291" s="382"/>
      <c r="J291" s="383"/>
      <c r="K291" s="383"/>
      <c r="L291" s="384"/>
      <c r="M291" s="385"/>
    </row>
    <row r="292" spans="1:13" ht="16.5" thickBot="1" x14ac:dyDescent="0.45">
      <c r="A292" s="153"/>
      <c r="B292" s="152"/>
      <c r="C292" s="366"/>
      <c r="D292" s="366"/>
      <c r="E292" s="367"/>
      <c r="F292" s="363"/>
      <c r="G292" s="363"/>
      <c r="H292" s="381"/>
      <c r="I292" s="382"/>
      <c r="J292" s="383"/>
      <c r="K292" s="383"/>
      <c r="L292" s="384"/>
      <c r="M292" s="385"/>
    </row>
    <row r="293" spans="1:13" ht="16.5" thickBot="1" x14ac:dyDescent="0.45">
      <c r="A293" s="153"/>
      <c r="B293" s="152"/>
      <c r="C293" s="366"/>
      <c r="D293" s="366"/>
      <c r="E293" s="367"/>
      <c r="F293" s="363"/>
      <c r="G293" s="363"/>
      <c r="H293" s="381"/>
      <c r="I293" s="382"/>
      <c r="J293" s="383"/>
      <c r="K293" s="383"/>
      <c r="L293" s="384"/>
      <c r="M293" s="385"/>
    </row>
    <row r="294" spans="1:13" ht="16.5" thickBot="1" x14ac:dyDescent="0.45">
      <c r="A294" s="153"/>
      <c r="B294" s="152"/>
      <c r="C294" s="366"/>
      <c r="D294" s="366"/>
      <c r="E294" s="367"/>
      <c r="F294" s="363"/>
      <c r="G294" s="363"/>
      <c r="H294" s="381"/>
      <c r="I294" s="382"/>
      <c r="J294" s="383"/>
      <c r="K294" s="383"/>
      <c r="L294" s="384"/>
      <c r="M294" s="385"/>
    </row>
    <row r="295" spans="1:13" ht="16.5" thickBot="1" x14ac:dyDescent="0.45">
      <c r="A295" s="153"/>
      <c r="B295" s="152"/>
      <c r="C295" s="366"/>
      <c r="D295" s="366"/>
      <c r="E295" s="367"/>
      <c r="F295" s="363"/>
      <c r="G295" s="363"/>
      <c r="H295" s="381"/>
      <c r="I295" s="382"/>
      <c r="J295" s="383"/>
      <c r="K295" s="383"/>
      <c r="L295" s="384"/>
      <c r="M295" s="385"/>
    </row>
    <row r="296" spans="1:13" ht="16.5" thickBot="1" x14ac:dyDescent="0.45">
      <c r="A296" s="153"/>
      <c r="B296" s="152"/>
      <c r="C296" s="366"/>
      <c r="D296" s="366"/>
      <c r="E296" s="367"/>
      <c r="F296" s="363"/>
      <c r="G296" s="363"/>
      <c r="H296" s="381"/>
      <c r="I296" s="382"/>
      <c r="J296" s="383"/>
      <c r="K296" s="383"/>
      <c r="L296" s="384"/>
      <c r="M296" s="385"/>
    </row>
    <row r="297" spans="1:13" ht="16.5" thickBot="1" x14ac:dyDescent="0.45">
      <c r="A297" s="153"/>
      <c r="B297" s="152"/>
      <c r="C297" s="366"/>
      <c r="D297" s="366"/>
      <c r="E297" s="367"/>
      <c r="F297" s="363"/>
      <c r="G297" s="363"/>
      <c r="H297" s="381"/>
      <c r="I297" s="382"/>
      <c r="J297" s="383"/>
      <c r="K297" s="383"/>
      <c r="L297" s="384"/>
      <c r="M297" s="385"/>
    </row>
    <row r="298" spans="1:13" ht="16.5" thickBot="1" x14ac:dyDescent="0.45">
      <c r="A298" s="153"/>
      <c r="B298" s="152"/>
      <c r="C298" s="366"/>
      <c r="D298" s="366"/>
      <c r="E298" s="367"/>
      <c r="F298" s="363"/>
      <c r="G298" s="363"/>
      <c r="H298" s="381"/>
      <c r="I298" s="382"/>
      <c r="J298" s="383"/>
      <c r="K298" s="383"/>
      <c r="L298" s="384"/>
      <c r="M298" s="385"/>
    </row>
    <row r="299" spans="1:13" ht="16.5" thickBot="1" x14ac:dyDescent="0.45">
      <c r="A299" s="153"/>
      <c r="B299" s="152"/>
      <c r="C299" s="366"/>
      <c r="D299" s="366"/>
      <c r="E299" s="367"/>
      <c r="F299" s="363"/>
      <c r="G299" s="363"/>
      <c r="H299" s="381"/>
      <c r="I299" s="382"/>
      <c r="J299" s="383"/>
      <c r="K299" s="383"/>
      <c r="L299" s="384"/>
      <c r="M299" s="385"/>
    </row>
    <row r="300" spans="1:13" ht="16.5" thickBot="1" x14ac:dyDescent="0.45">
      <c r="A300" s="153"/>
      <c r="B300" s="152"/>
      <c r="C300" s="366"/>
      <c r="D300" s="366"/>
      <c r="E300" s="367"/>
      <c r="F300" s="363"/>
      <c r="G300" s="363"/>
      <c r="H300" s="381"/>
      <c r="I300" s="382"/>
      <c r="J300" s="383"/>
      <c r="K300" s="383"/>
      <c r="L300" s="384"/>
      <c r="M300" s="385"/>
    </row>
    <row r="301" spans="1:13" ht="16.5" thickBot="1" x14ac:dyDescent="0.45">
      <c r="A301" s="153"/>
      <c r="B301" s="152"/>
      <c r="C301" s="366"/>
      <c r="D301" s="366"/>
      <c r="E301" s="367"/>
      <c r="F301" s="363"/>
      <c r="G301" s="363"/>
      <c r="H301" s="381"/>
      <c r="I301" s="382"/>
      <c r="J301" s="383"/>
      <c r="K301" s="383"/>
      <c r="L301" s="384"/>
      <c r="M301" s="385"/>
    </row>
    <row r="302" spans="1:13" ht="16.5" thickBot="1" x14ac:dyDescent="0.45">
      <c r="A302" s="153"/>
      <c r="B302" s="152"/>
      <c r="C302" s="366"/>
      <c r="D302" s="366"/>
      <c r="E302" s="367"/>
      <c r="F302" s="363"/>
      <c r="G302" s="363"/>
      <c r="H302" s="381"/>
      <c r="I302" s="382"/>
      <c r="J302" s="383"/>
      <c r="K302" s="383"/>
      <c r="L302" s="384"/>
      <c r="M302" s="385"/>
    </row>
    <row r="303" spans="1:13" ht="16.5" thickBot="1" x14ac:dyDescent="0.45">
      <c r="A303" s="153"/>
      <c r="B303" s="152"/>
      <c r="C303" s="366"/>
      <c r="D303" s="366"/>
      <c r="E303" s="367"/>
      <c r="F303" s="363"/>
      <c r="G303" s="363"/>
      <c r="H303" s="381"/>
      <c r="I303" s="382"/>
      <c r="J303" s="383"/>
      <c r="K303" s="383"/>
      <c r="L303" s="384"/>
      <c r="M303" s="385"/>
    </row>
    <row r="304" spans="1:13" ht="16.5" thickBot="1" x14ac:dyDescent="0.45">
      <c r="A304" s="386"/>
      <c r="B304" s="387"/>
      <c r="C304" s="368"/>
      <c r="D304" s="368"/>
      <c r="E304" s="369"/>
      <c r="F304" s="370"/>
      <c r="G304" s="370"/>
      <c r="H304" s="388"/>
      <c r="I304" s="389"/>
      <c r="J304" s="390"/>
      <c r="K304" s="390"/>
      <c r="L304" s="391"/>
      <c r="M304" s="392"/>
    </row>
  </sheetData>
  <sheetProtection sheet="1" objects="1" scenarios="1"/>
  <mergeCells count="90">
    <mergeCell ref="F244:M245"/>
    <mergeCell ref="F216:F218"/>
    <mergeCell ref="F219:F221"/>
    <mergeCell ref="F222:F224"/>
    <mergeCell ref="F210:F212"/>
    <mergeCell ref="C226:D242"/>
    <mergeCell ref="F226:M228"/>
    <mergeCell ref="F231:F232"/>
    <mergeCell ref="F233:F234"/>
    <mergeCell ref="F235:F236"/>
    <mergeCell ref="F237:F238"/>
    <mergeCell ref="F239:F240"/>
    <mergeCell ref="F241:F242"/>
    <mergeCell ref="C157:D224"/>
    <mergeCell ref="F157:F159"/>
    <mergeCell ref="F160:F162"/>
    <mergeCell ref="F163:F165"/>
    <mergeCell ref="F166:F168"/>
    <mergeCell ref="F169:F171"/>
    <mergeCell ref="F172:F174"/>
    <mergeCell ref="F175:M175"/>
    <mergeCell ref="F176:F178"/>
    <mergeCell ref="F179:F181"/>
    <mergeCell ref="F213:F215"/>
    <mergeCell ref="F182:F184"/>
    <mergeCell ref="F185:F187"/>
    <mergeCell ref="F188:F190"/>
    <mergeCell ref="F191:F193"/>
    <mergeCell ref="F194:F196"/>
    <mergeCell ref="F197:M197"/>
    <mergeCell ref="F198:F200"/>
    <mergeCell ref="F201:F203"/>
    <mergeCell ref="F204:F206"/>
    <mergeCell ref="F207:F209"/>
    <mergeCell ref="F156:M156"/>
    <mergeCell ref="F122:M122"/>
    <mergeCell ref="F123:F125"/>
    <mergeCell ref="F126:F128"/>
    <mergeCell ref="F129:F131"/>
    <mergeCell ref="F132:F134"/>
    <mergeCell ref="F135:F137"/>
    <mergeCell ref="F138:F140"/>
    <mergeCell ref="F141:F143"/>
    <mergeCell ref="F144:F146"/>
    <mergeCell ref="F147:F149"/>
    <mergeCell ref="F151:M153"/>
    <mergeCell ref="F119:F121"/>
    <mergeCell ref="F81:M81"/>
    <mergeCell ref="C82:D149"/>
    <mergeCell ref="F82:F84"/>
    <mergeCell ref="F85:F87"/>
    <mergeCell ref="F88:F90"/>
    <mergeCell ref="F91:F93"/>
    <mergeCell ref="F94:F96"/>
    <mergeCell ref="F97:F99"/>
    <mergeCell ref="F100:M100"/>
    <mergeCell ref="F101:F103"/>
    <mergeCell ref="F104:F106"/>
    <mergeCell ref="F107:F109"/>
    <mergeCell ref="F110:F112"/>
    <mergeCell ref="F113:F115"/>
    <mergeCell ref="F116:F118"/>
    <mergeCell ref="F76:M78"/>
    <mergeCell ref="F44:F46"/>
    <mergeCell ref="F47:M47"/>
    <mergeCell ref="F48:F50"/>
    <mergeCell ref="F51:F53"/>
    <mergeCell ref="F54:F56"/>
    <mergeCell ref="F57:F59"/>
    <mergeCell ref="F60:F62"/>
    <mergeCell ref="F63:F65"/>
    <mergeCell ref="F66:F68"/>
    <mergeCell ref="F69:F71"/>
    <mergeCell ref="F72:F74"/>
    <mergeCell ref="F41:F43"/>
    <mergeCell ref="F1:M3"/>
    <mergeCell ref="F6:M6"/>
    <mergeCell ref="C7:D74"/>
    <mergeCell ref="F7:F9"/>
    <mergeCell ref="F10:F12"/>
    <mergeCell ref="F13:F15"/>
    <mergeCell ref="F16:F18"/>
    <mergeCell ref="F19:F21"/>
    <mergeCell ref="F22:F24"/>
    <mergeCell ref="F25:M25"/>
    <mergeCell ref="F26:F28"/>
    <mergeCell ref="F29:F31"/>
    <mergeCell ref="F32:F34"/>
    <mergeCell ref="F35:F37"/>
    <mergeCell ref="F38:F40"/>
  </mergeCells>
  <conditionalFormatting sqref="C1:F1 C2:E3 C4:M150 C151:E153 C154:M242">
    <cfRule type="containsText" dxfId="48" priority="16" operator="containsText" text="pilot">
      <formula>NOT(ISERROR(SEARCH("pilot",C1)))</formula>
    </cfRule>
    <cfRule type="containsText" dxfId="47" priority="17" operator="containsText" text="post">
      <formula>NOT(ISERROR(SEARCH("post",C1)))</formula>
    </cfRule>
    <cfRule type="containsText" dxfId="46" priority="18" operator="containsText" text="unfilled">
      <formula>NOT(ISERROR(SEARCH("unfilled",C1)))</formula>
    </cfRule>
  </conditionalFormatting>
  <conditionalFormatting sqref="F151">
    <cfRule type="containsText" dxfId="45" priority="6" operator="containsText" text="pilot">
      <formula>NOT(ISERROR(SEARCH("pilot",F151)))</formula>
    </cfRule>
    <cfRule type="containsText" dxfId="44" priority="7" operator="containsText" text="post">
      <formula>NOT(ISERROR(SEARCH("post",F151)))</formula>
    </cfRule>
    <cfRule type="containsText" dxfId="43" priority="8" operator="containsText" text="unfilled">
      <formula>NOT(ISERROR(SEARCH("unfilled",F151)))</formula>
    </cfRule>
  </conditionalFormatting>
  <conditionalFormatting sqref="I248:I277">
    <cfRule type="cellIs" dxfId="42" priority="1" operator="equal">
      <formula>0</formula>
    </cfRule>
  </conditionalFormatting>
  <conditionalFormatting sqref="J248:L277">
    <cfRule type="expression" dxfId="41" priority="3">
      <formula>J248=0</formula>
    </cfRule>
  </conditionalFormatting>
  <conditionalFormatting sqref="M248:M277 K280:K304">
    <cfRule type="containsText" dxfId="40" priority="2" operator="containsText" text="NOT CLAIMED">
      <formula>NOT(ISERROR(SEARCH("NOT CLAIMED",K248)))</formula>
    </cfRule>
  </conditionalFormatting>
  <pageMargins left="0.7" right="0.7" top="0.75" bottom="0.75" header="0.3" footer="0.3"/>
  <pageSetup scale="3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793B-5560-4C62-8090-56C9942ECA4C}">
  <sheetPr codeName="Sheet2">
    <tabColor theme="8" tint="0.59999389629810485"/>
  </sheetPr>
  <dimension ref="A3:N61"/>
  <sheetViews>
    <sheetView workbookViewId="0">
      <selection activeCell="N1" sqref="N1:N29"/>
    </sheetView>
  </sheetViews>
  <sheetFormatPr defaultRowHeight="15.5" x14ac:dyDescent="0.35"/>
  <cols>
    <col min="1" max="1" width="14.5" customWidth="1"/>
    <col min="2" max="2" width="17.5" customWidth="1"/>
    <col min="3" max="3" width="15.58203125" customWidth="1"/>
    <col min="4" max="4" width="22" customWidth="1"/>
    <col min="5" max="5" width="18" style="341" customWidth="1"/>
    <col min="6" max="6" width="15.5" style="341" customWidth="1"/>
    <col min="7" max="7" width="24" style="341" customWidth="1"/>
    <col min="8" max="8" width="24.5" customWidth="1"/>
    <col min="9" max="9" width="26.08203125" customWidth="1"/>
  </cols>
  <sheetData>
    <row r="3" spans="1:14" x14ac:dyDescent="0.35">
      <c r="A3" t="s">
        <v>1086</v>
      </c>
    </row>
    <row r="4" spans="1:14" x14ac:dyDescent="0.35">
      <c r="A4" t="s">
        <v>1087</v>
      </c>
      <c r="L4" t="s">
        <v>1088</v>
      </c>
    </row>
    <row r="5" spans="1:14" x14ac:dyDescent="0.35">
      <c r="A5" t="s">
        <v>1089</v>
      </c>
      <c r="B5" t="s">
        <v>200</v>
      </c>
      <c r="C5" t="s">
        <v>66</v>
      </c>
      <c r="D5" t="s">
        <v>1090</v>
      </c>
      <c r="E5" s="341" t="s">
        <v>193</v>
      </c>
      <c r="F5" s="341" t="s">
        <v>194</v>
      </c>
      <c r="G5" s="341" t="s">
        <v>1091</v>
      </c>
      <c r="H5" t="s">
        <v>196</v>
      </c>
      <c r="I5" t="s">
        <v>1092</v>
      </c>
      <c r="L5" t="s">
        <v>1089</v>
      </c>
      <c r="M5" t="s">
        <v>200</v>
      </c>
      <c r="N5" t="s">
        <v>66</v>
      </c>
    </row>
    <row r="6" spans="1:14" x14ac:dyDescent="0.35">
      <c r="A6" t="s">
        <v>259</v>
      </c>
      <c r="B6" t="s">
        <v>26</v>
      </c>
      <c r="C6" t="s">
        <v>930</v>
      </c>
      <c r="D6" t="s">
        <v>1093</v>
      </c>
      <c r="E6" s="341">
        <v>45850</v>
      </c>
      <c r="G6" s="341">
        <v>45843</v>
      </c>
      <c r="H6" t="s">
        <v>928</v>
      </c>
      <c r="I6" t="s">
        <v>1018</v>
      </c>
      <c r="L6" t="s">
        <v>259</v>
      </c>
      <c r="M6" t="s">
        <v>5</v>
      </c>
      <c r="N6" t="s">
        <v>488</v>
      </c>
    </row>
    <row r="7" spans="1:14" x14ac:dyDescent="0.35">
      <c r="A7" t="s">
        <v>259</v>
      </c>
      <c r="B7" t="s">
        <v>5</v>
      </c>
      <c r="C7" t="s">
        <v>149</v>
      </c>
      <c r="D7" t="s">
        <v>1094</v>
      </c>
      <c r="H7" t="s">
        <v>300</v>
      </c>
      <c r="I7" t="s">
        <v>760</v>
      </c>
      <c r="L7" t="s">
        <v>241</v>
      </c>
      <c r="M7" t="s">
        <v>16</v>
      </c>
      <c r="N7" t="s">
        <v>1095</v>
      </c>
    </row>
    <row r="8" spans="1:14" x14ac:dyDescent="0.35">
      <c r="A8" t="s">
        <v>259</v>
      </c>
      <c r="B8" t="s">
        <v>5</v>
      </c>
      <c r="C8" t="s">
        <v>145</v>
      </c>
      <c r="D8" t="s">
        <v>1096</v>
      </c>
      <c r="H8" t="s">
        <v>703</v>
      </c>
      <c r="I8" t="s">
        <v>585</v>
      </c>
      <c r="L8" t="s">
        <v>241</v>
      </c>
      <c r="M8" t="s">
        <v>16</v>
      </c>
      <c r="N8" t="s">
        <v>1098</v>
      </c>
    </row>
    <row r="9" spans="1:14" x14ac:dyDescent="0.35">
      <c r="A9" t="s">
        <v>259</v>
      </c>
      <c r="B9" t="s">
        <v>19</v>
      </c>
      <c r="C9" t="s">
        <v>158</v>
      </c>
      <c r="D9" t="s">
        <v>1094</v>
      </c>
      <c r="H9" t="s">
        <v>684</v>
      </c>
      <c r="I9" t="s">
        <v>441</v>
      </c>
      <c r="L9" t="s">
        <v>241</v>
      </c>
      <c r="M9" t="s">
        <v>16</v>
      </c>
      <c r="N9" t="s">
        <v>1099</v>
      </c>
    </row>
    <row r="10" spans="1:14" x14ac:dyDescent="0.35">
      <c r="A10" t="s">
        <v>233</v>
      </c>
      <c r="B10" t="s">
        <v>44</v>
      </c>
      <c r="C10" t="s">
        <v>508</v>
      </c>
      <c r="D10" t="s">
        <v>1100</v>
      </c>
      <c r="E10" s="341">
        <v>45935</v>
      </c>
      <c r="F10" s="341">
        <v>45948</v>
      </c>
      <c r="G10" s="341">
        <v>45935</v>
      </c>
      <c r="H10" t="s">
        <v>1013</v>
      </c>
      <c r="I10" t="s">
        <v>506</v>
      </c>
      <c r="L10" t="s">
        <v>241</v>
      </c>
      <c r="M10" t="s">
        <v>16</v>
      </c>
      <c r="N10" t="s">
        <v>1101</v>
      </c>
    </row>
    <row r="11" spans="1:14" x14ac:dyDescent="0.35">
      <c r="A11" t="s">
        <v>233</v>
      </c>
      <c r="B11" t="s">
        <v>31</v>
      </c>
      <c r="C11" t="s">
        <v>325</v>
      </c>
      <c r="D11" t="s">
        <v>1100</v>
      </c>
      <c r="E11" s="341">
        <v>45942</v>
      </c>
      <c r="F11" s="341">
        <v>45946</v>
      </c>
      <c r="G11" s="341">
        <v>45942</v>
      </c>
      <c r="H11" t="s">
        <v>1102</v>
      </c>
      <c r="I11" t="s">
        <v>323</v>
      </c>
      <c r="L11" t="s">
        <v>241</v>
      </c>
      <c r="M11" t="s">
        <v>16</v>
      </c>
      <c r="N11" t="s">
        <v>1103</v>
      </c>
    </row>
    <row r="12" spans="1:14" x14ac:dyDescent="0.35">
      <c r="A12" t="s">
        <v>259</v>
      </c>
      <c r="B12" t="s">
        <v>26</v>
      </c>
      <c r="C12" t="s">
        <v>111</v>
      </c>
      <c r="D12" t="s">
        <v>1100</v>
      </c>
      <c r="E12" s="341">
        <v>45943</v>
      </c>
      <c r="F12" s="341">
        <v>45946</v>
      </c>
      <c r="G12" s="341">
        <v>45942</v>
      </c>
      <c r="H12" t="s">
        <v>1104</v>
      </c>
      <c r="I12" t="s">
        <v>386</v>
      </c>
      <c r="L12" t="s">
        <v>241</v>
      </c>
      <c r="M12" t="s">
        <v>17</v>
      </c>
      <c r="N12" t="s">
        <v>1105</v>
      </c>
    </row>
    <row r="13" spans="1:14" x14ac:dyDescent="0.35">
      <c r="A13" t="s">
        <v>259</v>
      </c>
      <c r="B13" t="s">
        <v>5</v>
      </c>
      <c r="C13" t="s">
        <v>71</v>
      </c>
      <c r="D13" t="s">
        <v>1100</v>
      </c>
      <c r="E13" s="341">
        <v>45943</v>
      </c>
      <c r="F13" s="341">
        <v>45947</v>
      </c>
      <c r="G13" s="341">
        <v>45943</v>
      </c>
      <c r="H13" t="s">
        <v>1106</v>
      </c>
      <c r="I13" t="s">
        <v>352</v>
      </c>
      <c r="L13" t="s">
        <v>241</v>
      </c>
      <c r="M13" t="s">
        <v>17</v>
      </c>
      <c r="N13" t="s">
        <v>1107</v>
      </c>
    </row>
    <row r="14" spans="1:14" x14ac:dyDescent="0.35">
      <c r="A14" t="s">
        <v>259</v>
      </c>
      <c r="B14" t="s">
        <v>19</v>
      </c>
      <c r="C14" t="s">
        <v>127</v>
      </c>
      <c r="D14" t="s">
        <v>1100</v>
      </c>
      <c r="E14" s="341">
        <v>45944</v>
      </c>
      <c r="F14" s="341">
        <v>45948</v>
      </c>
      <c r="G14" s="341">
        <v>45944</v>
      </c>
      <c r="H14" t="s">
        <v>1108</v>
      </c>
      <c r="I14" t="s">
        <v>872</v>
      </c>
      <c r="L14" t="s">
        <v>241</v>
      </c>
      <c r="M14" t="s">
        <v>17</v>
      </c>
      <c r="N14" t="s">
        <v>1109</v>
      </c>
    </row>
    <row r="15" spans="1:14" x14ac:dyDescent="0.35">
      <c r="A15" t="s">
        <v>259</v>
      </c>
      <c r="B15" t="s">
        <v>26</v>
      </c>
      <c r="C15" t="s">
        <v>161</v>
      </c>
      <c r="D15" t="s">
        <v>1100</v>
      </c>
      <c r="E15" s="341">
        <v>45946</v>
      </c>
      <c r="F15" s="341">
        <v>45950</v>
      </c>
      <c r="G15" s="341">
        <v>45946</v>
      </c>
      <c r="I15" t="s">
        <v>820</v>
      </c>
      <c r="L15" t="s">
        <v>241</v>
      </c>
      <c r="M15" t="s">
        <v>17</v>
      </c>
      <c r="N15" t="s">
        <v>1110</v>
      </c>
    </row>
    <row r="16" spans="1:14" x14ac:dyDescent="0.35">
      <c r="A16" t="s">
        <v>233</v>
      </c>
      <c r="B16" t="s">
        <v>31</v>
      </c>
      <c r="C16" t="s">
        <v>439</v>
      </c>
      <c r="D16" t="s">
        <v>1100</v>
      </c>
      <c r="E16" s="341">
        <v>45947</v>
      </c>
      <c r="F16" s="341">
        <v>45954</v>
      </c>
      <c r="G16" s="341">
        <v>45947</v>
      </c>
      <c r="I16" t="s">
        <v>818</v>
      </c>
      <c r="L16" t="s">
        <v>241</v>
      </c>
      <c r="M16" t="s">
        <v>17</v>
      </c>
      <c r="N16" t="s">
        <v>1111</v>
      </c>
    </row>
    <row r="17" spans="1:14" x14ac:dyDescent="0.35">
      <c r="A17" t="s">
        <v>259</v>
      </c>
      <c r="B17" t="s">
        <v>19</v>
      </c>
      <c r="C17" t="s">
        <v>130</v>
      </c>
      <c r="D17" t="s">
        <v>1100</v>
      </c>
      <c r="E17" s="341">
        <v>45951</v>
      </c>
      <c r="F17" s="341">
        <v>45955</v>
      </c>
      <c r="G17" s="341">
        <v>45951</v>
      </c>
      <c r="I17" t="s">
        <v>682</v>
      </c>
      <c r="L17" t="s">
        <v>206</v>
      </c>
      <c r="M17" t="s">
        <v>13</v>
      </c>
      <c r="N17" t="s">
        <v>1112</v>
      </c>
    </row>
    <row r="18" spans="1:14" x14ac:dyDescent="0.35">
      <c r="A18" t="s">
        <v>259</v>
      </c>
      <c r="B18" t="s">
        <v>26</v>
      </c>
      <c r="C18" t="s">
        <v>113</v>
      </c>
      <c r="D18" t="s">
        <v>1100</v>
      </c>
      <c r="E18" s="341">
        <v>45953</v>
      </c>
      <c r="F18" s="341">
        <v>45959</v>
      </c>
      <c r="G18" s="341">
        <v>45953</v>
      </c>
      <c r="H18" t="s">
        <v>1113</v>
      </c>
      <c r="I18" t="e">
        <v>#REF!</v>
      </c>
      <c r="L18" t="s">
        <v>206</v>
      </c>
      <c r="M18" t="s">
        <v>13</v>
      </c>
      <c r="N18" t="s">
        <v>1114</v>
      </c>
    </row>
    <row r="19" spans="1:14" x14ac:dyDescent="0.35">
      <c r="I19" t="s">
        <v>446</v>
      </c>
      <c r="L19" t="s">
        <v>206</v>
      </c>
      <c r="M19" t="s">
        <v>13</v>
      </c>
      <c r="N19" t="s">
        <v>1115</v>
      </c>
    </row>
    <row r="20" spans="1:14" x14ac:dyDescent="0.35">
      <c r="A20" t="s">
        <v>233</v>
      </c>
      <c r="B20" t="s">
        <v>37</v>
      </c>
      <c r="C20" t="s">
        <v>232</v>
      </c>
      <c r="D20" t="s">
        <v>1100</v>
      </c>
      <c r="E20" s="341">
        <v>45952</v>
      </c>
      <c r="F20" s="341">
        <v>45958</v>
      </c>
      <c r="G20" s="341">
        <v>45952</v>
      </c>
      <c r="H20" t="s">
        <v>234</v>
      </c>
      <c r="I20" t="s">
        <v>466</v>
      </c>
      <c r="L20" t="s">
        <v>206</v>
      </c>
      <c r="M20" t="s">
        <v>13</v>
      </c>
      <c r="N20" t="s">
        <v>1116</v>
      </c>
    </row>
    <row r="21" spans="1:14" x14ac:dyDescent="0.35">
      <c r="A21" t="s">
        <v>259</v>
      </c>
      <c r="B21" t="s">
        <v>5</v>
      </c>
      <c r="C21" t="s">
        <v>120</v>
      </c>
      <c r="D21" t="s">
        <v>1100</v>
      </c>
      <c r="E21" s="341">
        <v>45951</v>
      </c>
      <c r="F21" s="341">
        <v>45957</v>
      </c>
      <c r="G21" s="341">
        <v>45951</v>
      </c>
      <c r="H21" t="s">
        <v>407</v>
      </c>
      <c r="I21" t="s">
        <v>396</v>
      </c>
      <c r="L21" t="s">
        <v>206</v>
      </c>
      <c r="M21" t="s">
        <v>13</v>
      </c>
      <c r="N21" t="s">
        <v>1117</v>
      </c>
    </row>
    <row r="22" spans="1:14" x14ac:dyDescent="0.35">
      <c r="A22" t="s">
        <v>233</v>
      </c>
      <c r="B22" t="s">
        <v>44</v>
      </c>
      <c r="C22" t="s">
        <v>484</v>
      </c>
      <c r="D22" t="s">
        <v>1100</v>
      </c>
      <c r="E22" s="341">
        <v>45951</v>
      </c>
      <c r="F22" s="341">
        <v>45957</v>
      </c>
      <c r="G22" s="341">
        <v>45951</v>
      </c>
      <c r="H22" t="s">
        <v>1042</v>
      </c>
      <c r="I22" t="s">
        <v>482</v>
      </c>
      <c r="L22" t="s">
        <v>241</v>
      </c>
      <c r="M22" t="s">
        <v>15</v>
      </c>
      <c r="N22" t="s">
        <v>1118</v>
      </c>
    </row>
    <row r="23" spans="1:14" x14ac:dyDescent="0.35">
      <c r="A23" t="s">
        <v>259</v>
      </c>
      <c r="B23" t="s">
        <v>26</v>
      </c>
      <c r="C23" t="s">
        <v>368</v>
      </c>
      <c r="D23" t="s">
        <v>1100</v>
      </c>
      <c r="E23" s="341">
        <v>45954</v>
      </c>
      <c r="F23" s="341">
        <v>45960</v>
      </c>
      <c r="G23" s="341">
        <v>45954</v>
      </c>
      <c r="H23" t="s">
        <v>992</v>
      </c>
      <c r="I23" t="s">
        <v>366</v>
      </c>
      <c r="L23" t="s">
        <v>241</v>
      </c>
      <c r="M23" t="s">
        <v>15</v>
      </c>
      <c r="N23" t="s">
        <v>1119</v>
      </c>
    </row>
    <row r="24" spans="1:14" x14ac:dyDescent="0.35">
      <c r="A24" t="s">
        <v>259</v>
      </c>
      <c r="B24" t="s">
        <v>26</v>
      </c>
      <c r="C24" t="s">
        <v>136</v>
      </c>
      <c r="D24" t="s">
        <v>1100</v>
      </c>
      <c r="E24" s="341">
        <v>45955</v>
      </c>
      <c r="F24" s="341">
        <v>45961</v>
      </c>
      <c r="G24" s="341">
        <v>45955</v>
      </c>
      <c r="H24" t="s">
        <v>996</v>
      </c>
      <c r="I24" t="s">
        <v>696</v>
      </c>
      <c r="L24" t="s">
        <v>241</v>
      </c>
      <c r="M24" t="s">
        <v>15</v>
      </c>
      <c r="N24" t="s">
        <v>1120</v>
      </c>
    </row>
    <row r="25" spans="1:14" x14ac:dyDescent="0.35">
      <c r="A25" t="s">
        <v>233</v>
      </c>
      <c r="B25" t="s">
        <v>44</v>
      </c>
      <c r="C25" t="s">
        <v>569</v>
      </c>
      <c r="D25" t="s">
        <v>1100</v>
      </c>
      <c r="E25" s="341">
        <v>45953</v>
      </c>
      <c r="F25" s="341">
        <v>45959</v>
      </c>
      <c r="G25" s="341">
        <v>45953</v>
      </c>
      <c r="H25" t="s">
        <v>1010</v>
      </c>
      <c r="I25" t="s">
        <v>571</v>
      </c>
      <c r="L25" t="s">
        <v>241</v>
      </c>
      <c r="M25" t="s">
        <v>15</v>
      </c>
      <c r="N25" t="s">
        <v>1121</v>
      </c>
    </row>
    <row r="26" spans="1:14" x14ac:dyDescent="0.35">
      <c r="A26" t="s">
        <v>259</v>
      </c>
      <c r="B26" t="s">
        <v>5</v>
      </c>
      <c r="C26" t="s">
        <v>125</v>
      </c>
      <c r="D26" t="s">
        <v>1100</v>
      </c>
      <c r="E26" s="341">
        <v>45961</v>
      </c>
      <c r="F26" s="341">
        <v>45967</v>
      </c>
      <c r="G26" s="341">
        <v>45961</v>
      </c>
      <c r="H26" t="s">
        <v>1106</v>
      </c>
      <c r="I26" t="s">
        <v>416</v>
      </c>
      <c r="L26" t="s">
        <v>241</v>
      </c>
      <c r="M26" t="s">
        <v>15</v>
      </c>
      <c r="N26" t="s">
        <v>1122</v>
      </c>
    </row>
    <row r="27" spans="1:14" x14ac:dyDescent="0.35">
      <c r="A27" t="s">
        <v>259</v>
      </c>
      <c r="B27" t="s">
        <v>26</v>
      </c>
      <c r="C27" t="s">
        <v>869</v>
      </c>
      <c r="D27" t="s">
        <v>1100</v>
      </c>
      <c r="E27" s="341">
        <v>45961</v>
      </c>
      <c r="F27" s="341">
        <v>45967</v>
      </c>
      <c r="G27" s="341">
        <v>45961</v>
      </c>
      <c r="H27" t="s">
        <v>592</v>
      </c>
      <c r="I27" t="s">
        <v>867</v>
      </c>
      <c r="L27" t="s">
        <v>206</v>
      </c>
      <c r="M27" t="s">
        <v>12</v>
      </c>
      <c r="N27" t="s">
        <v>1123</v>
      </c>
    </row>
    <row r="28" spans="1:14" x14ac:dyDescent="0.35">
      <c r="A28" t="s">
        <v>233</v>
      </c>
      <c r="B28" t="s">
        <v>44</v>
      </c>
      <c r="C28" t="s">
        <v>360</v>
      </c>
      <c r="D28" t="s">
        <v>1100</v>
      </c>
      <c r="E28" s="341">
        <v>45961</v>
      </c>
      <c r="F28" s="341">
        <v>45967</v>
      </c>
      <c r="G28" s="341">
        <v>45961</v>
      </c>
      <c r="H28" t="s">
        <v>1010</v>
      </c>
      <c r="I28" t="s">
        <v>978</v>
      </c>
      <c r="L28" t="s">
        <v>206</v>
      </c>
      <c r="M28" t="s">
        <v>12</v>
      </c>
      <c r="N28" t="s">
        <v>1124</v>
      </c>
    </row>
    <row r="29" spans="1:14" x14ac:dyDescent="0.35">
      <c r="A29" t="s">
        <v>259</v>
      </c>
      <c r="B29" t="s">
        <v>19</v>
      </c>
      <c r="C29" t="s">
        <v>99</v>
      </c>
      <c r="D29" t="s">
        <v>1093</v>
      </c>
      <c r="E29" s="341">
        <v>45961</v>
      </c>
      <c r="G29" s="341">
        <v>45961</v>
      </c>
      <c r="H29" t="s">
        <v>1053</v>
      </c>
      <c r="I29" t="s">
        <v>1044</v>
      </c>
      <c r="L29" t="s">
        <v>206</v>
      </c>
      <c r="M29" t="s">
        <v>12</v>
      </c>
      <c r="N29" t="s">
        <v>1125</v>
      </c>
    </row>
    <row r="30" spans="1:14" x14ac:dyDescent="0.35">
      <c r="A30" t="s">
        <v>259</v>
      </c>
      <c r="B30" t="s">
        <v>5</v>
      </c>
      <c r="C30" t="s">
        <v>488</v>
      </c>
      <c r="D30" t="s">
        <v>1093</v>
      </c>
      <c r="E30" s="341">
        <v>45959</v>
      </c>
      <c r="G30" s="341">
        <v>45959</v>
      </c>
      <c r="H30" t="s">
        <v>485</v>
      </c>
      <c r="I30" t="s">
        <v>1097</v>
      </c>
    </row>
    <row r="31" spans="1:14" x14ac:dyDescent="0.35">
      <c r="A31" t="s">
        <v>259</v>
      </c>
      <c r="B31" t="s">
        <v>19</v>
      </c>
      <c r="C31" t="s">
        <v>129</v>
      </c>
      <c r="D31" t="s">
        <v>1126</v>
      </c>
      <c r="E31" s="341">
        <v>45974</v>
      </c>
      <c r="F31" s="341">
        <v>45987</v>
      </c>
      <c r="G31" s="341">
        <v>45974</v>
      </c>
      <c r="H31" t="s">
        <v>669</v>
      </c>
      <c r="I31" t="s">
        <v>894</v>
      </c>
    </row>
    <row r="32" spans="1:14" x14ac:dyDescent="0.35">
      <c r="I32" t="s">
        <v>302</v>
      </c>
    </row>
    <row r="33" spans="8:9" x14ac:dyDescent="0.35">
      <c r="I33" t="s">
        <v>302</v>
      </c>
    </row>
    <row r="34" spans="8:9" x14ac:dyDescent="0.35">
      <c r="I34" t="s">
        <v>302</v>
      </c>
    </row>
    <row r="35" spans="8:9" x14ac:dyDescent="0.35">
      <c r="I35" t="s">
        <v>302</v>
      </c>
    </row>
    <row r="36" spans="8:9" x14ac:dyDescent="0.35">
      <c r="I36" t="s">
        <v>302</v>
      </c>
    </row>
    <row r="37" spans="8:9" x14ac:dyDescent="0.35">
      <c r="H37" t="s">
        <v>70</v>
      </c>
      <c r="I37" t="s">
        <v>302</v>
      </c>
    </row>
    <row r="38" spans="8:9" x14ac:dyDescent="0.35">
      <c r="I38" t="s">
        <v>302</v>
      </c>
    </row>
    <row r="39" spans="8:9" x14ac:dyDescent="0.35">
      <c r="I39" t="s">
        <v>302</v>
      </c>
    </row>
    <row r="40" spans="8:9" x14ac:dyDescent="0.35">
      <c r="I40" t="s">
        <v>302</v>
      </c>
    </row>
    <row r="41" spans="8:9" x14ac:dyDescent="0.35">
      <c r="I41" t="s">
        <v>302</v>
      </c>
    </row>
    <row r="42" spans="8:9" x14ac:dyDescent="0.35">
      <c r="I42" t="s">
        <v>302</v>
      </c>
    </row>
    <row r="43" spans="8:9" x14ac:dyDescent="0.35">
      <c r="I43" t="s">
        <v>302</v>
      </c>
    </row>
    <row r="44" spans="8:9" x14ac:dyDescent="0.35">
      <c r="I44" t="s">
        <v>302</v>
      </c>
    </row>
    <row r="45" spans="8:9" x14ac:dyDescent="0.35">
      <c r="I45" t="s">
        <v>302</v>
      </c>
    </row>
    <row r="46" spans="8:9" x14ac:dyDescent="0.35">
      <c r="I46" t="s">
        <v>302</v>
      </c>
    </row>
    <row r="47" spans="8:9" x14ac:dyDescent="0.35">
      <c r="I47" t="s">
        <v>302</v>
      </c>
    </row>
    <row r="48" spans="8:9" x14ac:dyDescent="0.35">
      <c r="I48" t="s">
        <v>302</v>
      </c>
    </row>
    <row r="49" spans="9:9" x14ac:dyDescent="0.35">
      <c r="I49" t="s">
        <v>302</v>
      </c>
    </row>
    <row r="50" spans="9:9" x14ac:dyDescent="0.35">
      <c r="I50" t="s">
        <v>302</v>
      </c>
    </row>
    <row r="51" spans="9:9" x14ac:dyDescent="0.35">
      <c r="I51" t="s">
        <v>302</v>
      </c>
    </row>
    <row r="52" spans="9:9" x14ac:dyDescent="0.35">
      <c r="I52" t="s">
        <v>302</v>
      </c>
    </row>
    <row r="53" spans="9:9" x14ac:dyDescent="0.35">
      <c r="I53" t="s">
        <v>302</v>
      </c>
    </row>
    <row r="54" spans="9:9" x14ac:dyDescent="0.35">
      <c r="I54" t="s">
        <v>302</v>
      </c>
    </row>
    <row r="55" spans="9:9" x14ac:dyDescent="0.35">
      <c r="I55" t="s">
        <v>302</v>
      </c>
    </row>
    <row r="56" spans="9:9" x14ac:dyDescent="0.35">
      <c r="I56" t="s">
        <v>302</v>
      </c>
    </row>
    <row r="57" spans="9:9" x14ac:dyDescent="0.35">
      <c r="I57" t="s">
        <v>302</v>
      </c>
    </row>
    <row r="58" spans="9:9" x14ac:dyDescent="0.35">
      <c r="I58" t="s">
        <v>302</v>
      </c>
    </row>
    <row r="59" spans="9:9" x14ac:dyDescent="0.35">
      <c r="I59" t="s">
        <v>302</v>
      </c>
    </row>
    <row r="60" spans="9:9" x14ac:dyDescent="0.35">
      <c r="I60" t="s">
        <v>302</v>
      </c>
    </row>
    <row r="61" spans="9:9" x14ac:dyDescent="0.35">
      <c r="I61" t="s">
        <v>302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D295-F94E-415A-9EE0-6F2872CC25A6}">
  <sheetPr codeName="Sheet10">
    <tabColor theme="8" tint="0.59999389629810485"/>
    <pageSetUpPr fitToPage="1"/>
  </sheetPr>
  <dimension ref="D1:AK217"/>
  <sheetViews>
    <sheetView showGridLines="0" showRowColHeaders="0" topLeftCell="D1" zoomScale="70" zoomScaleNormal="70" workbookViewId="0">
      <pane xSplit="2" ySplit="4" topLeftCell="F72" activePane="bottomRight" state="frozen"/>
      <selection pane="topRight" activeCell="J55" activeCellId="1" sqref="J26 J55"/>
      <selection pane="bottomLeft" activeCell="J55" activeCellId="1" sqref="J26 J55"/>
      <selection pane="bottomRight" activeCell="U2" sqref="U2:V2"/>
    </sheetView>
  </sheetViews>
  <sheetFormatPr defaultColWidth="11" defaultRowHeight="15.5" x14ac:dyDescent="0.35"/>
  <cols>
    <col min="1" max="3" width="0" hidden="1" customWidth="1"/>
    <col min="4" max="4" width="32.58203125" customWidth="1"/>
    <col min="5" max="5" width="26.5" hidden="1" customWidth="1"/>
    <col min="6" max="6" width="26.08203125" customWidth="1"/>
    <col min="7" max="7" width="21.08203125" customWidth="1"/>
    <col min="8" max="8" width="17.5" style="8" customWidth="1"/>
    <col min="9" max="9" width="18.08203125" style="8" customWidth="1"/>
    <col min="10" max="10" width="15.58203125" style="8" customWidth="1"/>
    <col min="11" max="11" width="18.08203125" style="8" customWidth="1"/>
    <col min="12" max="12" width="15.58203125" style="8" customWidth="1"/>
    <col min="13" max="13" width="18.08203125" style="8" customWidth="1"/>
    <col min="14" max="14" width="15.58203125" style="8" customWidth="1"/>
    <col min="15" max="15" width="18.08203125" style="8" customWidth="1"/>
    <col min="16" max="16" width="15.58203125" style="8" customWidth="1"/>
    <col min="17" max="17" width="18.08203125" style="8" customWidth="1"/>
    <col min="18" max="18" width="15.58203125" style="8" customWidth="1"/>
    <col min="19" max="19" width="18.08203125" style="8" customWidth="1"/>
    <col min="20" max="20" width="15.58203125" style="8" customWidth="1"/>
    <col min="21" max="21" width="18.08203125" style="8" customWidth="1"/>
    <col min="22" max="22" width="15.58203125" style="8" customWidth="1"/>
    <col min="23" max="30" width="11" customWidth="1"/>
    <col min="31" max="31" width="11" hidden="1" customWidth="1"/>
    <col min="32" max="32" width="10.58203125" hidden="1" customWidth="1"/>
    <col min="33" max="37" width="11" hidden="1" customWidth="1"/>
    <col min="38" max="38" width="11" customWidth="1"/>
  </cols>
  <sheetData>
    <row r="1" spans="4:35" ht="22.5" customHeight="1" thickTop="1" x14ac:dyDescent="0.35">
      <c r="D1" s="438" t="s">
        <v>199</v>
      </c>
      <c r="E1" s="206"/>
      <c r="F1" s="440" t="s">
        <v>200</v>
      </c>
      <c r="G1" s="440" t="s">
        <v>201</v>
      </c>
      <c r="H1" s="440" t="s">
        <v>202</v>
      </c>
      <c r="I1" s="436">
        <f>Sheet1!F1</f>
        <v>45969</v>
      </c>
      <c r="J1" s="442"/>
      <c r="K1" s="436">
        <f>+I1+1</f>
        <v>45970</v>
      </c>
      <c r="L1" s="442"/>
      <c r="M1" s="436">
        <f>+K1+1</f>
        <v>45971</v>
      </c>
      <c r="N1" s="442"/>
      <c r="O1" s="436">
        <f>+M1+1</f>
        <v>45972</v>
      </c>
      <c r="P1" s="442"/>
      <c r="Q1" s="436">
        <f>+O1+1</f>
        <v>45973</v>
      </c>
      <c r="R1" s="442"/>
      <c r="S1" s="436">
        <f>+Q1+1</f>
        <v>45974</v>
      </c>
      <c r="T1" s="442"/>
      <c r="U1" s="436">
        <f>+S1+1</f>
        <v>45975</v>
      </c>
      <c r="V1" s="437"/>
      <c r="W1" s="207"/>
      <c r="X1" s="207"/>
      <c r="Y1" s="207"/>
      <c r="Z1" s="207"/>
      <c r="AG1" s="4" t="s">
        <v>1127</v>
      </c>
      <c r="AH1" s="4" t="s">
        <v>1128</v>
      </c>
      <c r="AI1" s="4" t="s">
        <v>1129</v>
      </c>
    </row>
    <row r="2" spans="4:35" ht="30" thickBot="1" x14ac:dyDescent="0.4">
      <c r="D2" s="439"/>
      <c r="E2" s="210"/>
      <c r="F2" s="441"/>
      <c r="G2" s="441"/>
      <c r="H2" s="441"/>
      <c r="I2" s="443" t="str">
        <f>TEXT(I1,"dddd")</f>
        <v>Saturday</v>
      </c>
      <c r="J2" s="444"/>
      <c r="K2" s="443" t="str">
        <f>TEXT(K1,"dddd")</f>
        <v>Sunday</v>
      </c>
      <c r="L2" s="444"/>
      <c r="M2" s="443" t="str">
        <f>TEXT(M1,"dddd")</f>
        <v>Monday</v>
      </c>
      <c r="N2" s="444"/>
      <c r="O2" s="443" t="str">
        <f>TEXT(O1,"dddd")</f>
        <v>Tuesday</v>
      </c>
      <c r="P2" s="444"/>
      <c r="Q2" s="443" t="str">
        <f>TEXT(Q1,"dddd")</f>
        <v>Wednesday</v>
      </c>
      <c r="R2" s="444"/>
      <c r="S2" s="443" t="str">
        <f>TEXT(S1,"dddd")</f>
        <v>Thursday</v>
      </c>
      <c r="T2" s="444"/>
      <c r="U2" s="443" t="str">
        <f>TEXT(U1,"dddd")</f>
        <v>Friday</v>
      </c>
      <c r="V2" s="451"/>
      <c r="W2" s="207"/>
      <c r="X2" s="207"/>
      <c r="Y2" s="207"/>
      <c r="Z2" s="207"/>
      <c r="AG2" s="4" t="s">
        <v>205</v>
      </c>
      <c r="AH2" s="4" t="s">
        <v>1130</v>
      </c>
      <c r="AI2" s="4"/>
    </row>
    <row r="3" spans="4:35" ht="17.25" customHeight="1" x14ac:dyDescent="0.35">
      <c r="D3" s="485" t="s">
        <v>1131</v>
      </c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7"/>
      <c r="W3" s="211"/>
      <c r="X3" s="211"/>
      <c r="Y3" s="211"/>
      <c r="Z3" s="211"/>
    </row>
    <row r="4" spans="4:35" ht="17.25" customHeight="1" thickBot="1" x14ac:dyDescent="0.4">
      <c r="D4" s="488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90"/>
      <c r="W4" s="211"/>
      <c r="X4" s="211"/>
      <c r="Y4" s="211"/>
      <c r="Z4" s="211"/>
    </row>
    <row r="5" spans="4:35" ht="21" customHeight="1" x14ac:dyDescent="0.5">
      <c r="D5" s="318" t="str" cm="1">
        <f t="array" ref="D5:V97">_xlfn._xlws.FILTER(Sheet1!A2:S333,Sheet1!T2:T333=AG1)</f>
        <v>ADAMS, ARDRA</v>
      </c>
      <c r="E5" s="242" t="str">
        <v>0162534</v>
      </c>
      <c r="F5" s="319" t="str">
        <v>COASTAL</v>
      </c>
      <c r="G5" s="320" t="str">
        <v>SV-2</v>
      </c>
      <c r="H5" s="322">
        <v>0</v>
      </c>
      <c r="I5" s="323">
        <v>0</v>
      </c>
      <c r="J5" s="324" t="str">
        <v>SV-2</v>
      </c>
      <c r="K5" s="323">
        <v>0</v>
      </c>
      <c r="L5" s="324" t="str">
        <v>OFF</v>
      </c>
      <c r="M5" s="323">
        <v>0</v>
      </c>
      <c r="N5" s="324" t="str">
        <v>OFF</v>
      </c>
      <c r="O5" s="323">
        <v>0</v>
      </c>
      <c r="P5" s="324" t="str">
        <v>SV-2</v>
      </c>
      <c r="Q5" s="323" t="str">
        <v>DIVERTED -ST</v>
      </c>
      <c r="R5" s="324" t="str">
        <v>ME-2</v>
      </c>
      <c r="S5" s="323">
        <v>0</v>
      </c>
      <c r="T5" s="324" t="str">
        <v>SV-2</v>
      </c>
      <c r="U5" s="323">
        <v>0</v>
      </c>
      <c r="V5" s="324" t="str">
        <v>SV-2</v>
      </c>
      <c r="W5" s="225"/>
      <c r="X5" s="225"/>
      <c r="Y5" s="225"/>
      <c r="Z5" s="225"/>
    </row>
    <row r="6" spans="4:35" ht="21" customHeight="1" x14ac:dyDescent="0.5">
      <c r="D6" s="245" t="str">
        <v>ARGYRAKIS, URIAH</v>
      </c>
      <c r="E6" s="246" t="str">
        <v>1025505</v>
      </c>
      <c r="F6" s="273" t="str">
        <v>BLUE RIDGE</v>
      </c>
      <c r="G6" s="321" t="str">
        <v>PO-R</v>
      </c>
      <c r="H6" s="325">
        <v>0</v>
      </c>
      <c r="I6" s="326">
        <v>0</v>
      </c>
      <c r="J6" s="58" t="str">
        <v>PO-1</v>
      </c>
      <c r="K6" s="326">
        <v>0</v>
      </c>
      <c r="L6" s="58" t="str">
        <v>PO-2</v>
      </c>
      <c r="M6" s="326">
        <v>0</v>
      </c>
      <c r="N6" s="58" t="str">
        <v>PO-2</v>
      </c>
      <c r="O6" s="326" t="str">
        <v>S-SD</v>
      </c>
      <c r="P6" s="58" t="str">
        <v>S-SD</v>
      </c>
      <c r="Q6" s="326">
        <v>0</v>
      </c>
      <c r="R6" s="58" t="str">
        <v>OFF</v>
      </c>
      <c r="S6" s="326">
        <v>0</v>
      </c>
      <c r="T6" s="58" t="str">
        <v>OFF</v>
      </c>
      <c r="U6" s="326">
        <v>0</v>
      </c>
      <c r="V6" s="58" t="str">
        <v>PO-1</v>
      </c>
      <c r="W6" s="225"/>
      <c r="X6" s="225"/>
      <c r="Y6" s="225"/>
      <c r="Z6" s="225"/>
    </row>
    <row r="7" spans="4:35" ht="21" customHeight="1" x14ac:dyDescent="0.5">
      <c r="D7" s="245" t="str">
        <v>ARTHER, BART</v>
      </c>
      <c r="E7" s="246" t="str">
        <v>1018633</v>
      </c>
      <c r="F7" s="273" t="str">
        <v>GULF</v>
      </c>
      <c r="G7" s="321" t="str">
        <v>EE-2</v>
      </c>
      <c r="H7" s="325">
        <v>0</v>
      </c>
      <c r="I7" s="326">
        <v>0</v>
      </c>
      <c r="J7" s="58" t="str">
        <v>EE-2</v>
      </c>
      <c r="K7" s="326">
        <v>0</v>
      </c>
      <c r="L7" s="58" t="str">
        <v>EE-2</v>
      </c>
      <c r="M7" s="326">
        <v>0</v>
      </c>
      <c r="N7" s="58" t="str">
        <v>EE-2</v>
      </c>
      <c r="O7" s="326">
        <v>0</v>
      </c>
      <c r="P7" s="58" t="str">
        <v>OFF</v>
      </c>
      <c r="Q7" s="326">
        <v>0</v>
      </c>
      <c r="R7" s="58" t="str">
        <v>OFF</v>
      </c>
      <c r="S7" s="326" t="str">
        <v>DIVERTED -ST</v>
      </c>
      <c r="T7" s="58" t="str">
        <v>LF-2</v>
      </c>
      <c r="U7" s="326">
        <v>0</v>
      </c>
      <c r="V7" s="58" t="str">
        <v>EE-2</v>
      </c>
      <c r="W7" s="225"/>
      <c r="X7" s="225"/>
      <c r="Y7" s="225"/>
      <c r="Z7" s="225"/>
    </row>
    <row r="8" spans="4:35" ht="21" customHeight="1" x14ac:dyDescent="0.5">
      <c r="D8" s="245" t="str">
        <v>BAILEY, LORRIE</v>
      </c>
      <c r="E8" s="246" t="str">
        <v>0746249</v>
      </c>
      <c r="F8" s="273" t="str">
        <v>BLUE RIDGE</v>
      </c>
      <c r="G8" s="321" t="str">
        <v>PO-1</v>
      </c>
      <c r="H8" s="325">
        <v>0</v>
      </c>
      <c r="I8" s="326">
        <v>0</v>
      </c>
      <c r="J8" s="58" t="str">
        <v>OFF</v>
      </c>
      <c r="K8" s="326">
        <v>0</v>
      </c>
      <c r="L8" s="58" t="str">
        <v>PO-1</v>
      </c>
      <c r="M8" s="326">
        <v>0</v>
      </c>
      <c r="N8" s="58" t="str">
        <v>PO-1</v>
      </c>
      <c r="O8" s="326">
        <v>0</v>
      </c>
      <c r="P8" s="58" t="str">
        <v>PO-1</v>
      </c>
      <c r="Q8" s="326">
        <v>0</v>
      </c>
      <c r="R8" s="58" t="str">
        <v>PO-1</v>
      </c>
      <c r="S8" s="326">
        <v>0</v>
      </c>
      <c r="T8" s="58" t="str">
        <v>PO-1</v>
      </c>
      <c r="U8" s="326">
        <v>0</v>
      </c>
      <c r="V8" s="58" t="str">
        <v>OFF</v>
      </c>
      <c r="W8" s="225"/>
      <c r="X8" s="225"/>
      <c r="Y8" s="225"/>
      <c r="Z8" s="225"/>
    </row>
    <row r="9" spans="4:35" ht="21" customHeight="1" x14ac:dyDescent="0.5">
      <c r="D9" s="245" t="str">
        <v>BARTER, ELIZABETH</v>
      </c>
      <c r="E9" s="246" t="str">
        <v>1007568</v>
      </c>
      <c r="F9" s="273" t="str">
        <v>GULF</v>
      </c>
      <c r="G9" s="321" t="str">
        <v>KW-2</v>
      </c>
      <c r="H9" s="325">
        <v>0</v>
      </c>
      <c r="I9" s="326">
        <v>0</v>
      </c>
      <c r="J9" s="58" t="str">
        <v>KW-2</v>
      </c>
      <c r="K9" s="326">
        <v>0</v>
      </c>
      <c r="L9" s="58" t="str">
        <v>OFF</v>
      </c>
      <c r="M9" s="326">
        <v>0</v>
      </c>
      <c r="N9" s="58" t="str">
        <v>OFF</v>
      </c>
      <c r="O9" s="326">
        <v>0</v>
      </c>
      <c r="P9" s="58" t="str">
        <v>KW-2</v>
      </c>
      <c r="Q9" s="326">
        <v>0</v>
      </c>
      <c r="R9" s="58" t="str">
        <v>KW-2</v>
      </c>
      <c r="S9" s="326">
        <v>0</v>
      </c>
      <c r="T9" s="58" t="str">
        <v>KW-2</v>
      </c>
      <c r="U9" s="326">
        <v>0</v>
      </c>
      <c r="V9" s="58" t="str">
        <v>KW-2</v>
      </c>
      <c r="W9" s="225"/>
      <c r="X9" s="225"/>
      <c r="Y9" s="225"/>
      <c r="Z9" s="225"/>
    </row>
    <row r="10" spans="4:35" ht="21" customHeight="1" x14ac:dyDescent="0.5">
      <c r="D10" s="245" t="str">
        <v>BILLINGS, CYNTHIA</v>
      </c>
      <c r="E10" s="246" t="str">
        <v>1003772</v>
      </c>
      <c r="F10" s="273" t="str">
        <v>BLUE RIDGE</v>
      </c>
      <c r="G10" s="321" t="str">
        <v>HG-3</v>
      </c>
      <c r="H10" s="325">
        <v>0</v>
      </c>
      <c r="I10" s="326">
        <v>0</v>
      </c>
      <c r="J10" s="58" t="str">
        <v>HG-3</v>
      </c>
      <c r="K10" s="326">
        <v>0</v>
      </c>
      <c r="L10" s="58" t="str">
        <v>HG-3</v>
      </c>
      <c r="M10" s="326">
        <v>0</v>
      </c>
      <c r="N10" s="58" t="str">
        <v>HG-3</v>
      </c>
      <c r="O10" s="326">
        <v>0</v>
      </c>
      <c r="P10" s="58" t="str">
        <v>HG-3</v>
      </c>
      <c r="Q10" s="326">
        <v>0</v>
      </c>
      <c r="R10" s="58" t="str">
        <v>OFF</v>
      </c>
      <c r="S10" s="326">
        <v>0</v>
      </c>
      <c r="T10" s="58" t="str">
        <v>OFF</v>
      </c>
      <c r="U10" s="326" t="str">
        <v>V-SD</v>
      </c>
      <c r="V10" s="58" t="str">
        <v>V-SD</v>
      </c>
      <c r="W10" s="225"/>
      <c r="X10" s="225"/>
      <c r="Y10" s="225"/>
      <c r="Z10" s="225"/>
    </row>
    <row r="11" spans="4:35" ht="21" customHeight="1" x14ac:dyDescent="0.5">
      <c r="D11" s="245" t="str">
        <v>BLAIR, CHRISTINE</v>
      </c>
      <c r="E11" s="246" t="str">
        <v>1004824</v>
      </c>
      <c r="F11" s="273" t="str">
        <v>BLUE RIDGE</v>
      </c>
      <c r="G11" s="321" t="str">
        <v>ET-2</v>
      </c>
      <c r="H11" s="325">
        <v>0</v>
      </c>
      <c r="I11" s="326">
        <v>0</v>
      </c>
      <c r="J11" s="58" t="str">
        <v>ET-2</v>
      </c>
      <c r="K11" s="326">
        <v>0</v>
      </c>
      <c r="L11" s="58" t="str">
        <v>ET-2</v>
      </c>
      <c r="M11" s="326">
        <v>0</v>
      </c>
      <c r="N11" s="58" t="str">
        <v>OFF</v>
      </c>
      <c r="O11" s="326">
        <v>0</v>
      </c>
      <c r="P11" s="58" t="str">
        <v>OFF</v>
      </c>
      <c r="Q11" s="326">
        <v>0</v>
      </c>
      <c r="R11" s="58" t="str">
        <v>ET-2</v>
      </c>
      <c r="S11" s="326">
        <v>0</v>
      </c>
      <c r="T11" s="58" t="str">
        <v>ET-2</v>
      </c>
      <c r="U11" s="326">
        <v>0</v>
      </c>
      <c r="V11" s="58" t="str">
        <v>ET-2</v>
      </c>
      <c r="W11" s="225"/>
      <c r="X11" s="225"/>
      <c r="Y11" s="225"/>
      <c r="Z11" s="225"/>
    </row>
    <row r="12" spans="4:35" ht="21" customHeight="1" x14ac:dyDescent="0.5">
      <c r="D12" s="245" t="str">
        <v>BRAWNER, PEYTON</v>
      </c>
      <c r="E12" s="246" t="str">
        <v>1026399</v>
      </c>
      <c r="F12" s="273" t="str">
        <v>GULF</v>
      </c>
      <c r="G12" s="321" t="str">
        <v>CN-R</v>
      </c>
      <c r="H12" s="325">
        <v>0</v>
      </c>
      <c r="I12" s="326">
        <v>0</v>
      </c>
      <c r="J12" s="58" t="str">
        <v>CN-1</v>
      </c>
      <c r="K12" s="326">
        <v>0</v>
      </c>
      <c r="L12" s="58" t="str">
        <v>CN-1</v>
      </c>
      <c r="M12" s="326">
        <v>0</v>
      </c>
      <c r="N12" s="58" t="str">
        <v>CN-2</v>
      </c>
      <c r="O12" s="326">
        <v>0</v>
      </c>
      <c r="P12" s="58" t="str">
        <v>CN-2</v>
      </c>
      <c r="Q12" s="326">
        <v>0</v>
      </c>
      <c r="R12" s="58" t="str">
        <v>CN-3</v>
      </c>
      <c r="S12" s="326">
        <v>0</v>
      </c>
      <c r="T12" s="58" t="str">
        <v>OFF</v>
      </c>
      <c r="U12" s="326">
        <v>0</v>
      </c>
      <c r="V12" s="58" t="str">
        <v>OFF</v>
      </c>
      <c r="W12" s="225"/>
      <c r="X12" s="225"/>
      <c r="Y12" s="225"/>
      <c r="Z12" s="225"/>
    </row>
    <row r="13" spans="4:35" ht="21" customHeight="1" x14ac:dyDescent="0.5">
      <c r="D13" s="245" t="str">
        <v>BRUNS, DANTRE</v>
      </c>
      <c r="E13" s="246" t="str">
        <v>1015727</v>
      </c>
      <c r="F13" s="273" t="str">
        <v>COASTAL</v>
      </c>
      <c r="G13" s="321" t="str">
        <v>NE-R</v>
      </c>
      <c r="H13" s="325">
        <v>0</v>
      </c>
      <c r="I13" s="326">
        <v>0</v>
      </c>
      <c r="J13" s="58" t="str">
        <v>OFF</v>
      </c>
      <c r="K13" s="326">
        <v>0</v>
      </c>
      <c r="L13" s="58" t="str">
        <v>NE-1</v>
      </c>
      <c r="M13" s="326">
        <v>0</v>
      </c>
      <c r="N13" s="58" t="str">
        <v>NE-1</v>
      </c>
      <c r="O13" s="326">
        <v>0</v>
      </c>
      <c r="P13" s="58" t="str">
        <v>NE-2</v>
      </c>
      <c r="Q13" s="326" t="str">
        <v>FMLA</v>
      </c>
      <c r="R13" s="58" t="str">
        <v>FMLA</v>
      </c>
      <c r="S13" s="326" t="str">
        <v>FMLA</v>
      </c>
      <c r="T13" s="58" t="str">
        <v>FMLA</v>
      </c>
      <c r="U13" s="326">
        <v>0</v>
      </c>
      <c r="V13" s="58" t="str">
        <v>OFF</v>
      </c>
      <c r="W13" s="225"/>
      <c r="X13" s="225"/>
      <c r="Y13" s="225"/>
      <c r="Z13" s="225"/>
    </row>
    <row r="14" spans="4:35" ht="21" customHeight="1" x14ac:dyDescent="0.5">
      <c r="D14" s="245" t="str">
        <v>BUSH, MONICA</v>
      </c>
      <c r="E14" s="246" t="str">
        <v>0088383</v>
      </c>
      <c r="F14" s="273" t="str">
        <v>GULF</v>
      </c>
      <c r="G14" s="321" t="str">
        <v>KW-3</v>
      </c>
      <c r="H14" s="325">
        <v>0</v>
      </c>
      <c r="I14" s="326">
        <v>0</v>
      </c>
      <c r="J14" s="58" t="str">
        <v>KW-3</v>
      </c>
      <c r="K14" s="326">
        <v>0</v>
      </c>
      <c r="L14" s="58" t="str">
        <v>KW-3</v>
      </c>
      <c r="M14" s="326">
        <v>0</v>
      </c>
      <c r="N14" s="58" t="str">
        <v>OFF</v>
      </c>
      <c r="O14" s="326">
        <v>0</v>
      </c>
      <c r="P14" s="58" t="str">
        <v>OFF</v>
      </c>
      <c r="Q14" s="326">
        <v>0</v>
      </c>
      <c r="R14" s="58" t="str">
        <v>KW-3</v>
      </c>
      <c r="S14" s="326">
        <v>0</v>
      </c>
      <c r="T14" s="58" t="str">
        <v>KW-3</v>
      </c>
      <c r="U14" s="326">
        <v>0</v>
      </c>
      <c r="V14" s="58" t="str">
        <v>KW-3</v>
      </c>
      <c r="W14" s="225"/>
      <c r="X14" s="225"/>
      <c r="Y14" s="225"/>
      <c r="Z14" s="225"/>
      <c r="AA14" s="4"/>
      <c r="AB14" s="4"/>
      <c r="AC14" s="4"/>
    </row>
    <row r="15" spans="4:35" ht="21" customHeight="1" x14ac:dyDescent="0.5">
      <c r="D15" s="245" t="str">
        <v>CLEVENGER, R LANCE</v>
      </c>
      <c r="E15" s="246" t="str">
        <v>0321650</v>
      </c>
      <c r="F15" s="273" t="str">
        <v>GULF</v>
      </c>
      <c r="G15" s="321" t="str">
        <v>CN-3</v>
      </c>
      <c r="H15" s="325">
        <v>0</v>
      </c>
      <c r="I15" s="326">
        <v>0</v>
      </c>
      <c r="J15" s="58" t="str">
        <v>CN-3</v>
      </c>
      <c r="K15" s="326">
        <v>0</v>
      </c>
      <c r="L15" s="58" t="str">
        <v>CN-3</v>
      </c>
      <c r="M15" s="326">
        <v>0</v>
      </c>
      <c r="N15" s="58" t="str">
        <v>CN-3</v>
      </c>
      <c r="O15" s="326">
        <v>0</v>
      </c>
      <c r="P15" s="58" t="str">
        <v>CN-3</v>
      </c>
      <c r="Q15" s="326">
        <v>0</v>
      </c>
      <c r="R15" s="58" t="str">
        <v>OFF</v>
      </c>
      <c r="S15" s="326">
        <v>0</v>
      </c>
      <c r="T15" s="58" t="str">
        <v>OFF</v>
      </c>
      <c r="U15" s="326">
        <v>0</v>
      </c>
      <c r="V15" s="58" t="str">
        <v>CN-3</v>
      </c>
      <c r="W15" s="225"/>
      <c r="X15" s="225"/>
      <c r="Y15" s="225"/>
      <c r="Z15" s="225"/>
      <c r="AA15" s="4">
        <f>_xlfn.IFNA(,"")</f>
        <v>0</v>
      </c>
      <c r="AB15" s="4"/>
      <c r="AC15" s="4"/>
    </row>
    <row r="16" spans="4:35" ht="21" customHeight="1" x14ac:dyDescent="0.5">
      <c r="D16" s="245" t="str">
        <v>COOPER, JAMES</v>
      </c>
      <c r="E16" s="246" t="str">
        <v>1015258</v>
      </c>
      <c r="F16" s="273" t="str">
        <v>BLUE RIDGE</v>
      </c>
      <c r="G16" s="321" t="str">
        <v>HG-2</v>
      </c>
      <c r="H16" s="325">
        <v>0</v>
      </c>
      <c r="I16" s="326">
        <v>0</v>
      </c>
      <c r="J16" s="58" t="str">
        <v>HG-2</v>
      </c>
      <c r="K16" s="326">
        <v>0</v>
      </c>
      <c r="L16" s="58" t="str">
        <v>HG-2</v>
      </c>
      <c r="M16" s="326">
        <v>0</v>
      </c>
      <c r="N16" s="58" t="str">
        <v>OFF</v>
      </c>
      <c r="O16" s="326">
        <v>0</v>
      </c>
      <c r="P16" s="58" t="str">
        <v>OFF</v>
      </c>
      <c r="Q16" s="326">
        <v>0</v>
      </c>
      <c r="R16" s="58" t="str">
        <v>HG-2</v>
      </c>
      <c r="S16" s="326">
        <v>0</v>
      </c>
      <c r="T16" s="58" t="str">
        <v>HG-2</v>
      </c>
      <c r="U16" s="326">
        <v>0</v>
      </c>
      <c r="V16" s="58" t="str">
        <v>HG-2</v>
      </c>
      <c r="W16" s="225"/>
      <c r="X16" s="225"/>
      <c r="Y16" s="225"/>
      <c r="Z16" s="225"/>
      <c r="AA16" s="4"/>
      <c r="AB16" s="4"/>
      <c r="AC16" s="4"/>
    </row>
    <row r="17" spans="4:29" ht="21" customHeight="1" x14ac:dyDescent="0.5">
      <c r="D17" s="245" t="str">
        <v>COX, DERICK</v>
      </c>
      <c r="E17" s="246" t="str">
        <v>0003298</v>
      </c>
      <c r="F17" s="273" t="str">
        <v>COASTAL</v>
      </c>
      <c r="G17" s="321" t="str">
        <v>GS-1</v>
      </c>
      <c r="H17" s="325">
        <v>0</v>
      </c>
      <c r="I17" s="326">
        <v>0</v>
      </c>
      <c r="J17" s="58" t="str">
        <v>OFF</v>
      </c>
      <c r="K17" s="326">
        <v>0</v>
      </c>
      <c r="L17" s="58" t="str">
        <v>OFF</v>
      </c>
      <c r="M17" s="326">
        <v>0</v>
      </c>
      <c r="N17" s="58" t="str">
        <v>GS-1</v>
      </c>
      <c r="O17" s="326">
        <v>0</v>
      </c>
      <c r="P17" s="58" t="str">
        <v>GS-1</v>
      </c>
      <c r="Q17" s="326" t="str">
        <v>CB</v>
      </c>
      <c r="R17" s="58" t="str">
        <v>CB</v>
      </c>
      <c r="S17" s="326">
        <v>0</v>
      </c>
      <c r="T17" s="58" t="str">
        <v>GS-1</v>
      </c>
      <c r="U17" s="326">
        <v>0</v>
      </c>
      <c r="V17" s="58" t="str">
        <v>GS-1</v>
      </c>
      <c r="W17" s="225"/>
      <c r="X17" s="225"/>
      <c r="Y17" s="225"/>
      <c r="Z17" s="225"/>
      <c r="AA17" s="4"/>
      <c r="AB17" s="4"/>
      <c r="AC17" s="4"/>
    </row>
    <row r="18" spans="4:29" ht="21" customHeight="1" x14ac:dyDescent="0.5">
      <c r="D18" s="245" t="str">
        <v>DAVIS, JIM</v>
      </c>
      <c r="E18" s="246" t="str">
        <v>0786723</v>
      </c>
      <c r="F18" s="273" t="str">
        <v>BLUE RIDGE</v>
      </c>
      <c r="G18" s="321" t="str">
        <v>RT-3</v>
      </c>
      <c r="H18" s="325">
        <v>0</v>
      </c>
      <c r="I18" s="326">
        <v>0</v>
      </c>
      <c r="J18" s="58" t="str">
        <v>RT-3</v>
      </c>
      <c r="K18" s="326">
        <v>0</v>
      </c>
      <c r="L18" s="58" t="str">
        <v>RT-3</v>
      </c>
      <c r="M18" s="326" t="str">
        <v>S-APPT</v>
      </c>
      <c r="N18" s="58" t="str">
        <v>S-APPT</v>
      </c>
      <c r="O18" s="326">
        <v>0</v>
      </c>
      <c r="P18" s="58" t="str">
        <v>RT-3</v>
      </c>
      <c r="Q18" s="326">
        <v>0</v>
      </c>
      <c r="R18" s="58" t="str">
        <v>RT-3</v>
      </c>
      <c r="S18" s="326">
        <v>0</v>
      </c>
      <c r="T18" s="58" t="str">
        <v>OFF</v>
      </c>
      <c r="U18" s="326">
        <v>0</v>
      </c>
      <c r="V18" s="58" t="str">
        <v>OFF</v>
      </c>
      <c r="W18" s="225"/>
      <c r="X18" s="225"/>
      <c r="Y18" s="225"/>
      <c r="Z18" s="225"/>
      <c r="AA18" s="4"/>
      <c r="AB18" s="4"/>
      <c r="AC18" s="4"/>
    </row>
    <row r="19" spans="4:29" ht="21" customHeight="1" x14ac:dyDescent="0.5">
      <c r="D19" s="245" t="str">
        <v>DAVIS, MARK</v>
      </c>
      <c r="E19" s="246" t="str">
        <v>0394821</v>
      </c>
      <c r="F19" s="273" t="str">
        <v>BLUE RIDGE</v>
      </c>
      <c r="G19" s="321" t="str">
        <v>KN-2</v>
      </c>
      <c r="H19" s="325">
        <v>0</v>
      </c>
      <c r="I19" s="326">
        <v>0</v>
      </c>
      <c r="J19" s="58" t="str">
        <v>KN-2</v>
      </c>
      <c r="K19" s="326">
        <v>0</v>
      </c>
      <c r="L19" s="58" t="str">
        <v>OFF</v>
      </c>
      <c r="M19" s="326">
        <v>0</v>
      </c>
      <c r="N19" s="58" t="str">
        <v>OFF</v>
      </c>
      <c r="O19" s="326">
        <v>0</v>
      </c>
      <c r="P19" s="58" t="str">
        <v>KN-2</v>
      </c>
      <c r="Q19" s="326" t="str">
        <v>S-SD</v>
      </c>
      <c r="R19" s="58" t="str">
        <v>S-SD</v>
      </c>
      <c r="S19" s="326" t="str">
        <v>S-SD</v>
      </c>
      <c r="T19" s="58" t="str">
        <v>S-SD</v>
      </c>
      <c r="U19" s="326">
        <v>0</v>
      </c>
      <c r="V19" s="58" t="str">
        <v>KN-2</v>
      </c>
      <c r="W19" s="225"/>
      <c r="X19" s="225"/>
      <c r="Y19" s="225"/>
      <c r="Z19" s="225"/>
      <c r="AA19" s="4"/>
      <c r="AB19" s="4"/>
      <c r="AC19" s="4"/>
    </row>
    <row r="20" spans="4:29" ht="21" customHeight="1" x14ac:dyDescent="0.5">
      <c r="D20" s="245" t="str">
        <v>DAY, DARRELL</v>
      </c>
      <c r="E20" s="246" t="str">
        <v>0356174</v>
      </c>
      <c r="F20" s="273" t="str">
        <v>COASTAL</v>
      </c>
      <c r="G20" s="321" t="str">
        <v>NE-3</v>
      </c>
      <c r="H20" s="325">
        <v>0</v>
      </c>
      <c r="I20" s="326">
        <v>0</v>
      </c>
      <c r="J20" s="58" t="str">
        <v>NE-3</v>
      </c>
      <c r="K20" s="326">
        <v>0</v>
      </c>
      <c r="L20" s="58" t="str">
        <v>NE-3</v>
      </c>
      <c r="M20" s="326">
        <v>0</v>
      </c>
      <c r="N20" s="58" t="str">
        <v>NE-3</v>
      </c>
      <c r="O20" s="326">
        <v>0</v>
      </c>
      <c r="P20" s="58" t="str">
        <v>NE-3</v>
      </c>
      <c r="Q20" s="326">
        <v>0</v>
      </c>
      <c r="R20" s="58" t="str">
        <v>NE-3</v>
      </c>
      <c r="S20" s="326" t="str">
        <v>OVERTIME</v>
      </c>
      <c r="T20" s="58" t="str">
        <v>NE-3</v>
      </c>
      <c r="U20" s="326">
        <v>0</v>
      </c>
      <c r="V20" s="58" t="str">
        <v>OFF</v>
      </c>
      <c r="W20" s="225"/>
      <c r="X20" s="225"/>
      <c r="Y20" s="225"/>
      <c r="Z20" s="225"/>
      <c r="AA20" s="4"/>
      <c r="AB20" s="4" t="s">
        <v>220</v>
      </c>
      <c r="AC20" s="4"/>
    </row>
    <row r="21" spans="4:29" ht="21" customHeight="1" x14ac:dyDescent="0.5">
      <c r="D21" s="245" t="str">
        <v>DICKERSON, RUSSELL</v>
      </c>
      <c r="E21" s="246" t="str">
        <v>0671657</v>
      </c>
      <c r="F21" s="273" t="str">
        <v>BLUE RIDGE</v>
      </c>
      <c r="G21" s="321" t="str">
        <v>NR-1</v>
      </c>
      <c r="H21" s="325">
        <v>0</v>
      </c>
      <c r="I21" s="326">
        <v>0</v>
      </c>
      <c r="J21" s="58" t="str">
        <v>OFF</v>
      </c>
      <c r="K21" s="326">
        <v>0</v>
      </c>
      <c r="L21" s="58" t="str">
        <v>OFF</v>
      </c>
      <c r="M21" s="326">
        <v>0</v>
      </c>
      <c r="N21" s="58" t="str">
        <v>NR-1</v>
      </c>
      <c r="O21" s="326">
        <v>0</v>
      </c>
      <c r="P21" s="58" t="str">
        <v>NR-1</v>
      </c>
      <c r="Q21" s="326">
        <v>0</v>
      </c>
      <c r="R21" s="58" t="str">
        <v>NR-1</v>
      </c>
      <c r="S21" s="326">
        <v>0</v>
      </c>
      <c r="T21" s="58" t="str">
        <v>NR-1</v>
      </c>
      <c r="U21" s="326">
        <v>0</v>
      </c>
      <c r="V21" s="58" t="str">
        <v>NR-1</v>
      </c>
      <c r="W21" s="225"/>
      <c r="X21" s="225"/>
      <c r="Y21" s="225"/>
      <c r="Z21" s="225"/>
      <c r="AA21" s="4"/>
      <c r="AB21" s="4" t="s">
        <v>221</v>
      </c>
      <c r="AC21" s="4"/>
    </row>
    <row r="22" spans="4:29" ht="21" customHeight="1" x14ac:dyDescent="0.5">
      <c r="D22" s="245" t="str">
        <v>DILL, GERALD</v>
      </c>
      <c r="E22" s="246" t="str">
        <v>0080228</v>
      </c>
      <c r="F22" s="273" t="str">
        <v>BLUE RIDGE</v>
      </c>
      <c r="G22" s="321" t="str">
        <v>HG-1</v>
      </c>
      <c r="H22" s="325">
        <v>0</v>
      </c>
      <c r="I22" s="326">
        <v>0</v>
      </c>
      <c r="J22" s="58" t="str">
        <v>OFF</v>
      </c>
      <c r="K22" s="326">
        <v>0</v>
      </c>
      <c r="L22" s="58" t="str">
        <v>OFF</v>
      </c>
      <c r="M22" s="326">
        <v>0</v>
      </c>
      <c r="N22" s="58" t="str">
        <v>HG-1</v>
      </c>
      <c r="O22" s="326">
        <v>0</v>
      </c>
      <c r="P22" s="58" t="str">
        <v>HG-1</v>
      </c>
      <c r="Q22" s="326">
        <v>0</v>
      </c>
      <c r="R22" s="58" t="str">
        <v>HG-1</v>
      </c>
      <c r="S22" s="326">
        <v>0</v>
      </c>
      <c r="T22" s="58" t="str">
        <v>HG-1</v>
      </c>
      <c r="U22" s="326">
        <v>0</v>
      </c>
      <c r="V22" s="58" t="str">
        <v>HG-1</v>
      </c>
      <c r="W22" s="225"/>
      <c r="X22" s="225"/>
      <c r="Y22" s="225"/>
      <c r="Z22" s="225"/>
      <c r="AA22" s="4"/>
      <c r="AB22" s="4"/>
      <c r="AC22" s="4"/>
    </row>
    <row r="23" spans="4:29" ht="21" customHeight="1" x14ac:dyDescent="0.5">
      <c r="D23" s="245" t="str">
        <v>DONNOLO, JOE</v>
      </c>
      <c r="E23" s="246" t="str">
        <v>1030395</v>
      </c>
      <c r="F23" s="273" t="str">
        <v>COASTAL</v>
      </c>
      <c r="G23" s="321" t="str">
        <v>IN-3</v>
      </c>
      <c r="H23" s="325">
        <v>0</v>
      </c>
      <c r="I23" s="326" t="str">
        <v>FMLA</v>
      </c>
      <c r="J23" s="58" t="str">
        <v>FMLA</v>
      </c>
      <c r="K23" s="326">
        <v>0</v>
      </c>
      <c r="L23" s="58" t="str">
        <v>IN-3</v>
      </c>
      <c r="M23" s="326">
        <v>0</v>
      </c>
      <c r="N23" s="58" t="str">
        <v>IN-3</v>
      </c>
      <c r="O23" s="326">
        <v>0</v>
      </c>
      <c r="P23" s="58" t="str">
        <v>OFF</v>
      </c>
      <c r="Q23" s="326">
        <v>0</v>
      </c>
      <c r="R23" s="58" t="str">
        <v>OFF</v>
      </c>
      <c r="S23" s="326" t="str">
        <v>FMLA</v>
      </c>
      <c r="T23" s="58" t="str">
        <v>FMLA</v>
      </c>
      <c r="U23" s="326" t="str">
        <v>FMLA</v>
      </c>
      <c r="V23" s="58" t="str">
        <v>FMLA</v>
      </c>
      <c r="W23" s="225"/>
      <c r="X23" s="225"/>
      <c r="Y23" s="225"/>
      <c r="Z23" s="225"/>
      <c r="AA23" s="4"/>
      <c r="AB23" s="4"/>
      <c r="AC23" s="4"/>
    </row>
    <row r="24" spans="4:29" ht="21" customHeight="1" x14ac:dyDescent="0.5">
      <c r="D24" s="245" t="str">
        <v>EASTHAM, DARBY</v>
      </c>
      <c r="E24" s="246" t="str">
        <v>0967652</v>
      </c>
      <c r="F24" s="273" t="str">
        <v>GULF</v>
      </c>
      <c r="G24" s="321" t="str">
        <v>ME-1</v>
      </c>
      <c r="H24" s="325">
        <v>0</v>
      </c>
      <c r="I24" s="326">
        <v>0</v>
      </c>
      <c r="J24" s="58" t="str">
        <v>OFF</v>
      </c>
      <c r="K24" s="326">
        <v>0</v>
      </c>
      <c r="L24" s="58" t="str">
        <v>OFF</v>
      </c>
      <c r="M24" s="326">
        <v>0</v>
      </c>
      <c r="N24" s="58" t="str">
        <v>ME-1</v>
      </c>
      <c r="O24" s="326">
        <v>0</v>
      </c>
      <c r="P24" s="58" t="str">
        <v>ME-1</v>
      </c>
      <c r="Q24" s="326">
        <v>0</v>
      </c>
      <c r="R24" s="58" t="str">
        <v>ME-1</v>
      </c>
      <c r="S24" s="326">
        <v>0</v>
      </c>
      <c r="T24" s="58" t="str">
        <v>ME-1</v>
      </c>
      <c r="U24" s="326" t="str">
        <v>S-SD</v>
      </c>
      <c r="V24" s="58" t="str">
        <v>S-SD</v>
      </c>
      <c r="W24" s="225"/>
      <c r="X24" s="225"/>
      <c r="Y24" s="225"/>
      <c r="Z24" s="225"/>
      <c r="AA24" s="4"/>
      <c r="AB24" s="4"/>
      <c r="AC24" s="4"/>
    </row>
    <row r="25" spans="4:29" ht="21" customHeight="1" x14ac:dyDescent="0.5">
      <c r="D25" s="245" t="str">
        <v>ELLIOTT, SHELDON</v>
      </c>
      <c r="E25" s="246" t="str">
        <v>0636846</v>
      </c>
      <c r="F25" s="273" t="str">
        <v>COASTAL</v>
      </c>
      <c r="G25" s="321" t="str">
        <v>NE-1</v>
      </c>
      <c r="H25" s="325">
        <v>0</v>
      </c>
      <c r="I25" s="326">
        <v>0</v>
      </c>
      <c r="J25" s="58" t="str">
        <v>NE-1</v>
      </c>
      <c r="K25" s="326">
        <v>0</v>
      </c>
      <c r="L25" s="58" t="str">
        <v>OFF</v>
      </c>
      <c r="M25" s="326">
        <v>0</v>
      </c>
      <c r="N25" s="58" t="str">
        <v>OFF</v>
      </c>
      <c r="O25" s="326">
        <v>0</v>
      </c>
      <c r="P25" s="58" t="str">
        <v>NE-1</v>
      </c>
      <c r="Q25" s="326">
        <v>0</v>
      </c>
      <c r="R25" s="58" t="str">
        <v>NE-1</v>
      </c>
      <c r="S25" s="326">
        <v>0</v>
      </c>
      <c r="T25" s="58" t="str">
        <v>NE-1</v>
      </c>
      <c r="U25" s="326">
        <v>0</v>
      </c>
      <c r="V25" s="58" t="str">
        <v>NE-1</v>
      </c>
      <c r="W25" s="225"/>
      <c r="X25" s="225"/>
      <c r="Y25" s="225"/>
      <c r="Z25" s="225"/>
      <c r="AA25" s="4"/>
      <c r="AB25" s="4"/>
      <c r="AC25" s="4"/>
    </row>
    <row r="26" spans="4:29" ht="21" customHeight="1" x14ac:dyDescent="0.5">
      <c r="D26" s="245" t="str">
        <v>FAIRCLOTH, HANNAH</v>
      </c>
      <c r="E26" s="246" t="str">
        <v>1008648</v>
      </c>
      <c r="F26" s="273" t="str">
        <v>GULF</v>
      </c>
      <c r="G26" s="321" t="str">
        <v>ME-2</v>
      </c>
      <c r="H26" s="325">
        <v>0</v>
      </c>
      <c r="I26" s="326">
        <v>0</v>
      </c>
      <c r="J26" s="58" t="str">
        <v>ME-2</v>
      </c>
      <c r="K26" s="326">
        <v>0</v>
      </c>
      <c r="L26" s="58" t="str">
        <v>ME-2</v>
      </c>
      <c r="M26" s="326">
        <v>0</v>
      </c>
      <c r="N26" s="58" t="str">
        <v>OFF</v>
      </c>
      <c r="O26" s="326">
        <v>0</v>
      </c>
      <c r="P26" s="58" t="str">
        <v>OFF</v>
      </c>
      <c r="Q26" s="326" t="str">
        <v>DIVERTED -ST</v>
      </c>
      <c r="R26" s="58" t="str">
        <v>QC-2</v>
      </c>
      <c r="S26" s="326" t="str">
        <v>DIVERTED -ST</v>
      </c>
      <c r="T26" s="58" t="str">
        <v>QC-2</v>
      </c>
      <c r="U26" s="326">
        <v>0</v>
      </c>
      <c r="V26" s="58" t="str">
        <v>ME-2</v>
      </c>
      <c r="W26" s="225"/>
      <c r="X26" s="225"/>
      <c r="Y26" s="225"/>
      <c r="Z26" s="225"/>
      <c r="AA26" s="4"/>
      <c r="AB26" s="4"/>
      <c r="AC26" s="4"/>
    </row>
    <row r="27" spans="4:29" ht="21" customHeight="1" x14ac:dyDescent="0.5">
      <c r="D27" s="245" t="str">
        <v>FERGUSON, CRAIG</v>
      </c>
      <c r="E27" s="246" t="str">
        <v>1015265</v>
      </c>
      <c r="F27" s="273" t="str">
        <v>COASTAL</v>
      </c>
      <c r="G27" s="321" t="str">
        <v>CH-R</v>
      </c>
      <c r="H27" s="325">
        <v>0</v>
      </c>
      <c r="I27" s="326" t="str">
        <v>DIVERTED -ST</v>
      </c>
      <c r="J27" s="58" t="str">
        <v>PE-1</v>
      </c>
      <c r="K27" s="326">
        <v>0</v>
      </c>
      <c r="L27" s="58" t="str">
        <v>CH-1</v>
      </c>
      <c r="M27" s="326">
        <v>0</v>
      </c>
      <c r="N27" s="58" t="str">
        <v>CH-2</v>
      </c>
      <c r="O27" s="326" t="str">
        <v>S-SD</v>
      </c>
      <c r="P27" s="58" t="str">
        <v>S-SD</v>
      </c>
      <c r="Q27" s="326">
        <v>0</v>
      </c>
      <c r="R27" s="58" t="str">
        <v>CH-3</v>
      </c>
      <c r="S27" s="326">
        <v>0</v>
      </c>
      <c r="T27" s="58" t="str">
        <v>OFF</v>
      </c>
      <c r="U27" s="326">
        <v>0</v>
      </c>
      <c r="V27" s="58" t="str">
        <v>OFF</v>
      </c>
      <c r="W27" s="225"/>
      <c r="X27" s="225"/>
      <c r="Y27" s="225"/>
      <c r="Z27" s="225"/>
      <c r="AA27" s="4"/>
      <c r="AB27" s="4"/>
      <c r="AC27" s="4"/>
    </row>
    <row r="28" spans="4:29" ht="21" customHeight="1" x14ac:dyDescent="0.5">
      <c r="D28" s="245" t="str">
        <v>FITZGERALD, JIM</v>
      </c>
      <c r="E28" s="246" t="str">
        <v>1015462</v>
      </c>
      <c r="F28" s="273" t="str">
        <v>BLUE RIDGE</v>
      </c>
      <c r="G28" s="321" t="str">
        <v>AS-2</v>
      </c>
      <c r="H28" s="325">
        <v>0</v>
      </c>
      <c r="I28" s="326">
        <v>0</v>
      </c>
      <c r="J28" s="58" t="str">
        <v>AS-2</v>
      </c>
      <c r="K28" s="326">
        <v>0</v>
      </c>
      <c r="L28" s="58" t="str">
        <v>OFF</v>
      </c>
      <c r="M28" s="326">
        <v>0</v>
      </c>
      <c r="N28" s="58" t="str">
        <v>OFF</v>
      </c>
      <c r="O28" s="326">
        <v>0</v>
      </c>
      <c r="P28" s="58" t="str">
        <v>AS-2</v>
      </c>
      <c r="Q28" s="326">
        <v>0</v>
      </c>
      <c r="R28" s="58" t="str">
        <v>AS-2</v>
      </c>
      <c r="S28" s="326">
        <v>0</v>
      </c>
      <c r="T28" s="58" t="str">
        <v>AS-2</v>
      </c>
      <c r="U28" s="326">
        <v>0</v>
      </c>
      <c r="V28" s="58" t="str">
        <v>AS-2</v>
      </c>
      <c r="W28" s="225"/>
      <c r="X28" s="225"/>
      <c r="Y28" s="225"/>
      <c r="Z28" s="225"/>
      <c r="AA28" s="4"/>
      <c r="AB28" s="4"/>
      <c r="AC28" s="4"/>
    </row>
    <row r="29" spans="4:29" ht="21" customHeight="1" x14ac:dyDescent="0.5">
      <c r="D29" s="245" t="str">
        <v>FOGLE, MARLO</v>
      </c>
      <c r="E29" s="246" t="str">
        <v>0186607</v>
      </c>
      <c r="F29" s="273" t="str">
        <v>COASTAL</v>
      </c>
      <c r="G29" s="321" t="str">
        <v>SV-1</v>
      </c>
      <c r="H29" s="325">
        <v>0</v>
      </c>
      <c r="I29" s="326">
        <v>0</v>
      </c>
      <c r="J29" s="58" t="str">
        <v>OFF</v>
      </c>
      <c r="K29" s="326">
        <v>0</v>
      </c>
      <c r="L29" s="58" t="str">
        <v>SV-1</v>
      </c>
      <c r="M29" s="326">
        <v>0</v>
      </c>
      <c r="N29" s="58" t="str">
        <v>SV-1</v>
      </c>
      <c r="O29" s="326" t="str">
        <v>V-SD</v>
      </c>
      <c r="P29" s="58" t="str">
        <v>V-SD</v>
      </c>
      <c r="Q29" s="326" t="str">
        <v>PL-D</v>
      </c>
      <c r="R29" s="58" t="str">
        <v>PL-D</v>
      </c>
      <c r="S29" s="326">
        <v>0</v>
      </c>
      <c r="T29" s="58" t="str">
        <v>SV-1</v>
      </c>
      <c r="U29" s="326">
        <v>0</v>
      </c>
      <c r="V29" s="58" t="str">
        <v>OFF</v>
      </c>
      <c r="W29" s="225"/>
      <c r="X29" s="225"/>
      <c r="Y29" s="225"/>
      <c r="Z29" s="225"/>
      <c r="AA29" s="4"/>
      <c r="AB29" s="4"/>
      <c r="AC29" s="4"/>
    </row>
    <row r="30" spans="4:29" ht="21" customHeight="1" x14ac:dyDescent="0.5">
      <c r="D30" s="245" t="str">
        <v>FOWLER, LAKECIA</v>
      </c>
      <c r="E30" s="246" t="str">
        <v>0396627</v>
      </c>
      <c r="F30" s="273" t="str">
        <v>COASTAL</v>
      </c>
      <c r="G30" s="321" t="str">
        <v>IN-R</v>
      </c>
      <c r="H30" s="325">
        <v>0</v>
      </c>
      <c r="I30" s="326" t="str">
        <v>BEREAVEMENT UNPAID</v>
      </c>
      <c r="J30" s="58" t="str">
        <v>BEREAVEMENT UNPAID</v>
      </c>
      <c r="K30" s="326" t="str">
        <v>BEREAVEMENT UNPAID</v>
      </c>
      <c r="L30" s="58" t="str">
        <v>BEREAVEMENT UNPAID</v>
      </c>
      <c r="M30" s="326" t="str">
        <v>BEREAVEMENT UNPAID</v>
      </c>
      <c r="N30" s="58" t="str">
        <v>BEREAVEMENT UNPAID</v>
      </c>
      <c r="O30" s="326" t="str">
        <v>V-SD</v>
      </c>
      <c r="P30" s="58" t="str">
        <v>V-SD</v>
      </c>
      <c r="Q30" s="326" t="str">
        <v>FMLA</v>
      </c>
      <c r="R30" s="58" t="str">
        <v>FMLA</v>
      </c>
      <c r="S30" s="326">
        <v>0</v>
      </c>
      <c r="T30" s="58" t="str">
        <v>OFF</v>
      </c>
      <c r="U30" s="326">
        <v>0</v>
      </c>
      <c r="V30" s="58" t="str">
        <v>OFF</v>
      </c>
      <c r="W30" s="225"/>
      <c r="X30" s="225"/>
      <c r="Y30" s="225"/>
      <c r="Z30" s="225"/>
      <c r="AA30" s="4"/>
      <c r="AB30" s="4"/>
      <c r="AC30" s="4"/>
    </row>
    <row r="31" spans="4:29" ht="21" customHeight="1" x14ac:dyDescent="0.5">
      <c r="D31" s="245" t="str">
        <v>FRAZIER, PATRICK</v>
      </c>
      <c r="E31" s="246" t="str">
        <v>0178816</v>
      </c>
      <c r="F31" s="273" t="str">
        <v>BLUE RIDGE</v>
      </c>
      <c r="G31" s="321" t="str">
        <v>AS-1</v>
      </c>
      <c r="H31" s="325">
        <v>0</v>
      </c>
      <c r="I31" s="326">
        <v>0</v>
      </c>
      <c r="J31" s="58" t="str">
        <v>OFF</v>
      </c>
      <c r="K31" s="326">
        <v>0</v>
      </c>
      <c r="L31" s="58" t="str">
        <v>AS-1</v>
      </c>
      <c r="M31" s="326">
        <v>0</v>
      </c>
      <c r="N31" s="58" t="str">
        <v>AS-1</v>
      </c>
      <c r="O31" s="326">
        <v>0</v>
      </c>
      <c r="P31" s="58" t="str">
        <v>AS-1</v>
      </c>
      <c r="Q31" s="326">
        <v>0</v>
      </c>
      <c r="R31" s="58" t="str">
        <v>AS-1</v>
      </c>
      <c r="S31" s="326">
        <v>0</v>
      </c>
      <c r="T31" s="58" t="str">
        <v>AS-1</v>
      </c>
      <c r="U31" s="326">
        <v>0</v>
      </c>
      <c r="V31" s="58" t="str">
        <v>OFF</v>
      </c>
      <c r="W31" s="225"/>
      <c r="X31" s="225"/>
      <c r="Y31" s="225"/>
      <c r="Z31" s="225"/>
      <c r="AA31" s="4"/>
      <c r="AB31" s="4"/>
      <c r="AC31" s="4"/>
    </row>
    <row r="32" spans="4:29" ht="21" customHeight="1" x14ac:dyDescent="0.5">
      <c r="D32" s="245" t="str">
        <v>FRAZIER, RICKEY</v>
      </c>
      <c r="E32" s="246" t="str">
        <v>1018780</v>
      </c>
      <c r="F32" s="273" t="str">
        <v>GULF ATW</v>
      </c>
      <c r="G32" s="321" t="str">
        <v>GU ATW</v>
      </c>
      <c r="H32" s="325">
        <v>0</v>
      </c>
      <c r="I32" s="326">
        <v>0</v>
      </c>
      <c r="J32" s="58" t="str">
        <v>OFF</v>
      </c>
      <c r="K32" s="326">
        <v>0</v>
      </c>
      <c r="L32" s="58" t="str">
        <v>OFF</v>
      </c>
      <c r="M32" s="326">
        <v>0</v>
      </c>
      <c r="N32" s="58" t="str">
        <v>KW-3</v>
      </c>
      <c r="O32" s="326">
        <v>0</v>
      </c>
      <c r="P32" s="58" t="str">
        <v>3B-3</v>
      </c>
      <c r="Q32" s="326" t="str">
        <v>DIVERTED -ST</v>
      </c>
      <c r="R32" s="58" t="str">
        <v>SO-3</v>
      </c>
      <c r="S32" s="326">
        <v>0</v>
      </c>
      <c r="T32" s="58" t="str">
        <v>NO-3</v>
      </c>
      <c r="U32" s="326">
        <v>0</v>
      </c>
      <c r="V32" s="58" t="str">
        <v>EE-3</v>
      </c>
      <c r="W32" s="225"/>
      <c r="X32" s="225"/>
      <c r="Y32" s="225"/>
      <c r="Z32" s="225"/>
    </row>
    <row r="33" spans="4:26" ht="21" customHeight="1" x14ac:dyDescent="0.5">
      <c r="D33" s="245" t="str">
        <v>FREEMAN, ANGELIQUE</v>
      </c>
      <c r="E33" s="246" t="str">
        <v>1024514</v>
      </c>
      <c r="F33" s="273" t="str">
        <v>GULF</v>
      </c>
      <c r="G33" s="321" t="str">
        <v>ME-R</v>
      </c>
      <c r="H33" s="325">
        <v>0</v>
      </c>
      <c r="I33" s="326">
        <v>0</v>
      </c>
      <c r="J33" s="58" t="str">
        <v>ME-1</v>
      </c>
      <c r="K33" s="326">
        <v>0</v>
      </c>
      <c r="L33" s="58" t="str">
        <v>ME-1</v>
      </c>
      <c r="M33" s="326">
        <v>0</v>
      </c>
      <c r="N33" s="58" t="str">
        <v>ME-2</v>
      </c>
      <c r="O33" s="326">
        <v>0</v>
      </c>
      <c r="P33" s="58" t="str">
        <v>ME-2</v>
      </c>
      <c r="Q33" s="326">
        <v>0</v>
      </c>
      <c r="R33" s="58" t="str">
        <v>ME-3</v>
      </c>
      <c r="S33" s="326">
        <v>0</v>
      </c>
      <c r="T33" s="58" t="str">
        <v>OFF</v>
      </c>
      <c r="U33" s="326">
        <v>0</v>
      </c>
      <c r="V33" s="58" t="str">
        <v>OFF</v>
      </c>
      <c r="W33" s="225"/>
      <c r="X33" s="225"/>
      <c r="Y33" s="225"/>
      <c r="Z33" s="225"/>
    </row>
    <row r="34" spans="4:26" ht="21" customHeight="1" x14ac:dyDescent="0.5">
      <c r="D34" s="245" t="str">
        <v>GILLESPIE, JEREMY</v>
      </c>
      <c r="E34" s="246" t="str">
        <v>0162324</v>
      </c>
      <c r="F34" s="273" t="str">
        <v>GULF</v>
      </c>
      <c r="G34" s="321" t="str">
        <v>CN-1</v>
      </c>
      <c r="H34" s="325">
        <v>0</v>
      </c>
      <c r="I34" s="326">
        <v>0</v>
      </c>
      <c r="J34" s="58" t="str">
        <v>OFF</v>
      </c>
      <c r="K34" s="326">
        <v>0</v>
      </c>
      <c r="L34" s="58" t="str">
        <v>OFF</v>
      </c>
      <c r="M34" s="326">
        <v>0</v>
      </c>
      <c r="N34" s="58" t="str">
        <v>CN-1</v>
      </c>
      <c r="O34" s="326">
        <v>0</v>
      </c>
      <c r="P34" s="58" t="str">
        <v>CN-1</v>
      </c>
      <c r="Q34" s="326">
        <v>0</v>
      </c>
      <c r="R34" s="58" t="str">
        <v>CN-1</v>
      </c>
      <c r="S34" s="326">
        <v>0</v>
      </c>
      <c r="T34" s="58" t="str">
        <v>CN-1</v>
      </c>
      <c r="U34" s="326">
        <v>0</v>
      </c>
      <c r="V34" s="58" t="str">
        <v>CN-1</v>
      </c>
      <c r="W34" s="225"/>
      <c r="X34" s="225"/>
      <c r="Y34" s="225"/>
      <c r="Z34" s="225"/>
    </row>
    <row r="35" spans="4:26" ht="21" customHeight="1" x14ac:dyDescent="0.5">
      <c r="D35" s="245" t="str">
        <v>GODFREY, DENNIS</v>
      </c>
      <c r="E35" s="246" t="str">
        <v>0137516</v>
      </c>
      <c r="F35" s="273" t="str">
        <v>BLUE RIDGE</v>
      </c>
      <c r="G35" s="321" t="str">
        <v>AS-R</v>
      </c>
      <c r="H35" s="325">
        <v>0</v>
      </c>
      <c r="I35" s="326">
        <v>0</v>
      </c>
      <c r="J35" s="58" t="str">
        <v>AS-1</v>
      </c>
      <c r="K35" s="326">
        <v>0</v>
      </c>
      <c r="L35" s="58" t="str">
        <v>AS-2</v>
      </c>
      <c r="M35" s="326">
        <v>0</v>
      </c>
      <c r="N35" s="58" t="str">
        <v>AS-2</v>
      </c>
      <c r="O35" s="326">
        <v>0</v>
      </c>
      <c r="P35" s="58" t="str">
        <v>AS-3</v>
      </c>
      <c r="Q35" s="326">
        <v>0</v>
      </c>
      <c r="R35" s="58" t="str">
        <v>OFF</v>
      </c>
      <c r="S35" s="326">
        <v>0</v>
      </c>
      <c r="T35" s="58" t="str">
        <v>OFF</v>
      </c>
      <c r="U35" s="326">
        <v>0</v>
      </c>
      <c r="V35" s="58" t="str">
        <v>AS-1</v>
      </c>
      <c r="W35" s="225"/>
      <c r="X35" s="225"/>
      <c r="Y35" s="225"/>
      <c r="Z35" s="225"/>
    </row>
    <row r="36" spans="4:26" ht="21" customHeight="1" x14ac:dyDescent="0.5">
      <c r="D36" s="245" t="str">
        <v>GOEBEL, IAN</v>
      </c>
      <c r="E36" s="246" t="str">
        <v>0768132</v>
      </c>
      <c r="F36" s="273" t="str">
        <v>BLUE RIDGE</v>
      </c>
      <c r="G36" s="321" t="str">
        <v>RT-1</v>
      </c>
      <c r="H36" s="325">
        <v>0</v>
      </c>
      <c r="I36" s="326">
        <v>0</v>
      </c>
      <c r="J36" s="58" t="str">
        <v>RT-1</v>
      </c>
      <c r="K36" s="326" t="str">
        <v>OOS</v>
      </c>
      <c r="L36" s="58" t="str">
        <v>OFF</v>
      </c>
      <c r="M36" s="326" t="str">
        <v>OOS</v>
      </c>
      <c r="N36" s="58" t="str">
        <v>OFF</v>
      </c>
      <c r="O36" s="326" t="str">
        <v>OOS</v>
      </c>
      <c r="P36" s="58" t="str">
        <v>OOS</v>
      </c>
      <c r="Q36" s="326">
        <v>0</v>
      </c>
      <c r="R36" s="58" t="str">
        <v>RT-1</v>
      </c>
      <c r="S36" s="326">
        <v>0</v>
      </c>
      <c r="T36" s="58" t="str">
        <v>RT-1</v>
      </c>
      <c r="U36" s="326">
        <v>0</v>
      </c>
      <c r="V36" s="58" t="str">
        <v>RT-1</v>
      </c>
      <c r="W36" s="225"/>
      <c r="X36" s="225"/>
      <c r="Y36" s="225"/>
      <c r="Z36" s="225"/>
    </row>
    <row r="37" spans="4:26" ht="21" customHeight="1" x14ac:dyDescent="0.5">
      <c r="D37" s="245" t="str">
        <v>GONZALEZ, OAKLEY</v>
      </c>
      <c r="E37" s="246" t="str">
        <v>1028269</v>
      </c>
      <c r="F37" s="273" t="str">
        <v>GULF</v>
      </c>
      <c r="G37" s="321" t="str">
        <v>CN-2</v>
      </c>
      <c r="H37" s="325">
        <v>0</v>
      </c>
      <c r="I37" s="326">
        <v>0</v>
      </c>
      <c r="J37" s="58" t="str">
        <v>CN-2</v>
      </c>
      <c r="K37" s="326">
        <v>0</v>
      </c>
      <c r="L37" s="58" t="str">
        <v>CN-2</v>
      </c>
      <c r="M37" s="326">
        <v>0</v>
      </c>
      <c r="N37" s="58" t="str">
        <v>OFF</v>
      </c>
      <c r="O37" s="326">
        <v>0</v>
      </c>
      <c r="P37" s="58" t="str">
        <v>OFF</v>
      </c>
      <c r="Q37" s="326">
        <v>0</v>
      </c>
      <c r="R37" s="58" t="str">
        <v>CN-2</v>
      </c>
      <c r="S37" s="326" t="str">
        <v>DIVERTED -ST</v>
      </c>
      <c r="T37" s="58" t="str">
        <v>CG-2</v>
      </c>
      <c r="U37" s="326">
        <v>0</v>
      </c>
      <c r="V37" s="58" t="str">
        <v>CN-2</v>
      </c>
      <c r="W37" s="225"/>
      <c r="X37" s="225"/>
      <c r="Y37" s="225"/>
      <c r="Z37" s="225"/>
    </row>
    <row r="38" spans="4:26" ht="21" customHeight="1" x14ac:dyDescent="0.5">
      <c r="D38" s="245" t="str">
        <v>GORNICK, MITCHELL</v>
      </c>
      <c r="E38" s="246" t="str">
        <v>1012785</v>
      </c>
      <c r="F38" s="273" t="str">
        <v>COASTAL</v>
      </c>
      <c r="G38" s="321" t="str">
        <v>GS-2</v>
      </c>
      <c r="H38" s="325">
        <v>0</v>
      </c>
      <c r="I38" s="326">
        <v>0</v>
      </c>
      <c r="J38" s="58" t="str">
        <v>GS-2</v>
      </c>
      <c r="K38" s="326">
        <v>0</v>
      </c>
      <c r="L38" s="58" t="str">
        <v>GS-2</v>
      </c>
      <c r="M38" s="326">
        <v>0</v>
      </c>
      <c r="N38" s="58" t="str">
        <v>OFF</v>
      </c>
      <c r="O38" s="326">
        <v>0</v>
      </c>
      <c r="P38" s="58" t="str">
        <v>OFF</v>
      </c>
      <c r="Q38" s="326" t="str">
        <v>CHECK NOTE</v>
      </c>
      <c r="R38" s="58" t="str">
        <v>GS-2</v>
      </c>
      <c r="S38" s="326" t="str">
        <v>RT</v>
      </c>
      <c r="T38" s="58" t="str">
        <v>RT</v>
      </c>
      <c r="U38" s="326">
        <v>0</v>
      </c>
      <c r="V38" s="58" t="str">
        <v>GS-2</v>
      </c>
      <c r="W38" s="225"/>
      <c r="X38" s="225"/>
      <c r="Y38" s="225"/>
      <c r="Z38" s="225"/>
    </row>
    <row r="39" spans="4:26" ht="21" customHeight="1" x14ac:dyDescent="0.5">
      <c r="D39" s="245" t="str">
        <v>GREEN, SUSAN</v>
      </c>
      <c r="E39" s="246" t="str">
        <v>0654514</v>
      </c>
      <c r="F39" s="273" t="str">
        <v>BLUE RIDGE</v>
      </c>
      <c r="G39" s="321" t="str">
        <v>ET-3</v>
      </c>
      <c r="H39" s="325">
        <v>0</v>
      </c>
      <c r="I39" s="326">
        <v>0</v>
      </c>
      <c r="J39" s="58" t="str">
        <v>ET-3</v>
      </c>
      <c r="K39" s="326" t="str">
        <v>DIVERTED -ST</v>
      </c>
      <c r="L39" s="58" t="str">
        <v>HE-3</v>
      </c>
      <c r="M39" s="326">
        <v>0</v>
      </c>
      <c r="N39" s="58" t="str">
        <v>ET-3</v>
      </c>
      <c r="O39" s="326">
        <v>0</v>
      </c>
      <c r="P39" s="58" t="str">
        <v>OFF</v>
      </c>
      <c r="Q39" s="326">
        <v>0</v>
      </c>
      <c r="R39" s="58" t="str">
        <v>OFF</v>
      </c>
      <c r="S39" s="326">
        <v>0</v>
      </c>
      <c r="T39" s="58" t="str">
        <v>ET-3</v>
      </c>
      <c r="U39" s="326">
        <v>0</v>
      </c>
      <c r="V39" s="58" t="str">
        <v>ET-3</v>
      </c>
      <c r="W39" s="225"/>
      <c r="X39" s="225"/>
      <c r="Y39" s="225"/>
      <c r="Z39" s="225"/>
    </row>
    <row r="40" spans="4:26" ht="21" customHeight="1" x14ac:dyDescent="0.5">
      <c r="D40" s="245" t="str">
        <v>GUILFORD, REYNARD</v>
      </c>
      <c r="E40" s="246" t="str">
        <v>1018635</v>
      </c>
      <c r="F40" s="273" t="str">
        <v>GULF</v>
      </c>
      <c r="G40" s="321" t="str">
        <v>3B-2</v>
      </c>
      <c r="H40" s="325">
        <v>0</v>
      </c>
      <c r="I40" s="326" t="str">
        <v>FMLA</v>
      </c>
      <c r="J40" s="58" t="str">
        <v>FMLA</v>
      </c>
      <c r="K40" s="326">
        <v>0</v>
      </c>
      <c r="L40" s="58" t="str">
        <v>OFF</v>
      </c>
      <c r="M40" s="326">
        <v>0</v>
      </c>
      <c r="N40" s="58" t="str">
        <v>OFF</v>
      </c>
      <c r="O40" s="326" t="str">
        <v>DIVERTED -ST</v>
      </c>
      <c r="P40" s="58" t="str">
        <v>CH-2</v>
      </c>
      <c r="Q40" s="326">
        <v>0</v>
      </c>
      <c r="R40" s="58" t="str">
        <v>3B-2</v>
      </c>
      <c r="S40" s="326">
        <v>0</v>
      </c>
      <c r="T40" s="58" t="str">
        <v>3B-2</v>
      </c>
      <c r="U40" s="326">
        <v>0</v>
      </c>
      <c r="V40" s="58" t="str">
        <v>3B-2</v>
      </c>
      <c r="W40" s="225"/>
      <c r="X40" s="225"/>
      <c r="Y40" s="225"/>
      <c r="Z40" s="225"/>
    </row>
    <row r="41" spans="4:26" ht="21" customHeight="1" x14ac:dyDescent="0.5">
      <c r="D41" s="245" t="str">
        <v>HAMILTON, MELVINA</v>
      </c>
      <c r="E41" s="246" t="str">
        <v>0127212</v>
      </c>
      <c r="F41" s="273" t="str">
        <v>BLUE RIDGE ATW</v>
      </c>
      <c r="G41" s="321" t="str">
        <v>BR2 ATW</v>
      </c>
      <c r="H41" s="325">
        <v>0</v>
      </c>
      <c r="I41" s="326">
        <v>0</v>
      </c>
      <c r="J41" s="58" t="str">
        <v>OFF</v>
      </c>
      <c r="K41" s="326">
        <v>0</v>
      </c>
      <c r="L41" s="58" t="str">
        <v>OFF</v>
      </c>
      <c r="M41" s="326">
        <v>0</v>
      </c>
      <c r="N41" s="58" t="str">
        <v>KN-3</v>
      </c>
      <c r="O41" s="326">
        <v>0</v>
      </c>
      <c r="P41" s="58" t="str">
        <v>NR-3</v>
      </c>
      <c r="Q41" s="326">
        <v>0</v>
      </c>
      <c r="R41" s="58" t="str">
        <v>PO-3</v>
      </c>
      <c r="S41" s="326">
        <v>0</v>
      </c>
      <c r="T41" s="58" t="str">
        <v>CN-3</v>
      </c>
      <c r="U41" s="326">
        <v>0</v>
      </c>
      <c r="V41" s="58" t="str">
        <v>KY-3</v>
      </c>
      <c r="W41" s="225"/>
      <c r="X41" s="225"/>
      <c r="Y41" s="225"/>
      <c r="Z41" s="225"/>
    </row>
    <row r="42" spans="4:26" ht="21" customHeight="1" x14ac:dyDescent="0.5">
      <c r="D42" s="245" t="str">
        <v>HATTON, ROBERT</v>
      </c>
      <c r="E42" s="246" t="str">
        <v>0882252</v>
      </c>
      <c r="F42" s="273" t="str">
        <v>BLUE RIDGE</v>
      </c>
      <c r="G42" s="321" t="str">
        <v>DV-1</v>
      </c>
      <c r="H42" s="325">
        <v>0</v>
      </c>
      <c r="I42" s="326">
        <v>0</v>
      </c>
      <c r="J42" s="58" t="str">
        <v>OFF</v>
      </c>
      <c r="K42" s="326" t="str">
        <v>V-SD</v>
      </c>
      <c r="L42" s="58" t="str">
        <v>V-SD</v>
      </c>
      <c r="M42" s="326">
        <v>0</v>
      </c>
      <c r="N42" s="58" t="str">
        <v>DV-1</v>
      </c>
      <c r="O42" s="326">
        <v>0</v>
      </c>
      <c r="P42" s="58" t="str">
        <v>DV-1</v>
      </c>
      <c r="Q42" s="326">
        <v>0</v>
      </c>
      <c r="R42" s="58" t="str">
        <v>DV-1</v>
      </c>
      <c r="S42" s="326">
        <v>0</v>
      </c>
      <c r="T42" s="58" t="str">
        <v>DV-1</v>
      </c>
      <c r="U42" s="326">
        <v>0</v>
      </c>
      <c r="V42" s="58" t="str">
        <v>OFF</v>
      </c>
      <c r="W42" s="225"/>
      <c r="X42" s="225"/>
      <c r="Y42" s="225"/>
      <c r="Z42" s="225"/>
    </row>
    <row r="43" spans="4:26" ht="21" customHeight="1" x14ac:dyDescent="0.5">
      <c r="D43" s="245" t="str">
        <v>HENDRICKS, WILLIAM</v>
      </c>
      <c r="E43" s="246" t="str">
        <v>0110090</v>
      </c>
      <c r="F43" s="273" t="str">
        <v>COASTAL</v>
      </c>
      <c r="G43" s="321" t="str">
        <v>SE-1</v>
      </c>
      <c r="H43" s="325">
        <v>0</v>
      </c>
      <c r="I43" s="326">
        <v>0</v>
      </c>
      <c r="J43" s="58" t="str">
        <v>SE-1</v>
      </c>
      <c r="K43" s="326">
        <v>0</v>
      </c>
      <c r="L43" s="58" t="str">
        <v>SE-1</v>
      </c>
      <c r="M43" s="326">
        <v>0</v>
      </c>
      <c r="N43" s="58" t="str">
        <v>OFF</v>
      </c>
      <c r="O43" s="326">
        <v>0</v>
      </c>
      <c r="P43" s="58" t="str">
        <v>OFF</v>
      </c>
      <c r="Q43" s="326">
        <v>0</v>
      </c>
      <c r="R43" s="58" t="str">
        <v>SE-1</v>
      </c>
      <c r="S43" s="326" t="str">
        <v>S-SD</v>
      </c>
      <c r="T43" s="58" t="str">
        <v>S-SD</v>
      </c>
      <c r="U43" s="326">
        <v>0</v>
      </c>
      <c r="V43" s="58" t="str">
        <v>SE-1</v>
      </c>
      <c r="W43" s="225"/>
      <c r="X43" s="225"/>
      <c r="Y43" s="225"/>
      <c r="Z43" s="225"/>
    </row>
    <row r="44" spans="4:26" ht="21" customHeight="1" x14ac:dyDescent="0.5">
      <c r="D44" s="245" t="str">
        <v>HOBBS, DESIREE</v>
      </c>
      <c r="E44" s="246" t="str">
        <v>1025498</v>
      </c>
      <c r="F44" s="273" t="str">
        <v>COASTAL</v>
      </c>
      <c r="G44" s="321" t="str">
        <v>GS-R</v>
      </c>
      <c r="H44" s="325">
        <v>0</v>
      </c>
      <c r="I44" s="326">
        <v>0</v>
      </c>
      <c r="J44" s="58" t="str">
        <v>GS-1</v>
      </c>
      <c r="K44" s="326">
        <v>0</v>
      </c>
      <c r="L44" s="58" t="str">
        <v>GS-1</v>
      </c>
      <c r="M44" s="326">
        <v>0</v>
      </c>
      <c r="N44" s="58" t="str">
        <v>GS-2</v>
      </c>
      <c r="O44" s="326">
        <v>0</v>
      </c>
      <c r="P44" s="58" t="str">
        <v>GS-2</v>
      </c>
      <c r="Q44" s="326">
        <v>0</v>
      </c>
      <c r="R44" s="58" t="str">
        <v>GS-3</v>
      </c>
      <c r="S44" s="326">
        <v>0</v>
      </c>
      <c r="T44" s="58" t="str">
        <v>OFF</v>
      </c>
      <c r="U44" s="326">
        <v>0</v>
      </c>
      <c r="V44" s="58" t="str">
        <v>OFF</v>
      </c>
      <c r="W44" s="225"/>
      <c r="X44" s="225"/>
      <c r="Y44" s="225"/>
      <c r="Z44" s="225"/>
    </row>
    <row r="45" spans="4:26" ht="21" customHeight="1" x14ac:dyDescent="0.5">
      <c r="D45" s="245" t="str">
        <v>HUGHES, DESHON</v>
      </c>
      <c r="E45" s="246" t="str">
        <v>1018936</v>
      </c>
      <c r="F45" s="273" t="str">
        <v>GULF</v>
      </c>
      <c r="G45" s="321" t="str">
        <v>NO-R</v>
      </c>
      <c r="H45" s="325">
        <v>0</v>
      </c>
      <c r="I45" s="326">
        <v>0</v>
      </c>
      <c r="J45" s="58" t="str">
        <v>NO-1</v>
      </c>
      <c r="K45" s="326">
        <v>0</v>
      </c>
      <c r="L45" s="58" t="str">
        <v>NO-1</v>
      </c>
      <c r="M45" s="326">
        <v>0</v>
      </c>
      <c r="N45" s="58" t="str">
        <v>NO-2</v>
      </c>
      <c r="O45" s="326" t="str">
        <v>DIVERTED -ST</v>
      </c>
      <c r="P45" s="58" t="str">
        <v>LF-2</v>
      </c>
      <c r="Q45" s="326">
        <v>0</v>
      </c>
      <c r="R45" s="58" t="str">
        <v>NO-3</v>
      </c>
      <c r="S45" s="326">
        <v>0</v>
      </c>
      <c r="T45" s="58" t="str">
        <v>OFF</v>
      </c>
      <c r="U45" s="326">
        <v>0</v>
      </c>
      <c r="V45" s="58" t="str">
        <v>OFF</v>
      </c>
      <c r="W45" s="225"/>
      <c r="X45" s="225"/>
      <c r="Y45" s="225"/>
      <c r="Z45" s="225"/>
    </row>
    <row r="46" spans="4:26" ht="21" customHeight="1" x14ac:dyDescent="0.5">
      <c r="D46" s="245" t="str">
        <v>ISBELL, STEVE</v>
      </c>
      <c r="E46" s="246" t="str">
        <v>0316596</v>
      </c>
      <c r="F46" s="273" t="str">
        <v>BLUE RIDGE ATW</v>
      </c>
      <c r="G46" s="321" t="str">
        <v>BR1 ATW</v>
      </c>
      <c r="H46" s="325">
        <v>0</v>
      </c>
      <c r="I46" s="326">
        <v>0</v>
      </c>
      <c r="J46" s="58" t="str">
        <v>OFF</v>
      </c>
      <c r="K46" s="326">
        <v>0</v>
      </c>
      <c r="L46" s="58" t="str">
        <v>OFF</v>
      </c>
      <c r="M46" s="326">
        <v>0</v>
      </c>
      <c r="N46" s="58" t="str">
        <v>DT-3</v>
      </c>
      <c r="O46" s="326" t="str">
        <v>S-SD</v>
      </c>
      <c r="P46" s="58" t="str">
        <v>S-SD</v>
      </c>
      <c r="Q46" s="326">
        <v>0</v>
      </c>
      <c r="R46" s="58" t="str">
        <v>VA-3</v>
      </c>
      <c r="S46" s="326">
        <v>0</v>
      </c>
      <c r="T46" s="58" t="str">
        <v>OPEN</v>
      </c>
      <c r="U46" s="326">
        <v>0</v>
      </c>
      <c r="V46" s="58" t="str">
        <v>RT-3</v>
      </c>
      <c r="W46" s="225"/>
      <c r="X46" s="225"/>
      <c r="Y46" s="225"/>
      <c r="Z46" s="225"/>
    </row>
    <row r="47" spans="4:26" ht="21" customHeight="1" x14ac:dyDescent="0.5">
      <c r="D47" s="245" t="str">
        <v>JOHNSON -SAMMONS, ASHLYN</v>
      </c>
      <c r="E47" s="246" t="str">
        <v>1023669</v>
      </c>
      <c r="F47" s="273" t="str">
        <v>COASTAL ATW</v>
      </c>
      <c r="G47" s="321" t="str">
        <v>CO ATW</v>
      </c>
      <c r="H47" s="325">
        <v>0</v>
      </c>
      <c r="I47" s="326" t="str">
        <v>FMLA</v>
      </c>
      <c r="J47" s="58" t="str">
        <v>FMLA</v>
      </c>
      <c r="K47" s="326">
        <v>0</v>
      </c>
      <c r="L47" s="58" t="str">
        <v>OFF</v>
      </c>
      <c r="M47" s="326">
        <v>0</v>
      </c>
      <c r="N47" s="58" t="str">
        <v>OFF</v>
      </c>
      <c r="O47" s="326">
        <v>0</v>
      </c>
      <c r="P47" s="58" t="str">
        <v>IN-3</v>
      </c>
      <c r="Q47" s="326">
        <v>0</v>
      </c>
      <c r="R47" s="58" t="str">
        <v>SV-3</v>
      </c>
      <c r="S47" s="326">
        <v>0</v>
      </c>
      <c r="T47" s="58" t="str">
        <v>GS-3</v>
      </c>
      <c r="U47" s="326">
        <v>0</v>
      </c>
      <c r="V47" s="58" t="str">
        <v>NE-3</v>
      </c>
      <c r="W47" s="225"/>
      <c r="X47" s="225"/>
      <c r="Y47" s="225"/>
      <c r="Z47" s="225"/>
    </row>
    <row r="48" spans="4:26" ht="21" customHeight="1" x14ac:dyDescent="0.5">
      <c r="D48" s="245" t="str">
        <v>JOHNSON, JAMI</v>
      </c>
      <c r="E48" s="246" t="str">
        <v>1025517</v>
      </c>
      <c r="F48" s="273" t="str">
        <v>COASTAL</v>
      </c>
      <c r="G48" s="321" t="str">
        <v>NE-2</v>
      </c>
      <c r="H48" s="325">
        <v>0</v>
      </c>
      <c r="I48" s="326">
        <v>0</v>
      </c>
      <c r="J48" s="58" t="str">
        <v>NE-2</v>
      </c>
      <c r="K48" s="326" t="str">
        <v>S-SD</v>
      </c>
      <c r="L48" s="58" t="str">
        <v>S-SD</v>
      </c>
      <c r="M48" s="326">
        <v>0</v>
      </c>
      <c r="N48" s="58" t="str">
        <v>NE-2</v>
      </c>
      <c r="O48" s="326">
        <v>0</v>
      </c>
      <c r="P48" s="58" t="str">
        <v>OFF</v>
      </c>
      <c r="Q48" s="326">
        <v>0</v>
      </c>
      <c r="R48" s="58" t="str">
        <v>OFF</v>
      </c>
      <c r="S48" s="326">
        <v>0</v>
      </c>
      <c r="T48" s="58" t="str">
        <v>NE-2</v>
      </c>
      <c r="U48" s="326">
        <v>0</v>
      </c>
      <c r="V48" s="58" t="str">
        <v>NE-2</v>
      </c>
      <c r="W48" s="225"/>
      <c r="X48" s="225"/>
      <c r="Y48" s="225"/>
      <c r="Z48" s="225"/>
    </row>
    <row r="49" spans="4:26" ht="21" customHeight="1" x14ac:dyDescent="0.5">
      <c r="D49" s="245" t="str">
        <v>JOHNSON, TJ</v>
      </c>
      <c r="E49" s="246" t="str">
        <v>0094172</v>
      </c>
      <c r="F49" s="273" t="str">
        <v>GULF</v>
      </c>
      <c r="G49" s="321" t="str">
        <v>EE-1</v>
      </c>
      <c r="H49" s="325">
        <v>0</v>
      </c>
      <c r="I49" s="326">
        <v>0</v>
      </c>
      <c r="J49" s="58" t="str">
        <v>EE-1</v>
      </c>
      <c r="K49" s="326">
        <v>0</v>
      </c>
      <c r="L49" s="58" t="str">
        <v>OFF</v>
      </c>
      <c r="M49" s="326">
        <v>0</v>
      </c>
      <c r="N49" s="58" t="str">
        <v>OFF</v>
      </c>
      <c r="O49" s="326" t="str">
        <v>V-SD</v>
      </c>
      <c r="P49" s="58" t="str">
        <v>V-SD</v>
      </c>
      <c r="Q49" s="326" t="str">
        <v>V-SD</v>
      </c>
      <c r="R49" s="58" t="str">
        <v>V-SD</v>
      </c>
      <c r="S49" s="326">
        <v>0</v>
      </c>
      <c r="T49" s="58" t="str">
        <v>EE-1</v>
      </c>
      <c r="U49" s="326">
        <v>0</v>
      </c>
      <c r="V49" s="58" t="str">
        <v>EE-1</v>
      </c>
      <c r="W49" s="225"/>
      <c r="X49" s="225"/>
      <c r="Y49" s="225"/>
      <c r="Z49" s="225"/>
    </row>
    <row r="50" spans="4:26" ht="21" customHeight="1" x14ac:dyDescent="0.5">
      <c r="D50" s="245" t="str">
        <v>KRZYZANOWSKI, RENEE</v>
      </c>
      <c r="E50" s="246" t="str">
        <v>0186999</v>
      </c>
      <c r="F50" s="273" t="str">
        <v>BLUE RIDGE</v>
      </c>
      <c r="G50" s="321" t="str">
        <v>ET-1</v>
      </c>
      <c r="H50" s="325">
        <v>0</v>
      </c>
      <c r="I50" s="326">
        <v>0</v>
      </c>
      <c r="J50" s="58" t="str">
        <v>OFF</v>
      </c>
      <c r="K50" s="326">
        <v>0</v>
      </c>
      <c r="L50" s="58" t="str">
        <v>OFF</v>
      </c>
      <c r="M50" s="326">
        <v>0</v>
      </c>
      <c r="N50" s="58" t="str">
        <v>ET-1</v>
      </c>
      <c r="O50" s="326">
        <v>0</v>
      </c>
      <c r="P50" s="58" t="str">
        <v>ET-1</v>
      </c>
      <c r="Q50" s="326">
        <v>0</v>
      </c>
      <c r="R50" s="58" t="str">
        <v>ET-1</v>
      </c>
      <c r="S50" s="326">
        <v>0</v>
      </c>
      <c r="T50" s="58" t="str">
        <v>ET-1</v>
      </c>
      <c r="U50" s="326">
        <v>0</v>
      </c>
      <c r="V50" s="58" t="str">
        <v>ET-1</v>
      </c>
      <c r="W50" s="225"/>
      <c r="X50" s="225"/>
      <c r="Y50" s="225"/>
      <c r="Z50" s="225"/>
    </row>
    <row r="51" spans="4:26" ht="21" customHeight="1" x14ac:dyDescent="0.5">
      <c r="D51" s="245" t="str">
        <v>LEDBETTER, SYLVIA</v>
      </c>
      <c r="E51" s="246" t="str">
        <v>1019057</v>
      </c>
      <c r="F51" s="273" t="str">
        <v>BLUE RIDGE</v>
      </c>
      <c r="G51" s="321" t="str">
        <v>NR-R</v>
      </c>
      <c r="H51" s="325">
        <v>0</v>
      </c>
      <c r="I51" s="326" t="str">
        <v>FMLA</v>
      </c>
      <c r="J51" s="58" t="str">
        <v>FMLA</v>
      </c>
      <c r="K51" s="326">
        <v>0</v>
      </c>
      <c r="L51" s="58" t="str">
        <v>NR-1</v>
      </c>
      <c r="M51" s="326">
        <v>0</v>
      </c>
      <c r="N51" s="58" t="str">
        <v>NR-2</v>
      </c>
      <c r="O51" s="326">
        <v>0</v>
      </c>
      <c r="P51" s="58" t="str">
        <v>NR-2</v>
      </c>
      <c r="Q51" s="326">
        <v>0</v>
      </c>
      <c r="R51" s="58" t="str">
        <v>NR-3</v>
      </c>
      <c r="S51" s="326">
        <v>0</v>
      </c>
      <c r="T51" s="58" t="str">
        <v>OFF</v>
      </c>
      <c r="U51" s="326">
        <v>0</v>
      </c>
      <c r="V51" s="58" t="str">
        <v>OFF</v>
      </c>
      <c r="W51" s="225"/>
      <c r="X51" s="225"/>
      <c r="Y51" s="225"/>
      <c r="Z51" s="225"/>
    </row>
    <row r="52" spans="4:26" ht="21" customHeight="1" x14ac:dyDescent="0.5">
      <c r="D52" s="245" t="str">
        <v>LEESON, JARED</v>
      </c>
      <c r="E52" s="246" t="str">
        <v>1012544</v>
      </c>
      <c r="F52" s="273" t="str">
        <v>BLUE RIDGE</v>
      </c>
      <c r="G52" s="321" t="str">
        <v>RT-2</v>
      </c>
      <c r="H52" s="325">
        <v>0</v>
      </c>
      <c r="I52" s="326">
        <v>0</v>
      </c>
      <c r="J52" s="58" t="str">
        <v>RT-2</v>
      </c>
      <c r="K52" s="326">
        <v>0</v>
      </c>
      <c r="L52" s="58" t="str">
        <v>RT-2</v>
      </c>
      <c r="M52" s="326">
        <v>0</v>
      </c>
      <c r="N52" s="58" t="str">
        <v>RT-2</v>
      </c>
      <c r="O52" s="326">
        <v>0</v>
      </c>
      <c r="P52" s="58" t="str">
        <v>OFF</v>
      </c>
      <c r="Q52" s="326">
        <v>0</v>
      </c>
      <c r="R52" s="58" t="str">
        <v>OFF</v>
      </c>
      <c r="S52" s="326">
        <v>0</v>
      </c>
      <c r="T52" s="58" t="str">
        <v>RT-2</v>
      </c>
      <c r="U52" s="326">
        <v>0</v>
      </c>
      <c r="V52" s="58" t="str">
        <v>RT-2</v>
      </c>
      <c r="W52" s="225"/>
      <c r="X52" s="225"/>
      <c r="Y52" s="225"/>
      <c r="Z52" s="225"/>
    </row>
    <row r="53" spans="4:26" ht="21" customHeight="1" x14ac:dyDescent="0.5">
      <c r="D53" s="245" t="str">
        <v>LITTLE, JASON</v>
      </c>
      <c r="E53" s="246" t="str">
        <v>1007623</v>
      </c>
      <c r="F53" s="273" t="str">
        <v>BLUE RIDGE</v>
      </c>
      <c r="G53" s="321" t="str">
        <v>NR-2</v>
      </c>
      <c r="H53" s="325">
        <v>0</v>
      </c>
      <c r="I53" s="326">
        <v>0</v>
      </c>
      <c r="J53" s="58" t="str">
        <v>NR-2</v>
      </c>
      <c r="K53" s="326">
        <v>0</v>
      </c>
      <c r="L53" s="58" t="str">
        <v>NR-2</v>
      </c>
      <c r="M53" s="326">
        <v>0</v>
      </c>
      <c r="N53" s="58" t="str">
        <v>OFF</v>
      </c>
      <c r="O53" s="326">
        <v>0</v>
      </c>
      <c r="P53" s="58" t="str">
        <v>OFF</v>
      </c>
      <c r="Q53" s="326">
        <v>0</v>
      </c>
      <c r="R53" s="58" t="str">
        <v>NR-2</v>
      </c>
      <c r="S53" s="326">
        <v>0</v>
      </c>
      <c r="T53" s="58" t="str">
        <v>NR-2</v>
      </c>
      <c r="U53" s="326">
        <v>0</v>
      </c>
      <c r="V53" s="58" t="str">
        <v>NR-2</v>
      </c>
      <c r="W53" s="225"/>
      <c r="X53" s="225"/>
      <c r="Y53" s="225"/>
      <c r="Z53" s="225"/>
    </row>
    <row r="54" spans="4:26" ht="21" customHeight="1" x14ac:dyDescent="0.5">
      <c r="D54" s="245" t="str">
        <v>LITTLE, RYAN</v>
      </c>
      <c r="E54" s="246" t="str">
        <v>1003731</v>
      </c>
      <c r="F54" s="273" t="str">
        <v>BLUE RIDGE</v>
      </c>
      <c r="G54" s="321" t="str">
        <v>KN-3</v>
      </c>
      <c r="H54" s="325">
        <v>0</v>
      </c>
      <c r="I54" s="326" t="str">
        <v>DIVERTED -ST</v>
      </c>
      <c r="J54" s="58" t="str">
        <v>AL-3</v>
      </c>
      <c r="K54" s="326">
        <v>0</v>
      </c>
      <c r="L54" s="58" t="str">
        <v>KN-3</v>
      </c>
      <c r="M54" s="326">
        <v>0</v>
      </c>
      <c r="N54" s="58" t="str">
        <v>OFF</v>
      </c>
      <c r="O54" s="326">
        <v>0</v>
      </c>
      <c r="P54" s="58" t="str">
        <v>OFF</v>
      </c>
      <c r="Q54" s="326">
        <v>0</v>
      </c>
      <c r="R54" s="58" t="str">
        <v>KN-3</v>
      </c>
      <c r="S54" s="326" t="str">
        <v>S-SD</v>
      </c>
      <c r="T54" s="58" t="str">
        <v>S-SD</v>
      </c>
      <c r="U54" s="326">
        <v>0</v>
      </c>
      <c r="V54" s="58" t="str">
        <v>KN-3</v>
      </c>
      <c r="W54" s="225"/>
      <c r="X54" s="225"/>
      <c r="Y54" s="225"/>
      <c r="Z54" s="225"/>
    </row>
    <row r="55" spans="4:26" ht="21" customHeight="1" x14ac:dyDescent="0.5">
      <c r="D55" s="245" t="str">
        <v>LITTLES, MARK</v>
      </c>
      <c r="E55" s="246" t="str">
        <v>1015267</v>
      </c>
      <c r="F55" s="273" t="str">
        <v>BLUE RIDGE</v>
      </c>
      <c r="G55" s="321" t="str">
        <v>HG-R</v>
      </c>
      <c r="H55" s="325">
        <v>0</v>
      </c>
      <c r="I55" s="326">
        <v>0</v>
      </c>
      <c r="J55" s="58" t="str">
        <v>HG-1</v>
      </c>
      <c r="K55" s="326">
        <v>0</v>
      </c>
      <c r="L55" s="58" t="str">
        <v>HG-1</v>
      </c>
      <c r="M55" s="326">
        <v>0</v>
      </c>
      <c r="N55" s="58" t="str">
        <v>HG-2</v>
      </c>
      <c r="O55" s="326">
        <v>0</v>
      </c>
      <c r="P55" s="58" t="str">
        <v>HG-2</v>
      </c>
      <c r="Q55" s="326">
        <v>0</v>
      </c>
      <c r="R55" s="58" t="str">
        <v>HG-3</v>
      </c>
      <c r="S55" s="326">
        <v>0</v>
      </c>
      <c r="T55" s="58" t="str">
        <v>OFF</v>
      </c>
      <c r="U55" s="326">
        <v>0</v>
      </c>
      <c r="V55" s="58" t="str">
        <v>OFF</v>
      </c>
      <c r="W55" s="225"/>
      <c r="X55" s="225"/>
      <c r="Y55" s="225"/>
      <c r="Z55" s="225"/>
    </row>
    <row r="56" spans="4:26" ht="21" customHeight="1" x14ac:dyDescent="0.5">
      <c r="D56" s="245" t="str">
        <v>LOUIS, BRANDON</v>
      </c>
      <c r="E56" s="246" t="str">
        <v>1015470</v>
      </c>
      <c r="F56" s="273" t="str">
        <v>BLUE RIDGE</v>
      </c>
      <c r="G56" s="321" t="str">
        <v>DV-R</v>
      </c>
      <c r="H56" s="325">
        <v>0</v>
      </c>
      <c r="I56" s="326">
        <v>0</v>
      </c>
      <c r="J56" s="58" t="str">
        <v>DV-1</v>
      </c>
      <c r="K56" s="326" t="str">
        <v>DIVERTED -ST</v>
      </c>
      <c r="L56" s="58" t="str">
        <v>NE-2</v>
      </c>
      <c r="M56" s="326">
        <v>0</v>
      </c>
      <c r="N56" s="58" t="str">
        <v>DV-2</v>
      </c>
      <c r="O56" s="326">
        <v>0</v>
      </c>
      <c r="P56" s="58" t="str">
        <v>DV-3</v>
      </c>
      <c r="Q56" s="326">
        <v>0</v>
      </c>
      <c r="R56" s="58" t="str">
        <v>OFF</v>
      </c>
      <c r="S56" s="326">
        <v>0</v>
      </c>
      <c r="T56" s="58" t="str">
        <v>OFF</v>
      </c>
      <c r="U56" s="326" t="str">
        <v>NCL</v>
      </c>
      <c r="V56" s="58" t="str">
        <v>NCL</v>
      </c>
      <c r="W56" s="225"/>
      <c r="X56" s="225"/>
      <c r="Y56" s="225"/>
      <c r="Z56" s="225"/>
    </row>
    <row r="57" spans="4:26" ht="21" customHeight="1" x14ac:dyDescent="0.5">
      <c r="D57" s="245" t="str">
        <v>LOUIS, EPIPHANY</v>
      </c>
      <c r="E57" s="246" t="str">
        <v>1015627</v>
      </c>
      <c r="F57" s="273" t="str">
        <v>GULF</v>
      </c>
      <c r="G57" s="321" t="str">
        <v>3B-R</v>
      </c>
      <c r="H57" s="325">
        <v>0</v>
      </c>
      <c r="I57" s="326" t="str">
        <v>FMLA</v>
      </c>
      <c r="J57" s="58" t="str">
        <v>FMLA</v>
      </c>
      <c r="K57" s="326">
        <v>0</v>
      </c>
      <c r="L57" s="58" t="str">
        <v>3B-2</v>
      </c>
      <c r="M57" s="326">
        <v>0</v>
      </c>
      <c r="N57" s="58" t="str">
        <v>3B-2</v>
      </c>
      <c r="O57" s="326">
        <v>0</v>
      </c>
      <c r="P57" s="58" t="str">
        <v>ME-3</v>
      </c>
      <c r="Q57" s="326">
        <v>0</v>
      </c>
      <c r="R57" s="58" t="str">
        <v>OFF</v>
      </c>
      <c r="S57" s="326">
        <v>0</v>
      </c>
      <c r="T57" s="58" t="str">
        <v>OFF</v>
      </c>
      <c r="U57" s="326">
        <v>0</v>
      </c>
      <c r="V57" s="58" t="str">
        <v>3B-1</v>
      </c>
      <c r="W57" s="225"/>
      <c r="X57" s="225"/>
      <c r="Y57" s="225"/>
      <c r="Z57" s="225"/>
    </row>
    <row r="58" spans="4:26" ht="21" customHeight="1" x14ac:dyDescent="0.5">
      <c r="D58" s="245" t="str">
        <v>MANLEY, JOE</v>
      </c>
      <c r="E58" s="246" t="str">
        <v>0172642</v>
      </c>
      <c r="F58" s="273" t="str">
        <v>GULF</v>
      </c>
      <c r="G58" s="321" t="str">
        <v>KW-R</v>
      </c>
      <c r="H58" s="325">
        <v>0</v>
      </c>
      <c r="I58" s="326">
        <v>0</v>
      </c>
      <c r="J58" s="58" t="str">
        <v>KW-1</v>
      </c>
      <c r="K58" s="326">
        <v>0</v>
      </c>
      <c r="L58" s="58" t="str">
        <v>KW-2</v>
      </c>
      <c r="M58" s="326">
        <v>0</v>
      </c>
      <c r="N58" s="58" t="str">
        <v>KW-2</v>
      </c>
      <c r="O58" s="326">
        <v>0</v>
      </c>
      <c r="P58" s="58" t="str">
        <v>KW-3</v>
      </c>
      <c r="Q58" s="326">
        <v>0</v>
      </c>
      <c r="R58" s="58" t="str">
        <v>OFF</v>
      </c>
      <c r="S58" s="326">
        <v>0</v>
      </c>
      <c r="T58" s="58" t="str">
        <v>OFF</v>
      </c>
      <c r="U58" s="326">
        <v>0</v>
      </c>
      <c r="V58" s="58" t="str">
        <v>KW-1</v>
      </c>
      <c r="W58" s="225"/>
      <c r="X58" s="225"/>
      <c r="Y58" s="225"/>
      <c r="Z58" s="225"/>
    </row>
    <row r="59" spans="4:26" ht="21" customHeight="1" x14ac:dyDescent="0.5">
      <c r="D59" s="245" t="str">
        <v>MAPHENDUKA, DEAN</v>
      </c>
      <c r="E59" s="246" t="str">
        <v>0127226</v>
      </c>
      <c r="F59" s="273" t="str">
        <v>COASTAL</v>
      </c>
      <c r="G59" s="321" t="str">
        <v>SE-3</v>
      </c>
      <c r="H59" s="325">
        <v>0</v>
      </c>
      <c r="I59" s="326">
        <v>0</v>
      </c>
      <c r="J59" s="58" t="str">
        <v>OFF</v>
      </c>
      <c r="K59" s="326">
        <v>0</v>
      </c>
      <c r="L59" s="58" t="str">
        <v>SE-3</v>
      </c>
      <c r="M59" s="326">
        <v>0</v>
      </c>
      <c r="N59" s="58" t="str">
        <v>SE-3</v>
      </c>
      <c r="O59" s="326">
        <v>0</v>
      </c>
      <c r="P59" s="58" t="str">
        <v>SE-3</v>
      </c>
      <c r="Q59" s="326">
        <v>0</v>
      </c>
      <c r="R59" s="58" t="str">
        <v>SE-3</v>
      </c>
      <c r="S59" s="326">
        <v>0</v>
      </c>
      <c r="T59" s="58" t="str">
        <v>SE-3</v>
      </c>
      <c r="U59" s="326">
        <v>0</v>
      </c>
      <c r="V59" s="58" t="str">
        <v>OFF</v>
      </c>
      <c r="W59" s="225"/>
      <c r="X59" s="225"/>
      <c r="Y59" s="225"/>
      <c r="Z59" s="225"/>
    </row>
    <row r="60" spans="4:26" ht="21" customHeight="1" x14ac:dyDescent="0.5">
      <c r="D60" s="245" t="str">
        <v>MATTHEWS, RASHIM</v>
      </c>
      <c r="E60" s="246" t="str">
        <v>1018487</v>
      </c>
      <c r="F60" s="273" t="str">
        <v>GULF</v>
      </c>
      <c r="G60" s="321" t="str">
        <v>BT-2</v>
      </c>
      <c r="H60" s="325">
        <v>0</v>
      </c>
      <c r="I60" s="326">
        <v>0</v>
      </c>
      <c r="J60" s="58" t="str">
        <v>BT-2</v>
      </c>
      <c r="K60" s="326">
        <v>0</v>
      </c>
      <c r="L60" s="58" t="str">
        <v>OFF</v>
      </c>
      <c r="M60" s="326">
        <v>0</v>
      </c>
      <c r="N60" s="58" t="str">
        <v>OFF</v>
      </c>
      <c r="O60" s="326">
        <v>0</v>
      </c>
      <c r="P60" s="58" t="str">
        <v>BT-2</v>
      </c>
      <c r="Q60" s="326">
        <v>0</v>
      </c>
      <c r="R60" s="58" t="str">
        <v>BT-2</v>
      </c>
      <c r="S60" s="326">
        <v>0</v>
      </c>
      <c r="T60" s="58" t="str">
        <v>BT-2</v>
      </c>
      <c r="U60" s="326">
        <v>0</v>
      </c>
      <c r="V60" s="58" t="str">
        <v>BT-2</v>
      </c>
      <c r="W60" s="225"/>
      <c r="X60" s="225"/>
      <c r="Y60" s="225"/>
      <c r="Z60" s="225"/>
    </row>
    <row r="61" spans="4:26" ht="21" customHeight="1" x14ac:dyDescent="0.5">
      <c r="D61" s="245" t="str">
        <v>MCCLIMENT, KAITLIN</v>
      </c>
      <c r="E61" s="246" t="str">
        <v>1023671</v>
      </c>
      <c r="F61" s="273" t="str">
        <v>GULF</v>
      </c>
      <c r="G61" s="321" t="str">
        <v>NO-2</v>
      </c>
      <c r="H61" s="325">
        <v>0</v>
      </c>
      <c r="I61" s="326">
        <v>0</v>
      </c>
      <c r="J61" s="58" t="str">
        <v>NO-2</v>
      </c>
      <c r="K61" s="326">
        <v>0</v>
      </c>
      <c r="L61" s="58" t="str">
        <v>NO-2</v>
      </c>
      <c r="M61" s="326">
        <v>0</v>
      </c>
      <c r="N61" s="58" t="str">
        <v>OFF</v>
      </c>
      <c r="O61" s="326">
        <v>0</v>
      </c>
      <c r="P61" s="58" t="str">
        <v>OFF</v>
      </c>
      <c r="Q61" s="326">
        <v>0</v>
      </c>
      <c r="R61" s="58" t="str">
        <v>NO-2</v>
      </c>
      <c r="S61" s="326" t="str">
        <v>DIVERTED -ST</v>
      </c>
      <c r="T61" s="58" t="str">
        <v>CN-2</v>
      </c>
      <c r="U61" s="326">
        <v>0</v>
      </c>
      <c r="V61" s="58" t="str">
        <v>NO-2</v>
      </c>
      <c r="W61" s="225"/>
      <c r="X61" s="225"/>
      <c r="Y61" s="225"/>
      <c r="Z61" s="225"/>
    </row>
    <row r="62" spans="4:26" ht="21" customHeight="1" x14ac:dyDescent="0.5">
      <c r="D62" s="245" t="str">
        <v>MCDANIEL, PAMELA</v>
      </c>
      <c r="E62" s="246" t="str">
        <v>0823858</v>
      </c>
      <c r="F62" s="273" t="str">
        <v>COASTAL</v>
      </c>
      <c r="G62" s="321" t="str">
        <v>IN-2</v>
      </c>
      <c r="H62" s="325">
        <v>0</v>
      </c>
      <c r="I62" s="326">
        <v>0</v>
      </c>
      <c r="J62" s="58" t="str">
        <v>IN-2</v>
      </c>
      <c r="K62" s="326" t="str">
        <v>S-SD</v>
      </c>
      <c r="L62" s="58" t="str">
        <v>S-SD</v>
      </c>
      <c r="M62" s="326">
        <v>0</v>
      </c>
      <c r="N62" s="58" t="str">
        <v>OFF</v>
      </c>
      <c r="O62" s="326">
        <v>0</v>
      </c>
      <c r="P62" s="58" t="str">
        <v>OFF</v>
      </c>
      <c r="Q62" s="326">
        <v>0</v>
      </c>
      <c r="R62" s="58" t="str">
        <v>IN-2</v>
      </c>
      <c r="S62" s="326">
        <v>0</v>
      </c>
      <c r="T62" s="58" t="str">
        <v>IN-2</v>
      </c>
      <c r="U62" s="326">
        <v>0</v>
      </c>
      <c r="V62" s="58" t="str">
        <v>IN-2</v>
      </c>
      <c r="W62" s="225"/>
      <c r="X62" s="225"/>
      <c r="Y62" s="225"/>
      <c r="Z62" s="225"/>
    </row>
    <row r="63" spans="4:26" ht="21" customHeight="1" x14ac:dyDescent="0.5">
      <c r="D63" s="245" t="str">
        <v>MCGHEE, WAYNE</v>
      </c>
      <c r="E63" s="246" t="str">
        <v>1001790</v>
      </c>
      <c r="F63" s="273" t="str">
        <v>COASTAL</v>
      </c>
      <c r="G63" s="321" t="str">
        <v>SV-R</v>
      </c>
      <c r="H63" s="325">
        <v>0</v>
      </c>
      <c r="I63" s="326">
        <v>0</v>
      </c>
      <c r="J63" s="58" t="str">
        <v>SV-1</v>
      </c>
      <c r="K63" s="326">
        <v>0</v>
      </c>
      <c r="L63" s="58" t="str">
        <v>SV-2</v>
      </c>
      <c r="M63" s="326">
        <v>0</v>
      </c>
      <c r="N63" s="58" t="str">
        <v>SV-2</v>
      </c>
      <c r="O63" s="326">
        <v>0</v>
      </c>
      <c r="P63" s="58" t="str">
        <v>SV-3</v>
      </c>
      <c r="Q63" s="326">
        <v>0</v>
      </c>
      <c r="R63" s="58" t="str">
        <v>OFF</v>
      </c>
      <c r="S63" s="326">
        <v>0</v>
      </c>
      <c r="T63" s="58" t="str">
        <v>OFF</v>
      </c>
      <c r="U63" s="326">
        <v>0</v>
      </c>
      <c r="V63" s="58" t="str">
        <v>SV-1</v>
      </c>
      <c r="W63" s="225"/>
      <c r="X63" s="225"/>
      <c r="Y63" s="225"/>
      <c r="Z63" s="225"/>
    </row>
    <row r="64" spans="4:26" ht="21" customHeight="1" x14ac:dyDescent="0.5">
      <c r="D64" s="245" t="str">
        <v>MCROY, DANIEL</v>
      </c>
      <c r="E64" s="246" t="str">
        <v>1019608</v>
      </c>
      <c r="F64" s="273" t="str">
        <v>COASTAL</v>
      </c>
      <c r="G64" s="321" t="str">
        <v>CH-2</v>
      </c>
      <c r="H64" s="325">
        <v>0</v>
      </c>
      <c r="I64" s="326">
        <v>0</v>
      </c>
      <c r="J64" s="58" t="str">
        <v>CH-2</v>
      </c>
      <c r="K64" s="326">
        <v>0</v>
      </c>
      <c r="L64" s="58" t="str">
        <v>CH-2</v>
      </c>
      <c r="M64" s="326">
        <v>0</v>
      </c>
      <c r="N64" s="58" t="str">
        <v>OFF</v>
      </c>
      <c r="O64" s="326">
        <v>0</v>
      </c>
      <c r="P64" s="58" t="str">
        <v>OFF</v>
      </c>
      <c r="Q64" s="326">
        <v>0</v>
      </c>
      <c r="R64" s="58" t="str">
        <v>CH-2</v>
      </c>
      <c r="S64" s="326">
        <v>0</v>
      </c>
      <c r="T64" s="58" t="str">
        <v>CH-2</v>
      </c>
      <c r="U64" s="326">
        <v>0</v>
      </c>
      <c r="V64" s="58" t="str">
        <v>CH-2</v>
      </c>
      <c r="W64" s="225"/>
      <c r="X64" s="225"/>
      <c r="Y64" s="225"/>
      <c r="Z64" s="225"/>
    </row>
    <row r="65" spans="4:26" ht="21" customHeight="1" x14ac:dyDescent="0.5">
      <c r="D65" s="245" t="str">
        <v>MORGAN, CURTIS</v>
      </c>
      <c r="E65" s="246" t="str">
        <v>0174175</v>
      </c>
      <c r="F65" s="273" t="str">
        <v>COASTAL</v>
      </c>
      <c r="G65" s="321" t="str">
        <v>GS-3</v>
      </c>
      <c r="H65" s="325">
        <v>0</v>
      </c>
      <c r="I65" s="326">
        <v>0</v>
      </c>
      <c r="J65" s="58" t="str">
        <v>GS-3</v>
      </c>
      <c r="K65" s="326">
        <v>0</v>
      </c>
      <c r="L65" s="58" t="str">
        <v>GS-3</v>
      </c>
      <c r="M65" s="326">
        <v>0</v>
      </c>
      <c r="N65" s="58" t="str">
        <v>GS-3</v>
      </c>
      <c r="O65" s="326">
        <v>0</v>
      </c>
      <c r="P65" s="58" t="str">
        <v>GS-3</v>
      </c>
      <c r="Q65" s="326">
        <v>0</v>
      </c>
      <c r="R65" s="58" t="str">
        <v>OFF</v>
      </c>
      <c r="S65" s="326">
        <v>0</v>
      </c>
      <c r="T65" s="58" t="str">
        <v>OFF</v>
      </c>
      <c r="U65" s="326">
        <v>0</v>
      </c>
      <c r="V65" s="58" t="str">
        <v>GS-3</v>
      </c>
      <c r="W65" s="225"/>
      <c r="X65" s="225"/>
      <c r="Y65" s="225"/>
      <c r="Z65" s="225"/>
    </row>
    <row r="66" spans="4:26" ht="21" customHeight="1" x14ac:dyDescent="0.5">
      <c r="D66" s="245" t="str">
        <v>MULLEN, RYAN</v>
      </c>
      <c r="E66" s="246" t="str">
        <v>0376334</v>
      </c>
      <c r="F66" s="273" t="str">
        <v>BLUE RIDGE</v>
      </c>
      <c r="G66" s="321" t="str">
        <v>VA-1</v>
      </c>
      <c r="H66" s="325">
        <v>0</v>
      </c>
      <c r="I66" s="326">
        <v>0</v>
      </c>
      <c r="J66" s="58" t="str">
        <v>OFF</v>
      </c>
      <c r="K66" s="326">
        <v>0</v>
      </c>
      <c r="L66" s="58" t="str">
        <v>VA-1</v>
      </c>
      <c r="M66" s="326">
        <v>0</v>
      </c>
      <c r="N66" s="58" t="str">
        <v>VA-1</v>
      </c>
      <c r="O66" s="326">
        <v>0</v>
      </c>
      <c r="P66" s="58" t="str">
        <v>VA-1</v>
      </c>
      <c r="Q66" s="326">
        <v>0</v>
      </c>
      <c r="R66" s="58" t="str">
        <v>VA-1</v>
      </c>
      <c r="S66" s="326">
        <v>0</v>
      </c>
      <c r="T66" s="58" t="str">
        <v>VA-1</v>
      </c>
      <c r="U66" s="326">
        <v>0</v>
      </c>
      <c r="V66" s="58" t="str">
        <v>OFF</v>
      </c>
      <c r="W66" s="225"/>
      <c r="X66" s="225"/>
      <c r="Y66" s="225"/>
      <c r="Z66" s="225"/>
    </row>
    <row r="67" spans="4:26" ht="21" customHeight="1" x14ac:dyDescent="0.45">
      <c r="D67" s="245" t="str">
        <v>NELLUM, KEVIN</v>
      </c>
      <c r="E67" s="246" t="str">
        <v>0198682</v>
      </c>
      <c r="F67" s="273" t="str">
        <v>BLUE RIDGE</v>
      </c>
      <c r="G67" s="321" t="str">
        <v>VA-2</v>
      </c>
      <c r="H67" s="325">
        <v>0</v>
      </c>
      <c r="I67" s="326">
        <v>0</v>
      </c>
      <c r="J67" s="58" t="str">
        <v>VA-2</v>
      </c>
      <c r="K67" s="326">
        <v>0</v>
      </c>
      <c r="L67" s="58" t="str">
        <v>OFF</v>
      </c>
      <c r="M67" s="326">
        <v>0</v>
      </c>
      <c r="N67" s="58" t="str">
        <v>OFF</v>
      </c>
      <c r="O67" s="326">
        <v>0</v>
      </c>
      <c r="P67" s="58" t="str">
        <v>VA-2</v>
      </c>
      <c r="Q67" s="326">
        <v>0</v>
      </c>
      <c r="R67" s="58" t="str">
        <v>VA-2</v>
      </c>
      <c r="S67" s="326">
        <v>0</v>
      </c>
      <c r="T67" s="58" t="str">
        <v>VA-2</v>
      </c>
      <c r="U67" s="326">
        <v>0</v>
      </c>
      <c r="V67" s="58" t="str">
        <v>VA-2</v>
      </c>
    </row>
    <row r="68" spans="4:26" ht="21" customHeight="1" x14ac:dyDescent="0.45">
      <c r="D68" s="245" t="str">
        <v>PACE, LEWIS</v>
      </c>
      <c r="E68" s="246" t="str">
        <v>0818069</v>
      </c>
      <c r="F68" s="273" t="str">
        <v>COASTAL</v>
      </c>
      <c r="G68" s="321" t="str">
        <v>SE-2</v>
      </c>
      <c r="H68" s="325">
        <v>0</v>
      </c>
      <c r="I68" s="326">
        <v>0</v>
      </c>
      <c r="J68" s="58" t="str">
        <v>SE-2</v>
      </c>
      <c r="K68" s="326" t="str">
        <v>S-SD</v>
      </c>
      <c r="L68" s="58" t="str">
        <v>S-SD</v>
      </c>
      <c r="M68" s="326">
        <v>0</v>
      </c>
      <c r="N68" s="58" t="str">
        <v>SE-2</v>
      </c>
      <c r="O68" s="326">
        <v>0</v>
      </c>
      <c r="P68" s="58" t="str">
        <v>SE-2</v>
      </c>
      <c r="Q68" s="326">
        <v>0</v>
      </c>
      <c r="R68" s="58" t="str">
        <v>OFF</v>
      </c>
      <c r="S68" s="326">
        <v>0</v>
      </c>
      <c r="T68" s="58" t="str">
        <v>OFF</v>
      </c>
      <c r="U68" s="326">
        <v>0</v>
      </c>
      <c r="V68" s="58" t="str">
        <v>SE-2</v>
      </c>
    </row>
    <row r="69" spans="4:26" ht="21" customHeight="1" x14ac:dyDescent="0.45">
      <c r="D69" s="245" t="str">
        <v>PATE, MELINDA</v>
      </c>
      <c r="E69" s="246" t="str">
        <v>0174217</v>
      </c>
      <c r="F69" s="273" t="str">
        <v>COASTAL</v>
      </c>
      <c r="G69" s="321" t="str">
        <v>CH-3</v>
      </c>
      <c r="H69" s="325">
        <v>0</v>
      </c>
      <c r="I69" s="326">
        <v>0</v>
      </c>
      <c r="J69" s="58" t="str">
        <v>CH-3</v>
      </c>
      <c r="K69" s="326">
        <v>0</v>
      </c>
      <c r="L69" s="58" t="str">
        <v>CH-3</v>
      </c>
      <c r="M69" s="326" t="str">
        <v>V-SD</v>
      </c>
      <c r="N69" s="58" t="str">
        <v>V-SD</v>
      </c>
      <c r="O69" s="326">
        <v>0</v>
      </c>
      <c r="P69" s="58" t="str">
        <v>OFF</v>
      </c>
      <c r="Q69" s="326">
        <v>0</v>
      </c>
      <c r="R69" s="58" t="str">
        <v>OFF</v>
      </c>
      <c r="S69" s="326">
        <v>0</v>
      </c>
      <c r="T69" s="58" t="str">
        <v>CH-3</v>
      </c>
      <c r="U69" s="326">
        <v>0</v>
      </c>
      <c r="V69" s="58" t="str">
        <v>CH-3</v>
      </c>
    </row>
    <row r="70" spans="4:26" ht="21" customHeight="1" x14ac:dyDescent="0.45">
      <c r="D70" s="245" t="str">
        <v>PATE, TABITHA</v>
      </c>
      <c r="E70" s="246" t="str">
        <v>0174238</v>
      </c>
      <c r="F70" s="273" t="str">
        <v>GULF</v>
      </c>
      <c r="G70" s="321" t="str">
        <v>BT-3</v>
      </c>
      <c r="H70" s="325">
        <v>0</v>
      </c>
      <c r="I70" s="326">
        <v>0</v>
      </c>
      <c r="J70" s="58" t="str">
        <v>BT-3</v>
      </c>
      <c r="K70" s="326">
        <v>0</v>
      </c>
      <c r="L70" s="58" t="str">
        <v>BT-3</v>
      </c>
      <c r="M70" s="326">
        <v>0</v>
      </c>
      <c r="N70" s="58" t="str">
        <v>BT-3</v>
      </c>
      <c r="O70" s="326">
        <v>0</v>
      </c>
      <c r="P70" s="58" t="str">
        <v>OFF</v>
      </c>
      <c r="Q70" s="326">
        <v>0</v>
      </c>
      <c r="R70" s="58" t="str">
        <v>OFF</v>
      </c>
      <c r="S70" s="326">
        <v>0</v>
      </c>
      <c r="T70" s="58" t="str">
        <v>BT-3</v>
      </c>
      <c r="U70" s="326">
        <v>0</v>
      </c>
      <c r="V70" s="58" t="str">
        <v>BT-3</v>
      </c>
    </row>
    <row r="71" spans="4:26" ht="21" customHeight="1" x14ac:dyDescent="0.45">
      <c r="D71" s="245" t="str">
        <v>PAYNE, ANDREW</v>
      </c>
      <c r="E71" s="246" t="str">
        <v>0650846</v>
      </c>
      <c r="F71" s="273" t="str">
        <v>BLUE RIDGE</v>
      </c>
      <c r="G71" s="321" t="str">
        <v>AS-3</v>
      </c>
      <c r="H71" s="325">
        <v>0</v>
      </c>
      <c r="I71" s="326">
        <v>0</v>
      </c>
      <c r="J71" s="58" t="str">
        <v>AS-3</v>
      </c>
      <c r="K71" s="326">
        <v>0</v>
      </c>
      <c r="L71" s="58" t="str">
        <v>AS-3</v>
      </c>
      <c r="M71" s="326">
        <v>0</v>
      </c>
      <c r="N71" s="58" t="str">
        <v>OFF</v>
      </c>
      <c r="O71" s="326">
        <v>0</v>
      </c>
      <c r="P71" s="58" t="str">
        <v>OFF</v>
      </c>
      <c r="Q71" s="326">
        <v>0</v>
      </c>
      <c r="R71" s="58" t="str">
        <v>AS-3</v>
      </c>
      <c r="S71" s="326">
        <v>0</v>
      </c>
      <c r="T71" s="58" t="str">
        <v>AS-3</v>
      </c>
      <c r="U71" s="326">
        <v>0</v>
      </c>
      <c r="V71" s="58" t="str">
        <v>AS-3</v>
      </c>
    </row>
    <row r="72" spans="4:26" ht="21" customHeight="1" x14ac:dyDescent="0.45">
      <c r="D72" s="245" t="str">
        <v>PEEPLES, TINA</v>
      </c>
      <c r="E72" s="246" t="str">
        <v>0022135</v>
      </c>
      <c r="F72" s="273" t="str">
        <v>GULF</v>
      </c>
      <c r="G72" s="321" t="str">
        <v>3B-1</v>
      </c>
      <c r="H72" s="325">
        <v>0</v>
      </c>
      <c r="I72" s="326">
        <v>0</v>
      </c>
      <c r="J72" s="58" t="str">
        <v>OFF</v>
      </c>
      <c r="K72" s="326">
        <v>0</v>
      </c>
      <c r="L72" s="58" t="str">
        <v>3B-1</v>
      </c>
      <c r="M72" s="326">
        <v>0</v>
      </c>
      <c r="N72" s="58" t="str">
        <v>3B-1</v>
      </c>
      <c r="O72" s="326">
        <v>0</v>
      </c>
      <c r="P72" s="58" t="str">
        <v>3B-1</v>
      </c>
      <c r="Q72" s="326">
        <v>0</v>
      </c>
      <c r="R72" s="58" t="str">
        <v>3B-1</v>
      </c>
      <c r="S72" s="326">
        <v>0</v>
      </c>
      <c r="T72" s="58" t="str">
        <v>3B-1</v>
      </c>
      <c r="U72" s="326">
        <v>0</v>
      </c>
      <c r="V72" s="58" t="str">
        <v>OFF</v>
      </c>
    </row>
    <row r="73" spans="4:26" ht="21" customHeight="1" x14ac:dyDescent="0.45">
      <c r="D73" s="245" t="str">
        <v>PRINCE, MICHAEL</v>
      </c>
      <c r="E73" s="246" t="str">
        <v>1018231</v>
      </c>
      <c r="F73" s="273" t="str">
        <v>GULF</v>
      </c>
      <c r="G73" s="321" t="str">
        <v>NO-3</v>
      </c>
      <c r="H73" s="325">
        <v>0</v>
      </c>
      <c r="I73" s="326">
        <v>0</v>
      </c>
      <c r="J73" s="58" t="str">
        <v>NO-3</v>
      </c>
      <c r="K73" s="326" t="str">
        <v>DIVERTED -ST</v>
      </c>
      <c r="L73" s="58" t="str">
        <v>EE-3</v>
      </c>
      <c r="M73" s="326">
        <v>0</v>
      </c>
      <c r="N73" s="58" t="str">
        <v>NO-3</v>
      </c>
      <c r="O73" s="326">
        <v>0</v>
      </c>
      <c r="P73" s="58" t="str">
        <v>NO-3</v>
      </c>
      <c r="Q73" s="326">
        <v>0</v>
      </c>
      <c r="R73" s="58" t="str">
        <v>OFF</v>
      </c>
      <c r="S73" s="326">
        <v>0</v>
      </c>
      <c r="T73" s="58" t="str">
        <v>OFF</v>
      </c>
      <c r="U73" s="326">
        <v>0</v>
      </c>
      <c r="V73" s="58" t="str">
        <v>NO-3</v>
      </c>
    </row>
    <row r="74" spans="4:26" ht="21" customHeight="1" x14ac:dyDescent="0.45">
      <c r="D74" s="245" t="str">
        <v>QUINN, COURTNEY</v>
      </c>
      <c r="E74" s="246" t="str">
        <v>0388766</v>
      </c>
      <c r="F74" s="273" t="str">
        <v>BLUE RIDGE</v>
      </c>
      <c r="G74" s="321" t="str">
        <v>PO-2</v>
      </c>
      <c r="H74" s="325">
        <v>0</v>
      </c>
      <c r="I74" s="326" t="str">
        <v>FMLA</v>
      </c>
      <c r="J74" s="58" t="str">
        <v>FMLA</v>
      </c>
      <c r="K74" s="326">
        <v>0</v>
      </c>
      <c r="L74" s="58" t="str">
        <v>OFF</v>
      </c>
      <c r="M74" s="326">
        <v>0</v>
      </c>
      <c r="N74" s="58" t="str">
        <v>OFF</v>
      </c>
      <c r="O74" s="326">
        <v>0</v>
      </c>
      <c r="P74" s="58" t="str">
        <v>PO-2</v>
      </c>
      <c r="Q74" s="326">
        <v>0</v>
      </c>
      <c r="R74" s="58" t="str">
        <v>PO-2</v>
      </c>
      <c r="S74" s="326">
        <v>0</v>
      </c>
      <c r="T74" s="58" t="str">
        <v>PO-2</v>
      </c>
      <c r="U74" s="326">
        <v>0</v>
      </c>
      <c r="V74" s="58" t="str">
        <v>PO-2</v>
      </c>
    </row>
    <row r="75" spans="4:26" ht="21" customHeight="1" x14ac:dyDescent="0.45">
      <c r="D75" s="245" t="str">
        <v>REACH, JEFF</v>
      </c>
      <c r="E75" s="246" t="str">
        <v>0022751</v>
      </c>
      <c r="F75" s="273" t="str">
        <v>GULF</v>
      </c>
      <c r="G75" s="321" t="str">
        <v>NO-1</v>
      </c>
      <c r="H75" s="325">
        <v>0</v>
      </c>
      <c r="I75" s="326">
        <v>0</v>
      </c>
      <c r="J75" s="58" t="str">
        <v>OFF</v>
      </c>
      <c r="K75" s="326">
        <v>0</v>
      </c>
      <c r="L75" s="58" t="str">
        <v>OFF</v>
      </c>
      <c r="M75" s="326">
        <v>0</v>
      </c>
      <c r="N75" s="58" t="str">
        <v>NO-1</v>
      </c>
      <c r="O75" s="326">
        <v>0</v>
      </c>
      <c r="P75" s="58" t="str">
        <v>NO-1</v>
      </c>
      <c r="Q75" s="326">
        <v>0</v>
      </c>
      <c r="R75" s="58" t="str">
        <v>NO-1</v>
      </c>
      <c r="S75" s="326">
        <v>0</v>
      </c>
      <c r="T75" s="58" t="str">
        <v>NO-1</v>
      </c>
      <c r="U75" s="326">
        <v>0</v>
      </c>
      <c r="V75" s="58" t="str">
        <v>NO-1</v>
      </c>
    </row>
    <row r="76" spans="4:26" ht="21" customHeight="1" x14ac:dyDescent="0.45">
      <c r="D76" s="245" t="str">
        <v>REBER, MARKUS</v>
      </c>
      <c r="E76" s="246" t="str">
        <v>0187797</v>
      </c>
      <c r="F76" s="273" t="str">
        <v>GULF</v>
      </c>
      <c r="G76" s="321" t="str">
        <v>ME-3</v>
      </c>
      <c r="H76" s="325">
        <v>0</v>
      </c>
      <c r="I76" s="326">
        <v>0</v>
      </c>
      <c r="J76" s="58" t="str">
        <v>ME-3</v>
      </c>
      <c r="K76" s="326">
        <v>0</v>
      </c>
      <c r="L76" s="58" t="str">
        <v>ME-3</v>
      </c>
      <c r="M76" s="326">
        <v>0</v>
      </c>
      <c r="N76" s="58" t="str">
        <v>ME-3</v>
      </c>
      <c r="O76" s="326">
        <v>0</v>
      </c>
      <c r="P76" s="58" t="str">
        <v>OFF</v>
      </c>
      <c r="Q76" s="326">
        <v>0</v>
      </c>
      <c r="R76" s="58" t="str">
        <v>OFF</v>
      </c>
      <c r="S76" s="326">
        <v>0</v>
      </c>
      <c r="T76" s="58" t="str">
        <v>ME-3</v>
      </c>
      <c r="U76" s="326">
        <v>0</v>
      </c>
      <c r="V76" s="58" t="str">
        <v>ME-3</v>
      </c>
    </row>
    <row r="77" spans="4:26" ht="21" customHeight="1" x14ac:dyDescent="0.45">
      <c r="D77" s="245" t="str">
        <v>REED, JAMES</v>
      </c>
      <c r="E77" s="246" t="str">
        <v>1023673</v>
      </c>
      <c r="F77" s="273" t="str">
        <v>BLUE RIDGE</v>
      </c>
      <c r="G77" s="321" t="str">
        <v>ET-R</v>
      </c>
      <c r="H77" s="325">
        <v>0</v>
      </c>
      <c r="I77" s="326">
        <v>0</v>
      </c>
      <c r="J77" s="58" t="str">
        <v>ET-1</v>
      </c>
      <c r="K77" s="326">
        <v>0</v>
      </c>
      <c r="L77" s="58" t="str">
        <v>ET-1</v>
      </c>
      <c r="M77" s="326">
        <v>0</v>
      </c>
      <c r="N77" s="58" t="str">
        <v>ET-2</v>
      </c>
      <c r="O77" s="326" t="str">
        <v>DIVERTED -ST</v>
      </c>
      <c r="P77" s="58" t="str">
        <v>EE-2</v>
      </c>
      <c r="Q77" s="326">
        <v>0</v>
      </c>
      <c r="R77" s="58" t="str">
        <v>ET-3</v>
      </c>
      <c r="S77" s="326">
        <v>0</v>
      </c>
      <c r="T77" s="58" t="str">
        <v>OFF</v>
      </c>
      <c r="U77" s="326">
        <v>0</v>
      </c>
      <c r="V77" s="58" t="str">
        <v>OFF</v>
      </c>
    </row>
    <row r="78" spans="4:26" ht="21" customHeight="1" x14ac:dyDescent="0.45">
      <c r="D78" s="245" t="str">
        <v>ROBINSON, ANDY</v>
      </c>
      <c r="E78" s="246" t="str">
        <v>0146749</v>
      </c>
      <c r="F78" s="273" t="str">
        <v>BLUE RIDGE</v>
      </c>
      <c r="G78" s="321" t="str">
        <v>VA-3</v>
      </c>
      <c r="H78" s="325">
        <v>0</v>
      </c>
      <c r="I78" s="326">
        <v>0</v>
      </c>
      <c r="J78" s="58" t="str">
        <v>VA-3</v>
      </c>
      <c r="K78" s="326">
        <v>0</v>
      </c>
      <c r="L78" s="58" t="str">
        <v>VA-3</v>
      </c>
      <c r="M78" s="326">
        <v>0</v>
      </c>
      <c r="N78" s="58" t="str">
        <v>VA-3</v>
      </c>
      <c r="O78" s="326">
        <v>0</v>
      </c>
      <c r="P78" s="58" t="str">
        <v>OFF</v>
      </c>
      <c r="Q78" s="326">
        <v>0</v>
      </c>
      <c r="R78" s="58" t="str">
        <v>OFF</v>
      </c>
      <c r="S78" s="326">
        <v>0</v>
      </c>
      <c r="T78" s="58" t="str">
        <v>VA-3</v>
      </c>
      <c r="U78" s="326">
        <v>0</v>
      </c>
      <c r="V78" s="58" t="str">
        <v>VA-3</v>
      </c>
    </row>
    <row r="79" spans="4:26" ht="21" customHeight="1" x14ac:dyDescent="0.45">
      <c r="D79" s="245" t="str">
        <v>ROUNSAVALL, MIKE</v>
      </c>
      <c r="E79" s="246" t="str">
        <v>0049344</v>
      </c>
      <c r="F79" s="273" t="str">
        <v>BLUE RIDGE</v>
      </c>
      <c r="G79" s="321" t="str">
        <v>KN-1</v>
      </c>
      <c r="H79" s="325">
        <v>0</v>
      </c>
      <c r="I79" s="326">
        <v>0</v>
      </c>
      <c r="J79" s="58" t="str">
        <v>OFF</v>
      </c>
      <c r="K79" s="326" t="str">
        <v>DIVERTED -ST</v>
      </c>
      <c r="L79" s="58" t="str">
        <v>SW-1</v>
      </c>
      <c r="M79" s="326">
        <v>0</v>
      </c>
      <c r="N79" s="58" t="str">
        <v>KN-1</v>
      </c>
      <c r="O79" s="326">
        <v>0</v>
      </c>
      <c r="P79" s="58" t="str">
        <v>KN-1</v>
      </c>
      <c r="Q79" s="326" t="str">
        <v>CB</v>
      </c>
      <c r="R79" s="58" t="str">
        <v>CB</v>
      </c>
      <c r="S79" s="326">
        <v>0</v>
      </c>
      <c r="T79" s="58" t="str">
        <v>KN-1</v>
      </c>
      <c r="U79" s="326">
        <v>0</v>
      </c>
      <c r="V79" s="58" t="str">
        <v>OFF</v>
      </c>
    </row>
    <row r="80" spans="4:26" ht="21" customHeight="1" x14ac:dyDescent="0.45">
      <c r="D80" s="245" t="str">
        <v>SCONIERS, KELVIN</v>
      </c>
      <c r="E80" s="246" t="str">
        <v>0117636</v>
      </c>
      <c r="F80" s="273" t="str">
        <v>COASTAL</v>
      </c>
      <c r="G80" s="321" t="str">
        <v>SV-3</v>
      </c>
      <c r="H80" s="325">
        <v>0</v>
      </c>
      <c r="I80" s="326">
        <v>0</v>
      </c>
      <c r="J80" s="58" t="str">
        <v>SV-3</v>
      </c>
      <c r="K80" s="326">
        <v>0</v>
      </c>
      <c r="L80" s="58" t="str">
        <v>SV-3</v>
      </c>
      <c r="M80" s="326">
        <v>0</v>
      </c>
      <c r="N80" s="58" t="str">
        <v>SV-3</v>
      </c>
      <c r="O80" s="326">
        <v>0</v>
      </c>
      <c r="P80" s="58" t="str">
        <v>OFF</v>
      </c>
      <c r="Q80" s="326">
        <v>0</v>
      </c>
      <c r="R80" s="58" t="str">
        <v>OFF</v>
      </c>
      <c r="S80" s="326">
        <v>0</v>
      </c>
      <c r="T80" s="58" t="str">
        <v>SV-3</v>
      </c>
      <c r="U80" s="326">
        <v>0</v>
      </c>
      <c r="V80" s="58" t="str">
        <v>SV-3</v>
      </c>
    </row>
    <row r="81" spans="4:22" ht="21" customHeight="1" x14ac:dyDescent="0.45">
      <c r="D81" s="245" t="str">
        <v>SCOTT, TROY</v>
      </c>
      <c r="E81" s="246" t="str">
        <v>0790475</v>
      </c>
      <c r="F81" s="273" t="str">
        <v>GULF</v>
      </c>
      <c r="G81" s="321" t="str">
        <v>KW-1</v>
      </c>
      <c r="H81" s="325">
        <v>0</v>
      </c>
      <c r="I81" s="326">
        <v>0</v>
      </c>
      <c r="J81" s="58" t="str">
        <v>OFF</v>
      </c>
      <c r="K81" s="326">
        <v>0</v>
      </c>
      <c r="L81" s="58" t="str">
        <v>KW-1</v>
      </c>
      <c r="M81" s="326">
        <v>0</v>
      </c>
      <c r="N81" s="58" t="str">
        <v>KW-1</v>
      </c>
      <c r="O81" s="326">
        <v>0</v>
      </c>
      <c r="P81" s="58" t="str">
        <v>KW-1</v>
      </c>
      <c r="Q81" s="326">
        <v>0</v>
      </c>
      <c r="R81" s="58" t="str">
        <v>KW-1</v>
      </c>
      <c r="S81" s="326" t="str">
        <v>CB</v>
      </c>
      <c r="T81" s="58" t="str">
        <v>CB</v>
      </c>
      <c r="U81" s="326">
        <v>0</v>
      </c>
      <c r="V81" s="58" t="str">
        <v>OFF</v>
      </c>
    </row>
    <row r="82" spans="4:22" ht="21" customHeight="1" x14ac:dyDescent="0.45">
      <c r="D82" s="245" t="str">
        <v>SHAW, ANTHONY</v>
      </c>
      <c r="E82" s="246" t="str">
        <v>1019607</v>
      </c>
      <c r="F82" s="273" t="str">
        <v>GULF</v>
      </c>
      <c r="G82" s="321" t="str">
        <v>BT-R</v>
      </c>
      <c r="H82" s="325">
        <v>0</v>
      </c>
      <c r="I82" s="326" t="str">
        <v>V-SD</v>
      </c>
      <c r="J82" s="58" t="str">
        <v>V-SD</v>
      </c>
      <c r="K82" s="326">
        <v>0</v>
      </c>
      <c r="L82" s="58" t="str">
        <v>BT-2</v>
      </c>
      <c r="M82" s="326">
        <v>0</v>
      </c>
      <c r="N82" s="58" t="str">
        <v>BT-2</v>
      </c>
      <c r="O82" s="326">
        <v>0</v>
      </c>
      <c r="P82" s="58" t="str">
        <v>BT-3</v>
      </c>
      <c r="Q82" s="326">
        <v>0</v>
      </c>
      <c r="R82" s="58" t="str">
        <v>OFF</v>
      </c>
      <c r="S82" s="326">
        <v>0</v>
      </c>
      <c r="T82" s="58" t="str">
        <v>OFF</v>
      </c>
      <c r="U82" s="326">
        <v>0</v>
      </c>
      <c r="V82" s="58" t="str">
        <v>BT-1</v>
      </c>
    </row>
    <row r="83" spans="4:22" ht="21" customHeight="1" x14ac:dyDescent="0.45">
      <c r="D83" s="245" t="str">
        <v>SHAW, JUSTIN</v>
      </c>
      <c r="E83" s="246" t="str">
        <v>1017271</v>
      </c>
      <c r="F83" s="273" t="str">
        <v>BLUE RIDGE</v>
      </c>
      <c r="G83" s="321" t="str">
        <v>NR-3</v>
      </c>
      <c r="H83" s="325">
        <v>0</v>
      </c>
      <c r="I83" s="326">
        <v>0</v>
      </c>
      <c r="J83" s="58" t="str">
        <v>NR-3</v>
      </c>
      <c r="K83" s="326">
        <v>0</v>
      </c>
      <c r="L83" s="58" t="str">
        <v>NR-3</v>
      </c>
      <c r="M83" s="326" t="str">
        <v>S-SD</v>
      </c>
      <c r="N83" s="58" t="str">
        <v>S-SD</v>
      </c>
      <c r="O83" s="326">
        <v>0</v>
      </c>
      <c r="P83" s="58" t="str">
        <v>OFF</v>
      </c>
      <c r="Q83" s="326">
        <v>0</v>
      </c>
      <c r="R83" s="58" t="str">
        <v>OFF</v>
      </c>
      <c r="S83" s="326" t="str">
        <v>S-SD</v>
      </c>
      <c r="T83" s="58" t="str">
        <v>S-SD</v>
      </c>
      <c r="U83" s="326">
        <v>0</v>
      </c>
      <c r="V83" s="58" t="str">
        <v>NR-3</v>
      </c>
    </row>
    <row r="84" spans="4:22" ht="21" customHeight="1" x14ac:dyDescent="0.45">
      <c r="D84" s="245" t="str">
        <v>SMITH, GEMOND</v>
      </c>
      <c r="E84" s="246" t="str">
        <v>0080893</v>
      </c>
      <c r="F84" s="273" t="str">
        <v>COASTAL</v>
      </c>
      <c r="G84" s="321" t="str">
        <v>CH-1</v>
      </c>
      <c r="H84" s="325">
        <v>0</v>
      </c>
      <c r="I84" s="326">
        <v>0</v>
      </c>
      <c r="J84" s="58" t="str">
        <v>OFF</v>
      </c>
      <c r="K84" s="326">
        <v>0</v>
      </c>
      <c r="L84" s="58" t="str">
        <v>OFF</v>
      </c>
      <c r="M84" s="326">
        <v>0</v>
      </c>
      <c r="N84" s="58" t="str">
        <v>CH-1</v>
      </c>
      <c r="O84" s="326">
        <v>0</v>
      </c>
      <c r="P84" s="58" t="str">
        <v>CH-1</v>
      </c>
      <c r="Q84" s="326">
        <v>0</v>
      </c>
      <c r="R84" s="58" t="str">
        <v>CH-1</v>
      </c>
      <c r="S84" s="326">
        <v>0</v>
      </c>
      <c r="T84" s="58" t="str">
        <v>CH-1</v>
      </c>
      <c r="U84" s="326">
        <v>0</v>
      </c>
      <c r="V84" s="58" t="str">
        <v>CH-1</v>
      </c>
    </row>
    <row r="85" spans="4:22" ht="21" customHeight="1" x14ac:dyDescent="0.45">
      <c r="D85" s="245" t="str">
        <v>SMITH, PATRICK</v>
      </c>
      <c r="E85" s="246" t="str">
        <v>0129319</v>
      </c>
      <c r="F85" s="273" t="str">
        <v>COASTAL</v>
      </c>
      <c r="G85" s="321" t="str">
        <v>IN-1</v>
      </c>
      <c r="H85" s="325">
        <v>0</v>
      </c>
      <c r="I85" s="326">
        <v>0</v>
      </c>
      <c r="J85" s="58" t="str">
        <v>OFF</v>
      </c>
      <c r="K85" s="326" t="str">
        <v>OVERTIME</v>
      </c>
      <c r="L85" s="58" t="str">
        <v>IN-2</v>
      </c>
      <c r="M85" s="326" t="str">
        <v>HELD OFF PAID</v>
      </c>
      <c r="N85" s="58" t="str">
        <v>HELD OFF PAID</v>
      </c>
      <c r="O85" s="326">
        <v>0</v>
      </c>
      <c r="P85" s="58" t="str">
        <v>IN-1</v>
      </c>
      <c r="Q85" s="326">
        <v>0</v>
      </c>
      <c r="R85" s="58" t="str">
        <v>IN-1</v>
      </c>
      <c r="S85" s="326">
        <v>0</v>
      </c>
      <c r="T85" s="58" t="str">
        <v>IN-1</v>
      </c>
      <c r="U85" s="326">
        <v>0</v>
      </c>
      <c r="V85" s="58" t="str">
        <v>IN-1</v>
      </c>
    </row>
    <row r="86" spans="4:22" ht="21" customHeight="1" x14ac:dyDescent="0.45">
      <c r="D86" s="245" t="str">
        <v>STEELE, DERRICK</v>
      </c>
      <c r="E86" s="246" t="str">
        <v>1017206</v>
      </c>
      <c r="F86" s="273" t="str">
        <v>GULF</v>
      </c>
      <c r="G86" s="321" t="str">
        <v>3B-3</v>
      </c>
      <c r="H86" s="325">
        <v>0</v>
      </c>
      <c r="I86" s="326">
        <v>0</v>
      </c>
      <c r="J86" s="58" t="str">
        <v>3B-3</v>
      </c>
      <c r="K86" s="326">
        <v>0</v>
      </c>
      <c r="L86" s="58" t="str">
        <v>3B-3</v>
      </c>
      <c r="M86" s="326">
        <v>0</v>
      </c>
      <c r="N86" s="58" t="str">
        <v>3B-3</v>
      </c>
      <c r="O86" s="326">
        <v>0</v>
      </c>
      <c r="P86" s="58" t="str">
        <v>OFF</v>
      </c>
      <c r="Q86" s="326">
        <v>0</v>
      </c>
      <c r="R86" s="58" t="str">
        <v>OFF</v>
      </c>
      <c r="S86" s="326">
        <v>0</v>
      </c>
      <c r="T86" s="58" t="str">
        <v>3B-3</v>
      </c>
      <c r="U86" s="326">
        <v>0</v>
      </c>
      <c r="V86" s="58" t="str">
        <v>3B-3</v>
      </c>
    </row>
    <row r="87" spans="4:22" ht="21" customHeight="1" x14ac:dyDescent="0.45">
      <c r="D87" s="245" t="str">
        <v>STURLEY, DEANNA</v>
      </c>
      <c r="E87" s="246" t="str">
        <v>0356433</v>
      </c>
      <c r="F87" s="273" t="str">
        <v>GULF</v>
      </c>
      <c r="G87" s="321" t="str">
        <v>EE-3</v>
      </c>
      <c r="H87" s="325">
        <v>0</v>
      </c>
      <c r="I87" s="326">
        <v>0</v>
      </c>
      <c r="J87" s="58" t="str">
        <v>EE-3</v>
      </c>
      <c r="K87" s="326" t="str">
        <v>S-SD</v>
      </c>
      <c r="L87" s="58" t="str">
        <v>S-SD</v>
      </c>
      <c r="M87" s="326">
        <v>0</v>
      </c>
      <c r="N87" s="58" t="str">
        <v>EE-3</v>
      </c>
      <c r="O87" s="326">
        <v>0</v>
      </c>
      <c r="P87" s="58" t="str">
        <v>EE-3</v>
      </c>
      <c r="Q87" s="326">
        <v>0</v>
      </c>
      <c r="R87" s="58" t="str">
        <v>EE-3</v>
      </c>
      <c r="S87" s="326">
        <v>0</v>
      </c>
      <c r="T87" s="58" t="str">
        <v>OFF</v>
      </c>
      <c r="U87" s="326">
        <v>0</v>
      </c>
      <c r="V87" s="58" t="str">
        <v>OFF</v>
      </c>
    </row>
    <row r="88" spans="4:22" ht="21" customHeight="1" x14ac:dyDescent="0.45">
      <c r="D88" s="245" t="str">
        <v>TALLEY, OHAN</v>
      </c>
      <c r="E88" s="246" t="str">
        <v>1026398</v>
      </c>
      <c r="F88" s="273" t="str">
        <v>BLUE RIDGE</v>
      </c>
      <c r="G88" s="321" t="str">
        <v>RT-R</v>
      </c>
      <c r="H88" s="325">
        <v>0</v>
      </c>
      <c r="I88" s="326">
        <v>0</v>
      </c>
      <c r="J88" s="58" t="str">
        <v>OFF</v>
      </c>
      <c r="K88" s="326">
        <v>0</v>
      </c>
      <c r="L88" s="58" t="str">
        <v>RT-1</v>
      </c>
      <c r="M88" s="326">
        <v>0</v>
      </c>
      <c r="N88" s="58" t="str">
        <v>RT-1</v>
      </c>
      <c r="O88" s="326">
        <v>0</v>
      </c>
      <c r="P88" s="58" t="str">
        <v>RT-2</v>
      </c>
      <c r="Q88" s="326">
        <v>0</v>
      </c>
      <c r="R88" s="58" t="str">
        <v>RT-2</v>
      </c>
      <c r="S88" s="326">
        <v>0</v>
      </c>
      <c r="T88" s="58" t="str">
        <v>RT-3</v>
      </c>
      <c r="U88" s="326">
        <v>0</v>
      </c>
      <c r="V88" s="58" t="str">
        <v>OFF</v>
      </c>
    </row>
    <row r="89" spans="4:22" ht="21" customHeight="1" x14ac:dyDescent="0.45">
      <c r="D89" s="245" t="str">
        <v>VINCENT, JAMES</v>
      </c>
      <c r="E89" s="246" t="str">
        <v>0168561</v>
      </c>
      <c r="F89" s="273" t="str">
        <v>BLUE RIDGE</v>
      </c>
      <c r="G89" s="321" t="str">
        <v>DV-3</v>
      </c>
      <c r="H89" s="325">
        <v>0</v>
      </c>
      <c r="I89" s="326">
        <v>0</v>
      </c>
      <c r="J89" s="58" t="str">
        <v>DV-3</v>
      </c>
      <c r="K89" s="326">
        <v>0</v>
      </c>
      <c r="L89" s="58" t="str">
        <v>DV-3</v>
      </c>
      <c r="M89" s="326" t="str">
        <v>PL-D</v>
      </c>
      <c r="N89" s="58" t="str">
        <v>PL-D</v>
      </c>
      <c r="O89" s="326">
        <v>0</v>
      </c>
      <c r="P89" s="58" t="str">
        <v>OFF</v>
      </c>
      <c r="Q89" s="326">
        <v>0</v>
      </c>
      <c r="R89" s="58" t="str">
        <v>OFF</v>
      </c>
      <c r="S89" s="326">
        <v>0</v>
      </c>
      <c r="T89" s="58" t="str">
        <v>DV-3</v>
      </c>
      <c r="U89" s="326">
        <v>0</v>
      </c>
      <c r="V89" s="58" t="str">
        <v>DV-3</v>
      </c>
    </row>
    <row r="90" spans="4:22" ht="21" customHeight="1" x14ac:dyDescent="0.45">
      <c r="D90" s="245" t="str">
        <v>WALKER, RODERICK</v>
      </c>
      <c r="E90" s="246" t="str">
        <v>1007689</v>
      </c>
      <c r="F90" s="273" t="str">
        <v>GULF</v>
      </c>
      <c r="G90" s="321" t="str">
        <v>EE-R</v>
      </c>
      <c r="H90" s="325">
        <v>0</v>
      </c>
      <c r="I90" s="326">
        <v>0</v>
      </c>
      <c r="J90" s="58" t="str">
        <v>OFF</v>
      </c>
      <c r="K90" s="326">
        <v>0</v>
      </c>
      <c r="L90" s="58" t="str">
        <v>EE-1</v>
      </c>
      <c r="M90" s="326" t="str">
        <v>S-SD</v>
      </c>
      <c r="N90" s="58" t="str">
        <v>S-SD</v>
      </c>
      <c r="O90" s="326" t="str">
        <v>DIVERTED -ST</v>
      </c>
      <c r="P90" s="58" t="str">
        <v>3B-2</v>
      </c>
      <c r="Q90" s="326">
        <v>0</v>
      </c>
      <c r="R90" s="58" t="str">
        <v>EE-2</v>
      </c>
      <c r="S90" s="326">
        <v>0</v>
      </c>
      <c r="T90" s="58" t="str">
        <v>EE-3</v>
      </c>
      <c r="U90" s="326">
        <v>0</v>
      </c>
      <c r="V90" s="58" t="str">
        <v>OFF</v>
      </c>
    </row>
    <row r="91" spans="4:22" ht="21" customHeight="1" x14ac:dyDescent="0.45">
      <c r="D91" s="245" t="str">
        <v>WATERS, MICHAEL</v>
      </c>
      <c r="E91" s="246" t="str">
        <v>0394254</v>
      </c>
      <c r="F91" s="273" t="str">
        <v>GULF</v>
      </c>
      <c r="G91" s="321" t="str">
        <v>BT-1</v>
      </c>
      <c r="H91" s="325">
        <v>0</v>
      </c>
      <c r="I91" s="326">
        <v>0</v>
      </c>
      <c r="J91" s="58" t="str">
        <v>OFF</v>
      </c>
      <c r="K91" s="326">
        <v>0</v>
      </c>
      <c r="L91" s="58" t="str">
        <v>BT-1</v>
      </c>
      <c r="M91" s="326">
        <v>0</v>
      </c>
      <c r="N91" s="58" t="str">
        <v>BT-1</v>
      </c>
      <c r="O91" s="326">
        <v>0</v>
      </c>
      <c r="P91" s="58" t="str">
        <v>BT-1</v>
      </c>
      <c r="Q91" s="326">
        <v>0</v>
      </c>
      <c r="R91" s="58" t="str">
        <v>BT-1</v>
      </c>
      <c r="S91" s="326">
        <v>0</v>
      </c>
      <c r="T91" s="58" t="str">
        <v>BT-1</v>
      </c>
      <c r="U91" s="326">
        <v>0</v>
      </c>
      <c r="V91" s="58" t="str">
        <v>OFF</v>
      </c>
    </row>
    <row r="92" spans="4:22" ht="21" customHeight="1" x14ac:dyDescent="0.45">
      <c r="D92" s="245" t="str">
        <v>WATROUS, ERIC</v>
      </c>
      <c r="E92" s="246" t="str">
        <v>0341341</v>
      </c>
      <c r="F92" s="273" t="str">
        <v>BLUE RIDGE</v>
      </c>
      <c r="G92" s="321" t="str">
        <v>KN-R</v>
      </c>
      <c r="H92" s="325">
        <v>0</v>
      </c>
      <c r="I92" s="326">
        <v>0</v>
      </c>
      <c r="J92" s="58" t="str">
        <v>KN-1</v>
      </c>
      <c r="K92" s="326" t="str">
        <v>S-SD</v>
      </c>
      <c r="L92" s="58" t="str">
        <v>S-SD</v>
      </c>
      <c r="M92" s="326" t="str">
        <v>S-SD</v>
      </c>
      <c r="N92" s="58" t="str">
        <v>S-SD</v>
      </c>
      <c r="O92" s="326" t="str">
        <v>S-SD</v>
      </c>
      <c r="P92" s="58" t="str">
        <v>S-SD</v>
      </c>
      <c r="Q92" s="326">
        <v>0</v>
      </c>
      <c r="R92" s="58" t="str">
        <v>OFF</v>
      </c>
      <c r="S92" s="326">
        <v>0</v>
      </c>
      <c r="T92" s="58" t="str">
        <v>OFF</v>
      </c>
      <c r="U92" s="326">
        <v>0</v>
      </c>
      <c r="V92" s="58" t="str">
        <v>KN-1</v>
      </c>
    </row>
    <row r="93" spans="4:22" ht="21" customHeight="1" x14ac:dyDescent="0.45">
      <c r="D93" s="245" t="str">
        <v>WILLIAMS, JASMINE</v>
      </c>
      <c r="E93" s="246" t="str">
        <v>1015459</v>
      </c>
      <c r="F93" s="273" t="str">
        <v>COASTAL</v>
      </c>
      <c r="G93" s="321" t="str">
        <v>SE-R</v>
      </c>
      <c r="H93" s="325">
        <v>0</v>
      </c>
      <c r="I93" s="326">
        <v>0</v>
      </c>
      <c r="J93" s="58" t="str">
        <v>OFF</v>
      </c>
      <c r="K93" s="326">
        <v>0</v>
      </c>
      <c r="L93" s="58" t="str">
        <v>OFF</v>
      </c>
      <c r="M93" s="326">
        <v>0</v>
      </c>
      <c r="N93" s="58" t="str">
        <v>SE-1</v>
      </c>
      <c r="O93" s="326">
        <v>0</v>
      </c>
      <c r="P93" s="58" t="str">
        <v>SE-1</v>
      </c>
      <c r="Q93" s="326">
        <v>0</v>
      </c>
      <c r="R93" s="58" t="str">
        <v>SE-2</v>
      </c>
      <c r="S93" s="326">
        <v>0</v>
      </c>
      <c r="T93" s="58" t="str">
        <v>SE-2</v>
      </c>
      <c r="U93" s="326">
        <v>0</v>
      </c>
      <c r="V93" s="58" t="str">
        <v>SE-3</v>
      </c>
    </row>
    <row r="94" spans="4:22" ht="21" customHeight="1" x14ac:dyDescent="0.45">
      <c r="D94" s="245" t="str">
        <v>WILLIAMS, RICHARD</v>
      </c>
      <c r="E94" s="246" t="str">
        <v>0125455</v>
      </c>
      <c r="F94" s="273" t="str">
        <v>BLUE RIDGE ATW</v>
      </c>
      <c r="G94" s="321" t="str">
        <v>BR3 ATW</v>
      </c>
      <c r="H94" s="325">
        <v>0</v>
      </c>
      <c r="I94" s="326">
        <v>0</v>
      </c>
      <c r="J94" s="58" t="str">
        <v>OFF</v>
      </c>
      <c r="K94" s="326">
        <v>0</v>
      </c>
      <c r="L94" s="58" t="str">
        <v>OFF</v>
      </c>
      <c r="M94" s="326" t="str">
        <v>V-SD</v>
      </c>
      <c r="N94" s="58" t="str">
        <v>V-SD</v>
      </c>
      <c r="O94" s="326" t="str">
        <v>PL-D</v>
      </c>
      <c r="P94" s="58" t="str">
        <v>PL-D</v>
      </c>
      <c r="Q94" s="326">
        <v>0</v>
      </c>
      <c r="R94" s="58" t="str">
        <v>DV-3</v>
      </c>
      <c r="S94" s="326">
        <v>0</v>
      </c>
      <c r="T94" s="58" t="str">
        <v>HG-3</v>
      </c>
      <c r="U94" s="326">
        <v>0</v>
      </c>
      <c r="V94" s="58" t="str">
        <v>OPEN</v>
      </c>
    </row>
    <row r="95" spans="4:22" ht="21" customHeight="1" x14ac:dyDescent="0.45">
      <c r="D95" s="245" t="str">
        <v>WILSON, AISHA</v>
      </c>
      <c r="E95" s="246" t="str">
        <v>1015875</v>
      </c>
      <c r="F95" s="273" t="str">
        <v>BLUE RIDGE</v>
      </c>
      <c r="G95" s="321" t="str">
        <v>VA-R</v>
      </c>
      <c r="H95" s="325">
        <v>0</v>
      </c>
      <c r="I95" s="326">
        <v>0</v>
      </c>
      <c r="J95" s="58" t="str">
        <v>VA-1</v>
      </c>
      <c r="K95" s="326">
        <v>0</v>
      </c>
      <c r="L95" s="58" t="str">
        <v>VA-2</v>
      </c>
      <c r="M95" s="326">
        <v>0</v>
      </c>
      <c r="N95" s="58" t="str">
        <v>VA-2</v>
      </c>
      <c r="O95" s="326">
        <v>0</v>
      </c>
      <c r="P95" s="58" t="str">
        <v>VA-3</v>
      </c>
      <c r="Q95" s="326">
        <v>0</v>
      </c>
      <c r="R95" s="58" t="str">
        <v>OFF</v>
      </c>
      <c r="S95" s="326">
        <v>0</v>
      </c>
      <c r="T95" s="58" t="str">
        <v>OFF</v>
      </c>
      <c r="U95" s="326">
        <v>0</v>
      </c>
      <c r="V95" s="58" t="str">
        <v>VA-1</v>
      </c>
    </row>
    <row r="96" spans="4:22" ht="21" customHeight="1" x14ac:dyDescent="0.45">
      <c r="D96" s="245" t="str">
        <v>WOODS, RAMONNE</v>
      </c>
      <c r="E96" s="246" t="str">
        <v>0156227</v>
      </c>
      <c r="F96" s="273" t="str">
        <v>BLUE RIDGE</v>
      </c>
      <c r="G96" s="321" t="str">
        <v>DV-2</v>
      </c>
      <c r="H96" s="325">
        <v>0</v>
      </c>
      <c r="I96" s="326" t="str">
        <v>S-SD</v>
      </c>
      <c r="J96" s="58" t="str">
        <v>S-SD</v>
      </c>
      <c r="K96" s="326">
        <v>0</v>
      </c>
      <c r="L96" s="58" t="str">
        <v>OFF</v>
      </c>
      <c r="M96" s="326">
        <v>0</v>
      </c>
      <c r="N96" s="58" t="str">
        <v>OFF</v>
      </c>
      <c r="O96" s="326">
        <v>0</v>
      </c>
      <c r="P96" s="58" t="str">
        <v>DV-2</v>
      </c>
      <c r="Q96" s="326">
        <v>0</v>
      </c>
      <c r="R96" s="58" t="str">
        <v>DV-2</v>
      </c>
      <c r="S96" s="326">
        <v>0</v>
      </c>
      <c r="T96" s="58" t="str">
        <v>DV-2</v>
      </c>
      <c r="U96" s="326" t="str">
        <v>S-APPT</v>
      </c>
      <c r="V96" s="58" t="str">
        <v>S-APPT</v>
      </c>
    </row>
    <row r="97" spans="4:22" ht="21" customHeight="1" x14ac:dyDescent="0.45">
      <c r="D97" s="245" t="str">
        <v>YOUNGER, SAMANTHA</v>
      </c>
      <c r="E97" s="246" t="str">
        <v>0378427</v>
      </c>
      <c r="F97" s="273" t="str">
        <v>BLUE RIDGE</v>
      </c>
      <c r="G97" s="321" t="str">
        <v>PO-3</v>
      </c>
      <c r="H97" s="325">
        <v>0</v>
      </c>
      <c r="I97" s="326">
        <v>0</v>
      </c>
      <c r="J97" s="58" t="str">
        <v>PO-3</v>
      </c>
      <c r="K97" s="326">
        <v>0</v>
      </c>
      <c r="L97" s="58" t="str">
        <v>PO-3</v>
      </c>
      <c r="M97" s="326">
        <v>0</v>
      </c>
      <c r="N97" s="58" t="str">
        <v>PO-3</v>
      </c>
      <c r="O97" s="326">
        <v>0</v>
      </c>
      <c r="P97" s="58" t="str">
        <v>OFF</v>
      </c>
      <c r="Q97" s="326">
        <v>0</v>
      </c>
      <c r="R97" s="58" t="str">
        <v>OFF</v>
      </c>
      <c r="S97" s="326">
        <v>0</v>
      </c>
      <c r="T97" s="58" t="str">
        <v>PO-3</v>
      </c>
      <c r="U97" s="326">
        <v>0</v>
      </c>
      <c r="V97" s="58" t="str">
        <v>PO-3</v>
      </c>
    </row>
    <row r="98" spans="4:22" ht="21" customHeight="1" x14ac:dyDescent="0.45">
      <c r="D98" s="245"/>
      <c r="E98" s="246"/>
      <c r="F98" s="273"/>
      <c r="G98" s="321"/>
      <c r="H98" s="325"/>
      <c r="I98" s="326"/>
      <c r="J98" s="58"/>
      <c r="K98" s="326"/>
      <c r="L98" s="58"/>
      <c r="M98" s="326"/>
      <c r="N98" s="58"/>
      <c r="O98" s="326"/>
      <c r="P98" s="58"/>
      <c r="Q98" s="326"/>
      <c r="R98" s="58"/>
      <c r="S98" s="326"/>
      <c r="T98" s="58"/>
      <c r="U98" s="326"/>
      <c r="V98" s="58"/>
    </row>
    <row r="99" spans="4:22" ht="21" customHeight="1" x14ac:dyDescent="0.45">
      <c r="D99" s="245"/>
      <c r="E99" s="246"/>
      <c r="F99" s="273"/>
      <c r="G99" s="321"/>
      <c r="H99" s="325"/>
      <c r="I99" s="326"/>
      <c r="J99" s="58"/>
      <c r="K99" s="326"/>
      <c r="L99" s="58"/>
      <c r="M99" s="326"/>
      <c r="N99" s="58"/>
      <c r="O99" s="326"/>
      <c r="P99" s="58"/>
      <c r="Q99" s="326"/>
      <c r="R99" s="58"/>
      <c r="S99" s="326"/>
      <c r="T99" s="58"/>
      <c r="U99" s="326"/>
      <c r="V99" s="58"/>
    </row>
    <row r="100" spans="4:22" ht="21" customHeight="1" x14ac:dyDescent="0.45">
      <c r="D100" s="245"/>
      <c r="E100" s="246"/>
      <c r="F100" s="273"/>
      <c r="G100" s="321"/>
      <c r="H100" s="325"/>
      <c r="I100" s="326"/>
      <c r="J100" s="58"/>
      <c r="K100" s="326"/>
      <c r="L100" s="58"/>
      <c r="M100" s="326"/>
      <c r="N100" s="58"/>
      <c r="O100" s="326"/>
      <c r="P100" s="58"/>
      <c r="Q100" s="326"/>
      <c r="R100" s="58"/>
      <c r="S100" s="326"/>
      <c r="T100" s="58"/>
      <c r="U100" s="326"/>
      <c r="V100" s="58"/>
    </row>
    <row r="101" spans="4:22" ht="21" customHeight="1" x14ac:dyDescent="0.45">
      <c r="D101" s="245"/>
      <c r="E101" s="246"/>
      <c r="F101" s="273"/>
      <c r="G101" s="321"/>
      <c r="H101" s="325"/>
      <c r="I101" s="326"/>
      <c r="J101" s="58"/>
      <c r="K101" s="326"/>
      <c r="L101" s="58"/>
      <c r="M101" s="326"/>
      <c r="N101" s="58"/>
      <c r="O101" s="326"/>
      <c r="P101" s="58"/>
      <c r="Q101" s="326"/>
      <c r="R101" s="58"/>
      <c r="S101" s="326"/>
      <c r="T101" s="58"/>
      <c r="U101" s="326"/>
      <c r="V101" s="58"/>
    </row>
    <row r="102" spans="4:22" ht="21" customHeight="1" thickBot="1" x14ac:dyDescent="0.5">
      <c r="D102" s="245"/>
      <c r="E102" s="246"/>
      <c r="F102" s="273"/>
      <c r="G102" s="321"/>
      <c r="H102" s="325"/>
      <c r="I102" s="326"/>
      <c r="J102" s="58"/>
      <c r="K102" s="326"/>
      <c r="L102" s="58"/>
      <c r="M102" s="326"/>
      <c r="N102" s="58"/>
      <c r="O102" s="326"/>
      <c r="P102" s="58"/>
      <c r="Q102" s="326"/>
      <c r="R102" s="58"/>
      <c r="S102" s="326"/>
      <c r="T102" s="58"/>
      <c r="U102" s="326"/>
      <c r="V102" s="58"/>
    </row>
    <row r="103" spans="4:22" ht="17.25" customHeight="1" x14ac:dyDescent="0.35">
      <c r="D103" s="458" t="s">
        <v>222</v>
      </c>
      <c r="E103" s="459"/>
      <c r="F103" s="459"/>
      <c r="G103" s="459"/>
      <c r="H103" s="459"/>
      <c r="I103" s="459"/>
      <c r="J103" s="459"/>
      <c r="K103" s="459"/>
      <c r="L103" s="459"/>
      <c r="M103" s="459"/>
      <c r="N103" s="459"/>
      <c r="O103" s="459"/>
      <c r="P103" s="459"/>
      <c r="Q103" s="459"/>
      <c r="R103" s="459"/>
      <c r="S103" s="459"/>
      <c r="T103" s="459"/>
      <c r="U103" s="459"/>
      <c r="V103" s="460"/>
    </row>
    <row r="104" spans="4:22" ht="17.25" customHeight="1" thickBot="1" x14ac:dyDescent="0.4">
      <c r="D104" s="461"/>
      <c r="E104" s="462"/>
      <c r="F104" s="462"/>
      <c r="G104" s="462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3"/>
    </row>
    <row r="105" spans="4:22" ht="21" customHeight="1" x14ac:dyDescent="0.45">
      <c r="D105" s="245" t="str" cm="1">
        <f t="array" ref="D105:V106">_xlfn._xlws.FILTER(Sheet1!A2:S333,Sheet1!T2:T333="OTP","None Found")</f>
        <v>BOUCHARD, SHARLIE</v>
      </c>
      <c r="E105" s="246" t="str">
        <v>1028936</v>
      </c>
      <c r="F105" s="273" t="str">
        <v>OTP</v>
      </c>
      <c r="G105" s="321" t="str">
        <v>OTP</v>
      </c>
      <c r="H105" s="325" t="str">
        <v>CG-R</v>
      </c>
      <c r="I105" s="326" t="str">
        <v>DIVERTED -ST</v>
      </c>
      <c r="J105" s="58" t="str">
        <v>CD-1</v>
      </c>
      <c r="K105" s="326" t="str">
        <v>HOLD DOWN</v>
      </c>
      <c r="L105" s="58" t="str">
        <v>CG-2</v>
      </c>
      <c r="M105" s="326" t="str">
        <v>HOLD DOWN</v>
      </c>
      <c r="N105" s="58" t="str">
        <v>CG-2</v>
      </c>
      <c r="O105" s="326" t="str">
        <v>HOLD DOWN</v>
      </c>
      <c r="P105" s="58" t="str">
        <v>CG-3</v>
      </c>
      <c r="Q105" s="326" t="str">
        <v>HOLD DOWN</v>
      </c>
      <c r="R105" s="58" t="str">
        <v>OFF</v>
      </c>
      <c r="S105" s="326" t="str">
        <v>HOLD DOWN</v>
      </c>
      <c r="T105" s="58" t="str">
        <v>OFF</v>
      </c>
      <c r="U105" s="326" t="str">
        <v>HOLD DOWN</v>
      </c>
      <c r="V105" s="58" t="str">
        <v>CG-1</v>
      </c>
    </row>
    <row r="106" spans="4:22" ht="21" customHeight="1" x14ac:dyDescent="0.45">
      <c r="D106" s="245" t="str">
        <v>JEROME, ELDA</v>
      </c>
      <c r="E106" s="246" t="str">
        <v>1015723</v>
      </c>
      <c r="F106" s="273" t="str">
        <v>OTP</v>
      </c>
      <c r="G106" s="321" t="str">
        <v>OTP</v>
      </c>
      <c r="H106" s="325">
        <v>0</v>
      </c>
      <c r="I106" s="326" t="str">
        <v>ML</v>
      </c>
      <c r="J106" s="58" t="str">
        <v>ML</v>
      </c>
      <c r="K106" s="326" t="str">
        <v>ML</v>
      </c>
      <c r="L106" s="58" t="str">
        <v>ML</v>
      </c>
      <c r="M106" s="326" t="str">
        <v>ML</v>
      </c>
      <c r="N106" s="58" t="str">
        <v>ML</v>
      </c>
      <c r="O106" s="326" t="str">
        <v>ML</v>
      </c>
      <c r="P106" s="58" t="str">
        <v>ML</v>
      </c>
      <c r="Q106" s="326" t="str">
        <v>ML</v>
      </c>
      <c r="R106" s="58" t="str">
        <v>ML</v>
      </c>
      <c r="S106" s="326" t="str">
        <v>ML</v>
      </c>
      <c r="T106" s="58" t="str">
        <v>ML</v>
      </c>
      <c r="U106" s="326" t="str">
        <v>ML</v>
      </c>
      <c r="V106" s="58" t="str">
        <v>ML</v>
      </c>
    </row>
    <row r="107" spans="4:22" ht="21" customHeight="1" x14ac:dyDescent="0.45">
      <c r="D107" s="245"/>
      <c r="E107" s="246"/>
      <c r="F107" s="273"/>
      <c r="G107" s="321"/>
      <c r="H107" s="325"/>
      <c r="I107" s="326"/>
      <c r="J107" s="58"/>
      <c r="K107" s="326"/>
      <c r="L107" s="58"/>
      <c r="M107" s="326"/>
      <c r="N107" s="58"/>
      <c r="O107" s="326"/>
      <c r="P107" s="58"/>
      <c r="Q107" s="326"/>
      <c r="R107" s="58"/>
      <c r="S107" s="326"/>
      <c r="T107" s="58"/>
      <c r="U107" s="326"/>
      <c r="V107" s="58"/>
    </row>
    <row r="108" spans="4:22" ht="21" customHeight="1" x14ac:dyDescent="0.45">
      <c r="D108" s="245"/>
      <c r="E108" s="246"/>
      <c r="F108" s="273"/>
      <c r="G108" s="321"/>
      <c r="H108" s="325"/>
      <c r="I108" s="326"/>
      <c r="J108" s="58"/>
      <c r="K108" s="326"/>
      <c r="L108" s="58"/>
      <c r="M108" s="326"/>
      <c r="N108" s="58"/>
      <c r="O108" s="326"/>
      <c r="P108" s="58"/>
      <c r="Q108" s="326"/>
      <c r="R108" s="58"/>
      <c r="S108" s="326"/>
      <c r="T108" s="58"/>
      <c r="U108" s="326"/>
      <c r="V108" s="58"/>
    </row>
    <row r="109" spans="4:22" ht="21" customHeight="1" x14ac:dyDescent="0.45">
      <c r="D109" s="245"/>
      <c r="E109" s="246"/>
      <c r="F109" s="273"/>
      <c r="G109" s="321"/>
      <c r="H109" s="325"/>
      <c r="I109" s="326"/>
      <c r="J109" s="58"/>
      <c r="K109" s="326"/>
      <c r="L109" s="58"/>
      <c r="M109" s="326"/>
      <c r="N109" s="58"/>
      <c r="O109" s="326"/>
      <c r="P109" s="58"/>
      <c r="Q109" s="326"/>
      <c r="R109" s="58"/>
      <c r="S109" s="326"/>
      <c r="T109" s="58"/>
      <c r="U109" s="326"/>
      <c r="V109" s="58"/>
    </row>
    <row r="110" spans="4:22" ht="21" customHeight="1" x14ac:dyDescent="0.45">
      <c r="D110" s="245"/>
      <c r="E110" s="246"/>
      <c r="F110" s="273"/>
      <c r="G110" s="321"/>
      <c r="H110" s="325"/>
      <c r="I110" s="326"/>
      <c r="J110" s="58"/>
      <c r="K110" s="326"/>
      <c r="L110" s="58"/>
      <c r="M110" s="326"/>
      <c r="N110" s="58"/>
      <c r="O110" s="326"/>
      <c r="P110" s="58"/>
      <c r="Q110" s="326"/>
      <c r="R110" s="58"/>
      <c r="S110" s="326"/>
      <c r="T110" s="58"/>
      <c r="U110" s="326"/>
      <c r="V110" s="58"/>
    </row>
    <row r="111" spans="4:22" ht="21" customHeight="1" x14ac:dyDescent="0.45">
      <c r="D111" s="245"/>
      <c r="E111" s="246"/>
      <c r="F111" s="273"/>
      <c r="G111" s="321"/>
      <c r="H111" s="325"/>
      <c r="I111" s="326"/>
      <c r="J111" s="58"/>
      <c r="K111" s="326"/>
      <c r="L111" s="58"/>
      <c r="M111" s="326"/>
      <c r="N111" s="58"/>
      <c r="O111" s="326"/>
      <c r="P111" s="58"/>
      <c r="Q111" s="326"/>
      <c r="R111" s="58"/>
      <c r="S111" s="326"/>
      <c r="T111" s="58"/>
      <c r="U111" s="326"/>
      <c r="V111" s="58"/>
    </row>
    <row r="112" spans="4:22" ht="21" customHeight="1" x14ac:dyDescent="0.45">
      <c r="D112" s="245"/>
      <c r="E112" s="246"/>
      <c r="F112" s="273"/>
      <c r="G112" s="321"/>
      <c r="H112" s="325"/>
      <c r="I112" s="326"/>
      <c r="J112" s="58"/>
      <c r="K112" s="326"/>
      <c r="L112" s="58"/>
      <c r="M112" s="326"/>
      <c r="N112" s="58"/>
      <c r="O112" s="326"/>
      <c r="P112" s="58"/>
      <c r="Q112" s="326"/>
      <c r="R112" s="58"/>
      <c r="S112" s="326"/>
      <c r="T112" s="58"/>
      <c r="U112" s="326"/>
      <c r="V112" s="58"/>
    </row>
    <row r="113" spans="4:22" ht="21" customHeight="1" x14ac:dyDescent="0.45">
      <c r="D113" s="245"/>
      <c r="E113" s="246"/>
      <c r="F113" s="273"/>
      <c r="G113" s="321"/>
      <c r="H113" s="325"/>
      <c r="I113" s="326"/>
      <c r="J113" s="58"/>
      <c r="K113" s="326"/>
      <c r="L113" s="58"/>
      <c r="M113" s="326"/>
      <c r="N113" s="58"/>
      <c r="O113" s="326"/>
      <c r="P113" s="58"/>
      <c r="Q113" s="326"/>
      <c r="R113" s="58"/>
      <c r="S113" s="326"/>
      <c r="T113" s="58"/>
      <c r="U113" s="326"/>
      <c r="V113" s="58"/>
    </row>
    <row r="114" spans="4:22" ht="21" customHeight="1" x14ac:dyDescent="0.45">
      <c r="D114" s="245"/>
      <c r="E114" s="246"/>
      <c r="F114" s="273"/>
      <c r="G114" s="321"/>
      <c r="H114" s="325"/>
      <c r="I114" s="326"/>
      <c r="J114" s="58"/>
      <c r="K114" s="326"/>
      <c r="L114" s="58"/>
      <c r="M114" s="326"/>
      <c r="N114" s="58"/>
      <c r="O114" s="326"/>
      <c r="P114" s="58"/>
      <c r="Q114" s="326"/>
      <c r="R114" s="58"/>
      <c r="S114" s="326"/>
      <c r="T114" s="58"/>
      <c r="U114" s="326"/>
      <c r="V114" s="58"/>
    </row>
    <row r="115" spans="4:22" ht="21" customHeight="1" x14ac:dyDescent="0.45">
      <c r="D115" s="245"/>
      <c r="E115" s="246"/>
      <c r="F115" s="273"/>
      <c r="G115" s="321"/>
      <c r="H115" s="325"/>
      <c r="I115" s="326"/>
      <c r="J115" s="58"/>
      <c r="K115" s="326"/>
      <c r="L115" s="58"/>
      <c r="M115" s="326"/>
      <c r="N115" s="58"/>
      <c r="O115" s="326"/>
      <c r="P115" s="58"/>
      <c r="Q115" s="326"/>
      <c r="R115" s="58"/>
      <c r="S115" s="326"/>
      <c r="T115" s="58"/>
      <c r="U115" s="326"/>
      <c r="V115" s="58"/>
    </row>
    <row r="116" spans="4:22" ht="21" customHeight="1" x14ac:dyDescent="0.45">
      <c r="D116" s="245"/>
      <c r="E116" s="246"/>
      <c r="F116" s="273"/>
      <c r="G116" s="321"/>
      <c r="H116" s="325"/>
      <c r="I116" s="326"/>
      <c r="J116" s="58"/>
      <c r="K116" s="326"/>
      <c r="L116" s="58"/>
      <c r="M116" s="326"/>
      <c r="N116" s="58"/>
      <c r="O116" s="326"/>
      <c r="P116" s="58"/>
      <c r="Q116" s="326"/>
      <c r="R116" s="58"/>
      <c r="S116" s="326"/>
      <c r="T116" s="58"/>
      <c r="U116" s="326"/>
      <c r="V116" s="58"/>
    </row>
    <row r="117" spans="4:22" ht="21" customHeight="1" x14ac:dyDescent="0.45">
      <c r="D117" s="245"/>
      <c r="E117" s="246"/>
      <c r="F117" s="273"/>
      <c r="G117" s="321"/>
      <c r="H117" s="325"/>
      <c r="I117" s="326"/>
      <c r="J117" s="58"/>
      <c r="K117" s="326"/>
      <c r="L117" s="58"/>
      <c r="M117" s="326"/>
      <c r="N117" s="58"/>
      <c r="O117" s="326"/>
      <c r="P117" s="58"/>
      <c r="Q117" s="326"/>
      <c r="R117" s="58"/>
      <c r="S117" s="326"/>
      <c r="T117" s="58"/>
      <c r="U117" s="326"/>
      <c r="V117" s="58"/>
    </row>
    <row r="118" spans="4:22" ht="21" customHeight="1" x14ac:dyDescent="0.45">
      <c r="D118" s="245"/>
      <c r="E118" s="246"/>
      <c r="F118" s="273"/>
      <c r="G118" s="321"/>
      <c r="H118" s="325"/>
      <c r="I118" s="326"/>
      <c r="J118" s="58"/>
      <c r="K118" s="326"/>
      <c r="L118" s="58"/>
      <c r="M118" s="326"/>
      <c r="N118" s="58"/>
      <c r="O118" s="326"/>
      <c r="P118" s="58"/>
      <c r="Q118" s="326"/>
      <c r="R118" s="58"/>
      <c r="S118" s="326"/>
      <c r="T118" s="58"/>
      <c r="U118" s="326"/>
      <c r="V118" s="58"/>
    </row>
    <row r="119" spans="4:22" ht="21" customHeight="1" thickBot="1" x14ac:dyDescent="0.5">
      <c r="D119" s="245"/>
      <c r="E119" s="246"/>
      <c r="F119" s="273"/>
      <c r="G119" s="321"/>
      <c r="H119" s="325"/>
      <c r="I119" s="326"/>
      <c r="J119" s="58"/>
      <c r="K119" s="326"/>
      <c r="L119" s="58"/>
      <c r="M119" s="326"/>
      <c r="N119" s="58"/>
      <c r="O119" s="326"/>
      <c r="P119" s="58"/>
      <c r="Q119" s="326"/>
      <c r="R119" s="58"/>
      <c r="S119" s="326"/>
      <c r="T119" s="58"/>
      <c r="U119" s="326"/>
      <c r="V119" s="58"/>
    </row>
    <row r="120" spans="4:22" ht="17.25" customHeight="1" x14ac:dyDescent="0.35">
      <c r="D120" s="485" t="s">
        <v>1132</v>
      </c>
      <c r="E120" s="486"/>
      <c r="F120" s="486"/>
      <c r="G120" s="486"/>
      <c r="H120" s="486"/>
      <c r="I120" s="486"/>
      <c r="J120" s="486"/>
      <c r="K120" s="486"/>
      <c r="L120" s="486"/>
      <c r="M120" s="486"/>
      <c r="N120" s="486"/>
      <c r="O120" s="486"/>
      <c r="P120" s="486"/>
      <c r="Q120" s="486"/>
      <c r="R120" s="486"/>
      <c r="S120" s="486"/>
      <c r="T120" s="486"/>
      <c r="U120" s="486"/>
      <c r="V120" s="487"/>
    </row>
    <row r="121" spans="4:22" ht="17.25" customHeight="1" thickBot="1" x14ac:dyDescent="0.4">
      <c r="D121" s="488"/>
      <c r="E121" s="489"/>
      <c r="F121" s="489"/>
      <c r="G121" s="489"/>
      <c r="H121" s="489"/>
      <c r="I121" s="489"/>
      <c r="J121" s="489"/>
      <c r="K121" s="489"/>
      <c r="L121" s="489"/>
      <c r="M121" s="489"/>
      <c r="N121" s="489"/>
      <c r="O121" s="489"/>
      <c r="P121" s="489"/>
      <c r="Q121" s="489"/>
      <c r="R121" s="489"/>
      <c r="S121" s="489"/>
      <c r="T121" s="489"/>
      <c r="U121" s="489"/>
      <c r="V121" s="490"/>
    </row>
    <row r="122" spans="4:22" ht="21" customHeight="1" x14ac:dyDescent="0.45">
      <c r="D122" s="241" t="str" cm="1">
        <f t="array" ref="D122:V133">_xlfn._xlws.FILTER(Sheet1!A2:S333,Sheet1!T2:T333=AH1)</f>
        <v>BELCHER, MATT</v>
      </c>
      <c r="E122" s="242" t="str">
        <v>0379554</v>
      </c>
      <c r="F122" s="327" t="str">
        <v>COASTAL - ACD</v>
      </c>
      <c r="G122" s="328" t="str">
        <v>CO ACD-1-GOLD</v>
      </c>
      <c r="H122" s="322">
        <v>0</v>
      </c>
      <c r="I122" s="323">
        <v>0</v>
      </c>
      <c r="J122" s="324" t="str">
        <v>ACD1-CO</v>
      </c>
      <c r="K122" s="323">
        <v>0</v>
      </c>
      <c r="L122" s="324" t="str">
        <v>ACD1-CO</v>
      </c>
      <c r="M122" s="323">
        <v>0</v>
      </c>
      <c r="N122" s="324" t="str">
        <v>ACD1-CO</v>
      </c>
      <c r="O122" s="323">
        <v>0</v>
      </c>
      <c r="P122" s="324" t="str">
        <v>ACD1-CO</v>
      </c>
      <c r="Q122" s="323">
        <v>0</v>
      </c>
      <c r="R122" s="324" t="str">
        <v>OFF</v>
      </c>
      <c r="S122" s="323">
        <v>0</v>
      </c>
      <c r="T122" s="324" t="str">
        <v>OFF</v>
      </c>
      <c r="U122" s="323">
        <v>0</v>
      </c>
      <c r="V122" s="324" t="str">
        <v>OFF</v>
      </c>
    </row>
    <row r="123" spans="4:22" ht="21" customHeight="1" x14ac:dyDescent="0.45">
      <c r="D123" s="245" t="str">
        <v>CALHOUN, ARRICA</v>
      </c>
      <c r="E123" s="246" t="str">
        <v>0192123</v>
      </c>
      <c r="F123" s="273" t="str">
        <v>GULF - ACD</v>
      </c>
      <c r="G123" s="321" t="str">
        <v>GU ACD-2-GOLD</v>
      </c>
      <c r="H123" s="325">
        <v>0</v>
      </c>
      <c r="I123" s="326" t="str">
        <v>V-SD</v>
      </c>
      <c r="J123" s="58" t="str">
        <v>V-SD</v>
      </c>
      <c r="K123" s="326" t="str">
        <v>V-SD</v>
      </c>
      <c r="L123" s="58" t="str">
        <v>V-SD</v>
      </c>
      <c r="M123" s="326" t="str">
        <v>V-SD</v>
      </c>
      <c r="N123" s="58" t="str">
        <v>V-SD</v>
      </c>
      <c r="O123" s="326" t="str">
        <v>V-SD</v>
      </c>
      <c r="P123" s="58" t="str">
        <v>V-SD</v>
      </c>
      <c r="Q123" s="326">
        <v>0</v>
      </c>
      <c r="R123" s="58" t="str">
        <v>OFF</v>
      </c>
      <c r="S123" s="326">
        <v>0</v>
      </c>
      <c r="T123" s="58" t="str">
        <v>OFF</v>
      </c>
      <c r="U123" s="326">
        <v>0</v>
      </c>
      <c r="V123" s="58" t="str">
        <v>OFF</v>
      </c>
    </row>
    <row r="124" spans="4:22" ht="21" customHeight="1" x14ac:dyDescent="0.45">
      <c r="D124" s="245" t="str">
        <v>CARLSON, MATT</v>
      </c>
      <c r="E124" s="246" t="str">
        <v>0341348</v>
      </c>
      <c r="F124" s="273" t="str">
        <v>BLUE RIDGE - ACD</v>
      </c>
      <c r="G124" s="321" t="str">
        <v>BR ACD-1-GOLD</v>
      </c>
      <c r="H124" s="325">
        <v>0</v>
      </c>
      <c r="I124" s="326">
        <v>0</v>
      </c>
      <c r="J124" s="58" t="str">
        <v>ACD1-BR</v>
      </c>
      <c r="K124" s="326">
        <v>0</v>
      </c>
      <c r="L124" s="58" t="str">
        <v>ACD1-BR</v>
      </c>
      <c r="M124" s="326">
        <v>0</v>
      </c>
      <c r="N124" s="58" t="str">
        <v>ACD1-BR</v>
      </c>
      <c r="O124" s="326">
        <v>0</v>
      </c>
      <c r="P124" s="58" t="str">
        <v>ACD1-BR</v>
      </c>
      <c r="Q124" s="326">
        <v>0</v>
      </c>
      <c r="R124" s="58" t="str">
        <v>OFF</v>
      </c>
      <c r="S124" s="326">
        <v>0</v>
      </c>
      <c r="T124" s="58" t="str">
        <v>OFF</v>
      </c>
      <c r="U124" s="326">
        <v>0</v>
      </c>
      <c r="V124" s="58" t="str">
        <v>OFF</v>
      </c>
    </row>
    <row r="125" spans="4:22" ht="21" customHeight="1" x14ac:dyDescent="0.45">
      <c r="D125" s="245" t="str">
        <v>DICKERSON, BRANDON</v>
      </c>
      <c r="E125" s="246" t="str">
        <v>1023677</v>
      </c>
      <c r="F125" s="273" t="str">
        <v>COASTAL - ACD</v>
      </c>
      <c r="G125" s="321" t="str">
        <v>CO ACD-2-BLUE</v>
      </c>
      <c r="H125" s="325">
        <v>0</v>
      </c>
      <c r="I125" s="326">
        <v>0</v>
      </c>
      <c r="J125" s="58" t="str">
        <v>OFF</v>
      </c>
      <c r="K125" s="326">
        <v>0</v>
      </c>
      <c r="L125" s="58" t="str">
        <v>OFF</v>
      </c>
      <c r="M125" s="326">
        <v>0</v>
      </c>
      <c r="N125" s="58" t="str">
        <v>OFF</v>
      </c>
      <c r="O125" s="326">
        <v>0</v>
      </c>
      <c r="P125" s="58" t="str">
        <v>OFF</v>
      </c>
      <c r="Q125" s="326">
        <v>0</v>
      </c>
      <c r="R125" s="58" t="str">
        <v>ACD2-CO</v>
      </c>
      <c r="S125" s="326">
        <v>0</v>
      </c>
      <c r="T125" s="58" t="str">
        <v>ACD2-CO</v>
      </c>
      <c r="U125" s="326">
        <v>0</v>
      </c>
      <c r="V125" s="58" t="str">
        <v>ACD2-CO</v>
      </c>
    </row>
    <row r="126" spans="4:22" ht="21" customHeight="1" x14ac:dyDescent="0.45">
      <c r="D126" s="245" t="str">
        <v>FEIGL, SARAH</v>
      </c>
      <c r="E126" s="246" t="str">
        <v>1019601</v>
      </c>
      <c r="F126" s="273" t="str">
        <v>BLUE RIDGE - ACD</v>
      </c>
      <c r="G126" s="321" t="str">
        <v>BR ACD-1-BLUE</v>
      </c>
      <c r="H126" s="325">
        <v>0</v>
      </c>
      <c r="I126" s="326" t="str">
        <v>OVERTIME</v>
      </c>
      <c r="J126" s="58" t="str">
        <v>ACD2-BR</v>
      </c>
      <c r="K126" s="326">
        <v>0</v>
      </c>
      <c r="L126" s="58" t="str">
        <v>OFF</v>
      </c>
      <c r="M126" s="326">
        <v>0</v>
      </c>
      <c r="N126" s="58" t="str">
        <v>OFF</v>
      </c>
      <c r="O126" s="326">
        <v>0</v>
      </c>
      <c r="P126" s="58" t="str">
        <v>OFF</v>
      </c>
      <c r="Q126" s="326">
        <v>0</v>
      </c>
      <c r="R126" s="58" t="str">
        <v>ACD1-BR</v>
      </c>
      <c r="S126" s="326">
        <v>0</v>
      </c>
      <c r="T126" s="58" t="str">
        <v>ACD1-BR</v>
      </c>
      <c r="U126" s="326">
        <v>0</v>
      </c>
      <c r="V126" s="58" t="str">
        <v>ACD1-BR</v>
      </c>
    </row>
    <row r="127" spans="4:22" ht="21" customHeight="1" x14ac:dyDescent="0.45">
      <c r="D127" s="245" t="str">
        <v>FOX, JEFFERY</v>
      </c>
      <c r="E127" s="246" t="str">
        <v>0013826</v>
      </c>
      <c r="F127" s="273" t="str">
        <v>GULF - ACD</v>
      </c>
      <c r="G127" s="321" t="str">
        <v>GU ACD-1-BLUE</v>
      </c>
      <c r="H127" s="325">
        <v>0</v>
      </c>
      <c r="I127" s="326">
        <v>0</v>
      </c>
      <c r="J127" s="58" t="str">
        <v>OFF</v>
      </c>
      <c r="K127" s="326">
        <v>0</v>
      </c>
      <c r="L127" s="58" t="str">
        <v>OFF</v>
      </c>
      <c r="M127" s="326">
        <v>0</v>
      </c>
      <c r="N127" s="58" t="str">
        <v>OFF</v>
      </c>
      <c r="O127" s="326">
        <v>0</v>
      </c>
      <c r="P127" s="58" t="str">
        <v>OFF</v>
      </c>
      <c r="Q127" s="326">
        <v>0</v>
      </c>
      <c r="R127" s="58" t="str">
        <v>ACD1-GU</v>
      </c>
      <c r="S127" s="326">
        <v>0</v>
      </c>
      <c r="T127" s="58" t="str">
        <v>ACD1-GU</v>
      </c>
      <c r="U127" s="326">
        <v>0</v>
      </c>
      <c r="V127" s="58" t="str">
        <v>ACD1-GU</v>
      </c>
    </row>
    <row r="128" spans="4:22" ht="21" customHeight="1" x14ac:dyDescent="0.45">
      <c r="D128" s="245" t="str">
        <v>GADDIS, CRAIG</v>
      </c>
      <c r="E128" s="246" t="str">
        <v>0191906</v>
      </c>
      <c r="F128" s="273" t="str">
        <v>COASTAL - ACD</v>
      </c>
      <c r="G128" s="321" t="str">
        <v>CO ACD-2-GOLD</v>
      </c>
      <c r="H128" s="325">
        <v>0</v>
      </c>
      <c r="I128" s="326">
        <v>0</v>
      </c>
      <c r="J128" s="58" t="str">
        <v>ACD2-CO</v>
      </c>
      <c r="K128" s="326">
        <v>0</v>
      </c>
      <c r="L128" s="58" t="str">
        <v>ACD2-CO</v>
      </c>
      <c r="M128" s="326">
        <v>0</v>
      </c>
      <c r="N128" s="58" t="str">
        <v>ACD2-CO</v>
      </c>
      <c r="O128" s="326">
        <v>0</v>
      </c>
      <c r="P128" s="58" t="str">
        <v>ACD2-CO</v>
      </c>
      <c r="Q128" s="326">
        <v>0</v>
      </c>
      <c r="R128" s="58" t="str">
        <v>OFF</v>
      </c>
      <c r="S128" s="326">
        <v>0</v>
      </c>
      <c r="T128" s="58" t="str">
        <v>OFF</v>
      </c>
      <c r="U128" s="326">
        <v>0</v>
      </c>
      <c r="V128" s="58" t="str">
        <v>OFF</v>
      </c>
    </row>
    <row r="129" spans="4:22" ht="21" customHeight="1" x14ac:dyDescent="0.45">
      <c r="D129" s="245" t="str">
        <v>HAWKINS, STEPHANIE</v>
      </c>
      <c r="E129" s="246" t="str">
        <v>1018441</v>
      </c>
      <c r="F129" s="273" t="str">
        <v>GULF - ACD</v>
      </c>
      <c r="G129" s="321" t="str">
        <v>GU ACD-2-BLUE</v>
      </c>
      <c r="H129" s="325">
        <v>0</v>
      </c>
      <c r="I129" s="326">
        <v>0</v>
      </c>
      <c r="J129" s="58" t="str">
        <v>OFF</v>
      </c>
      <c r="K129" s="326">
        <v>0</v>
      </c>
      <c r="L129" s="58" t="str">
        <v>OFF</v>
      </c>
      <c r="M129" s="326">
        <v>0</v>
      </c>
      <c r="N129" s="58" t="str">
        <v>OFF</v>
      </c>
      <c r="O129" s="326">
        <v>0</v>
      </c>
      <c r="P129" s="58" t="str">
        <v>OFF</v>
      </c>
      <c r="Q129" s="326">
        <v>0</v>
      </c>
      <c r="R129" s="58" t="str">
        <v>ACD2-GU</v>
      </c>
      <c r="S129" s="326">
        <v>0</v>
      </c>
      <c r="T129" s="58" t="str">
        <v>ACD2-GU</v>
      </c>
      <c r="U129" s="326">
        <v>0</v>
      </c>
      <c r="V129" s="58" t="str">
        <v>ACD2-GU</v>
      </c>
    </row>
    <row r="130" spans="4:22" ht="21" customHeight="1" x14ac:dyDescent="0.45">
      <c r="D130" s="245" t="str">
        <v>MOSS, ZACH</v>
      </c>
      <c r="E130" s="246" t="str">
        <v>0150382</v>
      </c>
      <c r="F130" s="273" t="str">
        <v>BLUE RIDGE - ACD</v>
      </c>
      <c r="G130" s="321" t="str">
        <v>BR ACD-2-BLUE</v>
      </c>
      <c r="H130" s="325">
        <v>0</v>
      </c>
      <c r="I130" s="326">
        <v>0</v>
      </c>
      <c r="J130" s="58" t="str">
        <v>OFF</v>
      </c>
      <c r="K130" s="326">
        <v>0</v>
      </c>
      <c r="L130" s="58" t="str">
        <v>OFF</v>
      </c>
      <c r="M130" s="326">
        <v>0</v>
      </c>
      <c r="N130" s="58" t="str">
        <v>OFF</v>
      </c>
      <c r="O130" s="326">
        <v>0</v>
      </c>
      <c r="P130" s="58" t="str">
        <v>OFF</v>
      </c>
      <c r="Q130" s="326">
        <v>0</v>
      </c>
      <c r="R130" s="58" t="str">
        <v>ACD2-BR</v>
      </c>
      <c r="S130" s="326">
        <v>0</v>
      </c>
      <c r="T130" s="58" t="str">
        <v>ACD2-BR</v>
      </c>
      <c r="U130" s="326">
        <v>0</v>
      </c>
      <c r="V130" s="58" t="str">
        <v>ACD2-BR</v>
      </c>
    </row>
    <row r="131" spans="4:22" ht="21" customHeight="1" x14ac:dyDescent="0.45">
      <c r="D131" s="245" t="str">
        <v>SCOTT, CLIFF</v>
      </c>
      <c r="E131" s="246" t="str">
        <v>0373597</v>
      </c>
      <c r="F131" s="273" t="str">
        <v>BLUE RIDGE - ACD</v>
      </c>
      <c r="G131" s="321" t="str">
        <v>BR ACD-2-GOLD</v>
      </c>
      <c r="H131" s="325">
        <v>0</v>
      </c>
      <c r="I131" s="326" t="str">
        <v>DIVERTED -ST</v>
      </c>
      <c r="J131" s="58" t="str">
        <v>ACD2-LK</v>
      </c>
      <c r="K131" s="326">
        <v>0</v>
      </c>
      <c r="L131" s="58" t="str">
        <v>ACD2-BR</v>
      </c>
      <c r="M131" s="326">
        <v>0</v>
      </c>
      <c r="N131" s="58" t="str">
        <v>ACD2-BR</v>
      </c>
      <c r="O131" s="326">
        <v>0</v>
      </c>
      <c r="P131" s="58" t="str">
        <v>ACD2-BR</v>
      </c>
      <c r="Q131" s="326">
        <v>0</v>
      </c>
      <c r="R131" s="58" t="str">
        <v>OFF</v>
      </c>
      <c r="S131" s="326">
        <v>0</v>
      </c>
      <c r="T131" s="58" t="str">
        <v>OFF</v>
      </c>
      <c r="U131" s="326">
        <v>0</v>
      </c>
      <c r="V131" s="58" t="str">
        <v>OFF</v>
      </c>
    </row>
    <row r="132" spans="4:22" ht="21" customHeight="1" x14ac:dyDescent="0.45">
      <c r="D132" s="245" t="str">
        <v>SMITH, SAM</v>
      </c>
      <c r="E132" s="246" t="str">
        <v>0393267</v>
      </c>
      <c r="F132" s="273" t="str">
        <v>COASTAL - ACD</v>
      </c>
      <c r="G132" s="321" t="str">
        <v>CO ACD-1-BLUE</v>
      </c>
      <c r="H132" s="325">
        <v>0</v>
      </c>
      <c r="I132" s="326">
        <v>0</v>
      </c>
      <c r="J132" s="58" t="str">
        <v>OFF</v>
      </c>
      <c r="K132" s="326">
        <v>0</v>
      </c>
      <c r="L132" s="58" t="str">
        <v>OFF</v>
      </c>
      <c r="M132" s="326">
        <v>0</v>
      </c>
      <c r="N132" s="58" t="str">
        <v>OFF</v>
      </c>
      <c r="O132" s="326">
        <v>0</v>
      </c>
      <c r="P132" s="58" t="str">
        <v>OFF</v>
      </c>
      <c r="Q132" s="326" t="str">
        <v>V-WK</v>
      </c>
      <c r="R132" s="58" t="str">
        <v>V-WK</v>
      </c>
      <c r="S132" s="326" t="str">
        <v>V-WK</v>
      </c>
      <c r="T132" s="58" t="str">
        <v>V-WK</v>
      </c>
      <c r="U132" s="326" t="str">
        <v>V-WK</v>
      </c>
      <c r="V132" s="58" t="str">
        <v>V-WK</v>
      </c>
    </row>
    <row r="133" spans="4:22" ht="21" customHeight="1" x14ac:dyDescent="0.45">
      <c r="D133" s="245" t="str">
        <v>SUMMERS, CLINT</v>
      </c>
      <c r="E133" s="246" t="str">
        <v>0672840</v>
      </c>
      <c r="F133" s="273" t="str">
        <v>GULF - ACD</v>
      </c>
      <c r="G133" s="321" t="str">
        <v>GU ACD-1-GOLD</v>
      </c>
      <c r="H133" s="325">
        <v>0</v>
      </c>
      <c r="I133" s="326">
        <v>0</v>
      </c>
      <c r="J133" s="58" t="str">
        <v>ACD1-GU</v>
      </c>
      <c r="K133" s="326">
        <v>0</v>
      </c>
      <c r="L133" s="58" t="str">
        <v>ACD1-GU</v>
      </c>
      <c r="M133" s="326">
        <v>0</v>
      </c>
      <c r="N133" s="58" t="str">
        <v>ACD1-GU</v>
      </c>
      <c r="O133" s="326">
        <v>0</v>
      </c>
      <c r="P133" s="58" t="str">
        <v>ACD1-GU</v>
      </c>
      <c r="Q133" s="326">
        <v>0</v>
      </c>
      <c r="R133" s="58" t="str">
        <v>OFF</v>
      </c>
      <c r="S133" s="326">
        <v>0</v>
      </c>
      <c r="T133" s="58" t="str">
        <v>OFF</v>
      </c>
      <c r="U133" s="326">
        <v>0</v>
      </c>
      <c r="V133" s="58" t="str">
        <v>OFF</v>
      </c>
    </row>
    <row r="134" spans="4:22" ht="21" customHeight="1" x14ac:dyDescent="0.45">
      <c r="D134" s="245"/>
      <c r="E134" s="246"/>
      <c r="F134" s="273"/>
      <c r="G134" s="321"/>
      <c r="H134" s="325"/>
      <c r="I134" s="326"/>
      <c r="J134" s="58"/>
      <c r="K134" s="326"/>
      <c r="L134" s="58"/>
      <c r="M134" s="326"/>
      <c r="N134" s="58"/>
      <c r="O134" s="326"/>
      <c r="P134" s="58"/>
      <c r="Q134" s="326"/>
      <c r="R134" s="58"/>
      <c r="S134" s="326"/>
      <c r="T134" s="58"/>
      <c r="U134" s="326"/>
      <c r="V134" s="58"/>
    </row>
    <row r="135" spans="4:22" ht="21" customHeight="1" x14ac:dyDescent="0.45">
      <c r="D135" s="245"/>
      <c r="E135" s="246"/>
      <c r="F135" s="273"/>
      <c r="G135" s="321"/>
      <c r="H135" s="325"/>
      <c r="I135" s="326"/>
      <c r="J135" s="58"/>
      <c r="K135" s="326"/>
      <c r="L135" s="58"/>
      <c r="M135" s="326"/>
      <c r="N135" s="58"/>
      <c r="O135" s="326"/>
      <c r="P135" s="58"/>
      <c r="Q135" s="326"/>
      <c r="R135" s="58"/>
      <c r="S135" s="326"/>
      <c r="T135" s="58"/>
      <c r="U135" s="326"/>
      <c r="V135" s="58"/>
    </row>
    <row r="136" spans="4:22" ht="21" customHeight="1" thickBot="1" x14ac:dyDescent="0.5">
      <c r="D136" s="162"/>
      <c r="E136" s="329"/>
      <c r="F136" s="330"/>
      <c r="G136" s="331"/>
      <c r="H136" s="332"/>
      <c r="I136" s="333"/>
      <c r="J136" s="334"/>
      <c r="K136" s="333"/>
      <c r="L136" s="334"/>
      <c r="M136" s="333"/>
      <c r="N136" s="334"/>
      <c r="O136" s="333"/>
      <c r="P136" s="334"/>
      <c r="Q136" s="333"/>
      <c r="R136" s="334"/>
      <c r="S136" s="333"/>
      <c r="T136" s="334"/>
      <c r="U136" s="333"/>
      <c r="V136" s="334"/>
    </row>
    <row r="137" spans="4:22" ht="17.25" customHeight="1" x14ac:dyDescent="0.35">
      <c r="D137" s="485" t="s">
        <v>1133</v>
      </c>
      <c r="E137" s="486"/>
      <c r="F137" s="486"/>
      <c r="G137" s="486"/>
      <c r="H137" s="486"/>
      <c r="I137" s="486"/>
      <c r="J137" s="486"/>
      <c r="K137" s="486"/>
      <c r="L137" s="486"/>
      <c r="M137" s="486"/>
      <c r="N137" s="486"/>
      <c r="O137" s="486"/>
      <c r="P137" s="486"/>
      <c r="Q137" s="486"/>
      <c r="R137" s="486"/>
      <c r="S137" s="486"/>
      <c r="T137" s="486"/>
      <c r="U137" s="486"/>
      <c r="V137" s="487"/>
    </row>
    <row r="138" spans="4:22" ht="17.25" customHeight="1" thickBot="1" x14ac:dyDescent="0.4">
      <c r="D138" s="488"/>
      <c r="E138" s="489"/>
      <c r="F138" s="489"/>
      <c r="G138" s="489"/>
      <c r="H138" s="489"/>
      <c r="I138" s="489"/>
      <c r="J138" s="489"/>
      <c r="K138" s="489"/>
      <c r="L138" s="489"/>
      <c r="M138" s="489"/>
      <c r="N138" s="489"/>
      <c r="O138" s="489"/>
      <c r="P138" s="489"/>
      <c r="Q138" s="489"/>
      <c r="R138" s="489"/>
      <c r="S138" s="489"/>
      <c r="T138" s="489"/>
      <c r="U138" s="489"/>
      <c r="V138" s="490"/>
    </row>
    <row r="139" spans="4:22" ht="21" customHeight="1" x14ac:dyDescent="0.45">
      <c r="D139" s="241" t="str" cm="1">
        <f t="array" ref="D139:V141">_xlfn._xlws.FILTER(Sheet1!A2:S333,Sheet1!T2:T333=AG2)</f>
        <v>DUNCAN, CRAIG</v>
      </c>
      <c r="E139" s="242" t="str">
        <v>0374752</v>
      </c>
      <c r="F139" s="327" t="str">
        <v>RELIEF ACD'S</v>
      </c>
      <c r="G139" s="328" t="str">
        <v>R-ACD-GOLD</v>
      </c>
      <c r="H139" s="322">
        <v>0</v>
      </c>
      <c r="I139" s="323">
        <v>0</v>
      </c>
      <c r="J139" s="324" t="str">
        <v>ACD1-DB</v>
      </c>
      <c r="K139" s="323">
        <v>0</v>
      </c>
      <c r="L139" s="324" t="str">
        <v>ACD1-DB</v>
      </c>
      <c r="M139" s="323">
        <v>0</v>
      </c>
      <c r="N139" s="324" t="str">
        <v>ACD1-LK</v>
      </c>
      <c r="O139" s="323">
        <v>0</v>
      </c>
      <c r="P139" s="324" t="str">
        <v>ACD1-LK</v>
      </c>
      <c r="Q139" s="323" t="str">
        <v>OVERTIME</v>
      </c>
      <c r="R139" s="324" t="str">
        <v>ACD2-DB</v>
      </c>
      <c r="S139" s="323" t="str">
        <v>OVERTIME</v>
      </c>
      <c r="T139" s="324" t="str">
        <v>ACD2-DB</v>
      </c>
      <c r="U139" s="323">
        <v>0</v>
      </c>
      <c r="V139" s="324" t="str">
        <v>OFF</v>
      </c>
    </row>
    <row r="140" spans="4:22" ht="21" customHeight="1" x14ac:dyDescent="0.45">
      <c r="D140" s="245" t="str">
        <v>PIETSCH, KYLE</v>
      </c>
      <c r="E140" s="246" t="str">
        <v>1019208</v>
      </c>
      <c r="F140" s="273" t="str">
        <v>RELIEF ACD'S</v>
      </c>
      <c r="G140" s="321" t="str">
        <v>R-ACD-GOLD</v>
      </c>
      <c r="H140" s="325">
        <v>0</v>
      </c>
      <c r="I140" s="326">
        <v>0</v>
      </c>
      <c r="J140" s="58" t="str">
        <v>ACD2-GU</v>
      </c>
      <c r="K140" s="326">
        <v>0</v>
      </c>
      <c r="L140" s="58" t="str">
        <v>ACD2-GU</v>
      </c>
      <c r="M140" s="326">
        <v>0</v>
      </c>
      <c r="N140" s="58" t="str">
        <v>ACD2-DB</v>
      </c>
      <c r="O140" s="326" t="str">
        <v>S-APPT</v>
      </c>
      <c r="P140" s="58" t="str">
        <v>S-APPT</v>
      </c>
      <c r="Q140" s="326">
        <v>0</v>
      </c>
      <c r="R140" s="58" t="str">
        <v>OFF</v>
      </c>
      <c r="S140" s="326">
        <v>0</v>
      </c>
      <c r="T140" s="58" t="str">
        <v>OFF</v>
      </c>
      <c r="U140" s="326">
        <v>0</v>
      </c>
      <c r="V140" s="58" t="str">
        <v>OFF</v>
      </c>
    </row>
    <row r="141" spans="4:22" ht="21" customHeight="1" x14ac:dyDescent="0.45">
      <c r="D141" s="245" t="str">
        <v>RUBERT, JIM</v>
      </c>
      <c r="E141" s="246" t="str">
        <v>0798819</v>
      </c>
      <c r="F141" s="273" t="str">
        <v>RELIEF ACD'S</v>
      </c>
      <c r="G141" s="321" t="str">
        <v>R-ACD-BLUE</v>
      </c>
      <c r="H141" s="325">
        <v>0</v>
      </c>
      <c r="I141" s="326">
        <v>0</v>
      </c>
      <c r="J141" s="58" t="str">
        <v>OFF</v>
      </c>
      <c r="K141" s="326">
        <v>0</v>
      </c>
      <c r="L141" s="58" t="str">
        <v>OFF</v>
      </c>
      <c r="M141" s="326">
        <v>0</v>
      </c>
      <c r="N141" s="58" t="str">
        <v>OFF</v>
      </c>
      <c r="O141" s="326">
        <v>0</v>
      </c>
      <c r="P141" s="58" t="str">
        <v>OFF</v>
      </c>
      <c r="Q141" s="326">
        <v>0</v>
      </c>
      <c r="R141" s="58" t="str">
        <v>ACD1-CO</v>
      </c>
      <c r="S141" s="326">
        <v>0</v>
      </c>
      <c r="T141" s="58" t="str">
        <v>ACD1-CO</v>
      </c>
      <c r="U141" s="326">
        <v>0</v>
      </c>
      <c r="V141" s="58" t="str">
        <v>ACD2-DB</v>
      </c>
    </row>
    <row r="142" spans="4:22" ht="21" customHeight="1" x14ac:dyDescent="0.45">
      <c r="D142" s="245"/>
      <c r="E142" s="246"/>
      <c r="F142" s="273"/>
      <c r="G142" s="321"/>
      <c r="H142" s="325"/>
      <c r="I142" s="326"/>
      <c r="J142" s="58"/>
      <c r="K142" s="326"/>
      <c r="L142" s="58"/>
      <c r="M142" s="326"/>
      <c r="N142" s="58"/>
      <c r="O142" s="326"/>
      <c r="P142" s="58"/>
      <c r="Q142" s="326"/>
      <c r="R142" s="58"/>
      <c r="S142" s="326"/>
      <c r="T142" s="58"/>
      <c r="U142" s="326"/>
      <c r="V142" s="58"/>
    </row>
    <row r="143" spans="4:22" ht="21" customHeight="1" thickBot="1" x14ac:dyDescent="0.5">
      <c r="D143" s="335"/>
      <c r="E143" s="336"/>
      <c r="F143" s="337"/>
      <c r="G143" s="338"/>
      <c r="H143" s="332"/>
      <c r="I143" s="333"/>
      <c r="J143" s="334"/>
      <c r="K143" s="333"/>
      <c r="L143" s="334"/>
      <c r="M143" s="333"/>
      <c r="N143" s="334"/>
      <c r="O143" s="333"/>
      <c r="P143" s="334"/>
      <c r="Q143" s="333"/>
      <c r="R143" s="334"/>
      <c r="S143" s="333"/>
      <c r="T143" s="334"/>
      <c r="U143" s="333"/>
      <c r="V143" s="334"/>
    </row>
    <row r="144" spans="4:22" ht="17.25" customHeight="1" x14ac:dyDescent="0.35">
      <c r="D144" s="485" t="s">
        <v>1134</v>
      </c>
      <c r="E144" s="486"/>
      <c r="F144" s="486"/>
      <c r="G144" s="486"/>
      <c r="H144" s="486"/>
      <c r="I144" s="486"/>
      <c r="J144" s="486"/>
      <c r="K144" s="486"/>
      <c r="L144" s="486"/>
      <c r="M144" s="486"/>
      <c r="N144" s="486"/>
      <c r="O144" s="486"/>
      <c r="P144" s="486"/>
      <c r="Q144" s="486"/>
      <c r="R144" s="486"/>
      <c r="S144" s="486"/>
      <c r="T144" s="486"/>
      <c r="U144" s="486"/>
      <c r="V144" s="487"/>
    </row>
    <row r="145" spans="4:22" ht="17.25" customHeight="1" thickBot="1" x14ac:dyDescent="0.4">
      <c r="D145" s="488"/>
      <c r="E145" s="489"/>
      <c r="F145" s="489"/>
      <c r="G145" s="489"/>
      <c r="H145" s="489"/>
      <c r="I145" s="489"/>
      <c r="J145" s="489"/>
      <c r="K145" s="489"/>
      <c r="L145" s="489"/>
      <c r="M145" s="489"/>
      <c r="N145" s="489"/>
      <c r="O145" s="489"/>
      <c r="P145" s="489"/>
      <c r="Q145" s="489"/>
      <c r="R145" s="489"/>
      <c r="S145" s="489"/>
      <c r="T145" s="489"/>
      <c r="U145" s="489"/>
      <c r="V145" s="490"/>
    </row>
    <row r="146" spans="4:22" ht="21" customHeight="1" x14ac:dyDescent="0.45">
      <c r="D146" s="241" t="str" cm="1">
        <f t="array" ref="D146:V167">_xlfn._xlws.FILTER(Sheet1!A2:S333,Sheet1!T2:T333=$AH$2)</f>
        <v>ALICIE, BRANDON</v>
      </c>
      <c r="E146" s="242" t="str">
        <v>0100010</v>
      </c>
      <c r="F146" s="327" t="str">
        <v>GULF - GAD</v>
      </c>
      <c r="G146" s="328" t="str">
        <v>EXTRA BOARD-GU-A</v>
      </c>
      <c r="H146" s="322">
        <v>0</v>
      </c>
      <c r="I146" s="323">
        <v>0</v>
      </c>
      <c r="J146" s="324" t="str">
        <v>OFF</v>
      </c>
      <c r="K146" s="323">
        <v>0</v>
      </c>
      <c r="L146" s="324" t="str">
        <v>OFF</v>
      </c>
      <c r="M146" s="323" t="str">
        <v>V-SD</v>
      </c>
      <c r="N146" s="324" t="str">
        <v>V-SD</v>
      </c>
      <c r="O146" s="323">
        <v>0</v>
      </c>
      <c r="P146" s="324" t="str">
        <v>RT-1</v>
      </c>
      <c r="Q146" s="323">
        <v>0</v>
      </c>
      <c r="R146" s="324" t="str">
        <v>EE-1</v>
      </c>
      <c r="S146" s="323">
        <v>0</v>
      </c>
      <c r="T146" s="324" t="str">
        <v>KW-1</v>
      </c>
      <c r="U146" s="323">
        <v>0</v>
      </c>
      <c r="V146" s="324" t="str">
        <v>AVAILABLE</v>
      </c>
    </row>
    <row r="147" spans="4:22" ht="21" customHeight="1" x14ac:dyDescent="0.45">
      <c r="D147" s="245" t="str">
        <v>CARTER, TREY</v>
      </c>
      <c r="E147" s="246" t="str">
        <v>1031694</v>
      </c>
      <c r="F147" s="273" t="str">
        <v>BLUE RIDGE - GAD</v>
      </c>
      <c r="G147" s="321" t="str">
        <v>EXTRA BOARD-BR-C</v>
      </c>
      <c r="H147" s="325">
        <v>0</v>
      </c>
      <c r="I147" s="326">
        <v>0</v>
      </c>
      <c r="J147" s="58" t="str">
        <v>NR-1</v>
      </c>
      <c r="K147" s="326">
        <v>0</v>
      </c>
      <c r="L147" s="58" t="str">
        <v>DV-1</v>
      </c>
      <c r="M147" s="326">
        <v>0</v>
      </c>
      <c r="N147" s="58" t="str">
        <v>DV-3</v>
      </c>
      <c r="O147" s="326">
        <v>0</v>
      </c>
      <c r="P147" s="58" t="str">
        <v>AVAILABLE</v>
      </c>
      <c r="Q147" s="326">
        <v>0</v>
      </c>
      <c r="R147" s="58" t="str">
        <v>OFF</v>
      </c>
      <c r="S147" s="326">
        <v>0</v>
      </c>
      <c r="T147" s="58" t="str">
        <v>OFF</v>
      </c>
      <c r="U147" s="326">
        <v>0</v>
      </c>
      <c r="V147" s="58" t="str">
        <v>DV-1</v>
      </c>
    </row>
    <row r="148" spans="4:22" ht="21" customHeight="1" x14ac:dyDescent="0.45">
      <c r="D148" s="245" t="str">
        <v>COBB, MATT</v>
      </c>
      <c r="E148" s="246" t="str">
        <v>1030360</v>
      </c>
      <c r="F148" s="273" t="str">
        <v>GULF - GAD</v>
      </c>
      <c r="G148" s="321" t="str">
        <v>EXTRA BOARD-GU-C</v>
      </c>
      <c r="H148" s="325">
        <v>0</v>
      </c>
      <c r="I148" s="326">
        <v>0</v>
      </c>
      <c r="J148" s="58" t="str">
        <v>BT-1</v>
      </c>
      <c r="K148" s="326">
        <v>0</v>
      </c>
      <c r="L148" s="58" t="str">
        <v>AVAILABLE</v>
      </c>
      <c r="M148" s="326">
        <v>0</v>
      </c>
      <c r="N148" s="58" t="str">
        <v>AVAILABLE</v>
      </c>
      <c r="O148" s="326">
        <v>0</v>
      </c>
      <c r="P148" s="58" t="str">
        <v>AVAILABLE</v>
      </c>
      <c r="Q148" s="326">
        <v>0</v>
      </c>
      <c r="R148" s="58" t="str">
        <v>OFF</v>
      </c>
      <c r="S148" s="326">
        <v>0</v>
      </c>
      <c r="T148" s="58" t="str">
        <v>OFF</v>
      </c>
      <c r="U148" s="326">
        <v>0</v>
      </c>
      <c r="V148" s="58" t="str">
        <v>ME-1</v>
      </c>
    </row>
    <row r="149" spans="4:22" ht="21" customHeight="1" x14ac:dyDescent="0.45">
      <c r="D149" s="245" t="str">
        <v>CREWS, THORNE</v>
      </c>
      <c r="E149" s="246" t="str">
        <v>1031180</v>
      </c>
      <c r="F149" s="273" t="str">
        <v>BLUE RIDGE - GAD</v>
      </c>
      <c r="G149" s="321" t="str">
        <v>EXTRA BOARD-BR-C</v>
      </c>
      <c r="H149" s="325">
        <v>0</v>
      </c>
      <c r="I149" s="326">
        <v>0</v>
      </c>
      <c r="J149" s="58" t="str">
        <v>AVAILABLE</v>
      </c>
      <c r="K149" s="326">
        <v>0</v>
      </c>
      <c r="L149" s="58" t="str">
        <v>AVAILABLE</v>
      </c>
      <c r="M149" s="326">
        <v>0</v>
      </c>
      <c r="N149" s="58" t="str">
        <v>RT-3</v>
      </c>
      <c r="O149" s="326">
        <v>0</v>
      </c>
      <c r="P149" s="58" t="str">
        <v>PO-3</v>
      </c>
      <c r="Q149" s="326">
        <v>0</v>
      </c>
      <c r="R149" s="58" t="str">
        <v>OFF</v>
      </c>
      <c r="S149" s="326">
        <v>0</v>
      </c>
      <c r="T149" s="58" t="str">
        <v>OFF</v>
      </c>
      <c r="U149" s="326">
        <v>0</v>
      </c>
      <c r="V149" s="58" t="str">
        <v>AVAILABLE</v>
      </c>
    </row>
    <row r="150" spans="4:22" ht="21" customHeight="1" x14ac:dyDescent="0.45">
      <c r="D150" s="245" t="str">
        <v>CURRY, CASEY</v>
      </c>
      <c r="E150" s="246" t="str">
        <v>1030402</v>
      </c>
      <c r="F150" s="273" t="str">
        <v>COASTAL - GAD</v>
      </c>
      <c r="G150" s="321" t="str">
        <v>EXTRA BOARD-CO-A</v>
      </c>
      <c r="H150" s="325">
        <v>0</v>
      </c>
      <c r="I150" s="326">
        <v>0</v>
      </c>
      <c r="J150" s="58" t="str">
        <v>OFF</v>
      </c>
      <c r="K150" s="326">
        <v>0</v>
      </c>
      <c r="L150" s="58" t="str">
        <v>OFF</v>
      </c>
      <c r="M150" s="326">
        <v>0</v>
      </c>
      <c r="N150" s="58" t="str">
        <v>AS-3</v>
      </c>
      <c r="O150" s="326">
        <v>0</v>
      </c>
      <c r="P150" s="58" t="str">
        <v>AVAILABLE</v>
      </c>
      <c r="Q150" s="326">
        <v>0</v>
      </c>
      <c r="R150" s="58" t="str">
        <v>SV-2</v>
      </c>
      <c r="S150" s="326">
        <v>0</v>
      </c>
      <c r="T150" s="58" t="str">
        <v>NO-2</v>
      </c>
      <c r="U150" s="326">
        <v>0</v>
      </c>
      <c r="V150" s="58" t="str">
        <v>AVAILABLE</v>
      </c>
    </row>
    <row r="151" spans="4:22" ht="21" customHeight="1" x14ac:dyDescent="0.45">
      <c r="D151" s="245" t="str">
        <v>DENNIS, JOHN</v>
      </c>
      <c r="E151" s="246" t="str">
        <v>1027200</v>
      </c>
      <c r="F151" s="273" t="str">
        <v>COASTAL - GAD</v>
      </c>
      <c r="G151" s="321" t="str">
        <v>EXTRA BOARD-CO-A</v>
      </c>
      <c r="H151" s="325">
        <v>0</v>
      </c>
      <c r="I151" s="326">
        <v>0</v>
      </c>
      <c r="J151" s="58" t="str">
        <v>OFF</v>
      </c>
      <c r="K151" s="326">
        <v>0</v>
      </c>
      <c r="L151" s="58" t="str">
        <v>OFF</v>
      </c>
      <c r="M151" s="326" t="str">
        <v>CHECK NOTE</v>
      </c>
      <c r="N151" s="58" t="str">
        <v>IN-2</v>
      </c>
      <c r="O151" s="326">
        <v>0</v>
      </c>
      <c r="P151" s="58" t="str">
        <v>IN-2</v>
      </c>
      <c r="Q151" s="326">
        <v>0</v>
      </c>
      <c r="R151" s="58" t="str">
        <v>NE-2</v>
      </c>
      <c r="S151" s="326">
        <v>0</v>
      </c>
      <c r="T151" s="58" t="str">
        <v>EE-2</v>
      </c>
      <c r="U151" s="326">
        <v>0</v>
      </c>
      <c r="V151" s="58" t="str">
        <v>AVAILABLE</v>
      </c>
    </row>
    <row r="152" spans="4:22" ht="21" customHeight="1" x14ac:dyDescent="0.45">
      <c r="D152" s="245" t="str">
        <v>DOBBS, JEREMY</v>
      </c>
      <c r="E152" s="246" t="str">
        <v>1028867</v>
      </c>
      <c r="F152" s="273" t="str">
        <v>COASTAL - GAD</v>
      </c>
      <c r="G152" s="321" t="str">
        <v>EXTRA BOARD-CO-C</v>
      </c>
      <c r="H152" s="325">
        <v>0</v>
      </c>
      <c r="I152" s="326">
        <v>0</v>
      </c>
      <c r="J152" s="58" t="str">
        <v>CH-1</v>
      </c>
      <c r="K152" s="326">
        <v>0</v>
      </c>
      <c r="L152" s="58" t="str">
        <v>SE-2</v>
      </c>
      <c r="M152" s="326">
        <v>0</v>
      </c>
      <c r="N152" s="58" t="str">
        <v>CH-3</v>
      </c>
      <c r="O152" s="326">
        <v>0</v>
      </c>
      <c r="P152" s="58" t="str">
        <v>CH-3</v>
      </c>
      <c r="Q152" s="326">
        <v>0</v>
      </c>
      <c r="R152" s="58" t="str">
        <v>OFF</v>
      </c>
      <c r="S152" s="326">
        <v>0</v>
      </c>
      <c r="T152" s="58" t="str">
        <v>OFF</v>
      </c>
      <c r="U152" s="326">
        <v>0</v>
      </c>
      <c r="V152" s="58" t="str">
        <v>AVAILABLE</v>
      </c>
    </row>
    <row r="153" spans="4:22" ht="21" customHeight="1" x14ac:dyDescent="0.45">
      <c r="D153" s="245" t="str">
        <v>FORREST, AMANDA</v>
      </c>
      <c r="E153" s="246" t="str">
        <v>1031116</v>
      </c>
      <c r="F153" s="273" t="str">
        <v>BLUE RIDGE - GAD</v>
      </c>
      <c r="G153" s="321" t="str">
        <v>EXTRA BOARD-BR-B</v>
      </c>
      <c r="H153" s="325">
        <v>0</v>
      </c>
      <c r="I153" s="326">
        <v>0</v>
      </c>
      <c r="J153" s="58" t="str">
        <v>KN-3</v>
      </c>
      <c r="K153" s="326" t="str">
        <v>FMLA</v>
      </c>
      <c r="L153" s="58" t="str">
        <v>FMLA</v>
      </c>
      <c r="M153" s="326" t="str">
        <v>OVERTIME</v>
      </c>
      <c r="N153" s="58" t="str">
        <v>NR-3</v>
      </c>
      <c r="O153" s="326">
        <v>0</v>
      </c>
      <c r="P153" s="58" t="str">
        <v>OFF</v>
      </c>
      <c r="Q153" s="326">
        <v>0</v>
      </c>
      <c r="R153" s="58" t="str">
        <v>KN-1</v>
      </c>
      <c r="S153" s="326">
        <v>0</v>
      </c>
      <c r="T153" s="58" t="str">
        <v>NR-3</v>
      </c>
      <c r="U153" s="326">
        <v>0</v>
      </c>
      <c r="V153" s="58" t="str">
        <v>SA-3-POST</v>
      </c>
    </row>
    <row r="154" spans="4:22" ht="21" customHeight="1" x14ac:dyDescent="0.45">
      <c r="D154" s="245" t="str">
        <v>FRAZIER, WILLIE</v>
      </c>
      <c r="E154" s="246" t="str">
        <v>1032756</v>
      </c>
      <c r="F154" s="273" t="str">
        <v>GULF - GAD</v>
      </c>
      <c r="G154" s="321" t="str">
        <v>EXTRA BOARD-GU-B</v>
      </c>
      <c r="H154" s="325">
        <v>0</v>
      </c>
      <c r="I154" s="326">
        <v>0</v>
      </c>
      <c r="J154" s="58" t="str">
        <v>CN-2-POST</v>
      </c>
      <c r="K154" s="326">
        <v>0</v>
      </c>
      <c r="L154" s="58" t="str">
        <v>CN-2-POST</v>
      </c>
      <c r="M154" s="326">
        <v>0</v>
      </c>
      <c r="N154" s="58" t="str">
        <v>OFF</v>
      </c>
      <c r="O154" s="326">
        <v>0</v>
      </c>
      <c r="P154" s="58" t="str">
        <v>OFF</v>
      </c>
      <c r="Q154" s="326">
        <v>0</v>
      </c>
      <c r="R154" s="58" t="str">
        <v>CN-2-POST</v>
      </c>
      <c r="S154" s="326" t="str">
        <v>CHECK NOTE</v>
      </c>
      <c r="T154" s="58" t="str">
        <v>CN-2-POST</v>
      </c>
      <c r="U154" s="326">
        <v>0</v>
      </c>
      <c r="V154" s="58" t="str">
        <v>CN-2-POST</v>
      </c>
    </row>
    <row r="155" spans="4:22" ht="21" customHeight="1" x14ac:dyDescent="0.45">
      <c r="D155" s="245" t="str">
        <v>GOSS, PHOENIX</v>
      </c>
      <c r="E155" s="246" t="str">
        <v>1031097</v>
      </c>
      <c r="F155" s="273" t="str">
        <v>COASTAL - GAD</v>
      </c>
      <c r="G155" s="321" t="str">
        <v>EXTRA BOARD-CO-B</v>
      </c>
      <c r="H155" s="325">
        <v>0</v>
      </c>
      <c r="I155" s="326" t="str">
        <v>FMLA</v>
      </c>
      <c r="J155" s="58" t="str">
        <v>FMLA</v>
      </c>
      <c r="K155" s="326" t="str">
        <v>CHECK NOTE</v>
      </c>
      <c r="L155" s="58" t="str">
        <v>SE-3-POST</v>
      </c>
      <c r="M155" s="326">
        <v>0</v>
      </c>
      <c r="N155" s="58" t="str">
        <v>OFF</v>
      </c>
      <c r="O155" s="326">
        <v>0</v>
      </c>
      <c r="P155" s="58" t="str">
        <v>OFF</v>
      </c>
      <c r="Q155" s="326">
        <v>0</v>
      </c>
      <c r="R155" s="58" t="str">
        <v>SV-1</v>
      </c>
      <c r="S155" s="326">
        <v>0</v>
      </c>
      <c r="T155" s="58" t="str">
        <v>IN-3</v>
      </c>
      <c r="U155" s="326">
        <v>0</v>
      </c>
      <c r="V155" s="58" t="str">
        <v>IN-3</v>
      </c>
    </row>
    <row r="156" spans="4:22" ht="21" customHeight="1" x14ac:dyDescent="0.45">
      <c r="D156" s="245" t="str">
        <v>HICKS, TREVOR</v>
      </c>
      <c r="E156" s="246" t="str">
        <v>1027982</v>
      </c>
      <c r="F156" s="273" t="str">
        <v>GULF - GAD</v>
      </c>
      <c r="G156" s="321" t="str">
        <v>EXTRA BOARD-GU-C</v>
      </c>
      <c r="H156" s="325">
        <v>0</v>
      </c>
      <c r="I156" s="326" t="str">
        <v>S-SD</v>
      </c>
      <c r="J156" s="58" t="str">
        <v>S-SD</v>
      </c>
      <c r="K156" s="326">
        <v>0</v>
      </c>
      <c r="L156" s="58" t="str">
        <v>CN-1-POST</v>
      </c>
      <c r="M156" s="326">
        <v>0</v>
      </c>
      <c r="N156" s="58" t="str">
        <v>EE-1</v>
      </c>
      <c r="O156" s="326">
        <v>0</v>
      </c>
      <c r="P156" s="58" t="str">
        <v>EE-1</v>
      </c>
      <c r="Q156" s="326">
        <v>0</v>
      </c>
      <c r="R156" s="58" t="str">
        <v>OFF</v>
      </c>
      <c r="S156" s="326">
        <v>0</v>
      </c>
      <c r="T156" s="58" t="str">
        <v>OFF</v>
      </c>
      <c r="U156" s="326">
        <v>0</v>
      </c>
      <c r="V156" s="58" t="str">
        <v>CN-1-POST</v>
      </c>
    </row>
    <row r="157" spans="4:22" ht="21" customHeight="1" x14ac:dyDescent="0.45">
      <c r="D157" s="245" t="str">
        <v>IBN RABAH, BILAL</v>
      </c>
      <c r="E157" s="246" t="str">
        <v>1028855</v>
      </c>
      <c r="F157" s="273" t="str">
        <v>COASTAL - GAD</v>
      </c>
      <c r="G157" s="321" t="str">
        <v>EXTRA BOARD-CO-B</v>
      </c>
      <c r="H157" s="325">
        <v>0</v>
      </c>
      <c r="I157" s="326">
        <v>0</v>
      </c>
      <c r="J157" s="58" t="str">
        <v>SE-3</v>
      </c>
      <c r="K157" s="326">
        <v>0</v>
      </c>
      <c r="L157" s="58" t="str">
        <v>AVAILABLE</v>
      </c>
      <c r="M157" s="326">
        <v>0</v>
      </c>
      <c r="N157" s="58" t="str">
        <v>OFF</v>
      </c>
      <c r="O157" s="326">
        <v>0</v>
      </c>
      <c r="P157" s="58" t="str">
        <v>OFF</v>
      </c>
      <c r="Q157" s="326">
        <v>0</v>
      </c>
      <c r="R157" s="58" t="str">
        <v>SV-1-POST</v>
      </c>
      <c r="S157" s="326">
        <v>0</v>
      </c>
      <c r="T157" s="58" t="str">
        <v>SE-1</v>
      </c>
      <c r="U157" s="326">
        <v>0</v>
      </c>
      <c r="V157" s="58" t="str">
        <v>SV-2-POST</v>
      </c>
    </row>
    <row r="158" spans="4:22" ht="21" customHeight="1" x14ac:dyDescent="0.45">
      <c r="D158" s="245" t="str">
        <v>INVENINATO, JUSTIN</v>
      </c>
      <c r="E158" s="246" t="str">
        <v>1030408</v>
      </c>
      <c r="F158" s="273" t="str">
        <v>BLUE RIDGE - GAD</v>
      </c>
      <c r="G158" s="321" t="str">
        <v>EXTRA BOARD-BR-B</v>
      </c>
      <c r="H158" s="325">
        <v>0</v>
      </c>
      <c r="I158" s="326">
        <v>0</v>
      </c>
      <c r="J158" s="58" t="str">
        <v>VA-2-POST</v>
      </c>
      <c r="K158" s="326" t="str">
        <v>S-SD</v>
      </c>
      <c r="L158" s="58" t="str">
        <v>S-SD</v>
      </c>
      <c r="M158" s="326">
        <v>0</v>
      </c>
      <c r="N158" s="58" t="str">
        <v>OFF</v>
      </c>
      <c r="O158" s="326">
        <v>0</v>
      </c>
      <c r="P158" s="58" t="str">
        <v>OFF</v>
      </c>
      <c r="Q158" s="326">
        <v>0</v>
      </c>
      <c r="R158" s="58" t="str">
        <v>AVAILABLE</v>
      </c>
      <c r="S158" s="326">
        <v>0</v>
      </c>
      <c r="T158" s="58" t="str">
        <v>VA-1-POST</v>
      </c>
      <c r="U158" s="326">
        <v>0</v>
      </c>
      <c r="V158" s="58" t="str">
        <v>VA-2-POST</v>
      </c>
    </row>
    <row r="159" spans="4:22" ht="21" customHeight="1" x14ac:dyDescent="0.45">
      <c r="D159" s="245" t="str">
        <v>MCKINNEY, REBECCA</v>
      </c>
      <c r="E159" s="246" t="str">
        <v>1019606</v>
      </c>
      <c r="F159" s="273" t="str">
        <v>GULF - GAD</v>
      </c>
      <c r="G159" s="321" t="str">
        <v>EXTRA BOARD-GU-A</v>
      </c>
      <c r="H159" s="325">
        <v>0</v>
      </c>
      <c r="I159" s="326">
        <v>0</v>
      </c>
      <c r="J159" s="58" t="str">
        <v>OFF</v>
      </c>
      <c r="K159" s="326">
        <v>0</v>
      </c>
      <c r="L159" s="58" t="str">
        <v>OFF</v>
      </c>
      <c r="M159" s="326">
        <v>0</v>
      </c>
      <c r="N159" s="58" t="str">
        <v>ACD2-GU</v>
      </c>
      <c r="O159" s="326">
        <v>0</v>
      </c>
      <c r="P159" s="58" t="str">
        <v>ACD2-GU</v>
      </c>
      <c r="Q159" s="326">
        <v>0</v>
      </c>
      <c r="R159" s="58" t="str">
        <v>3B-3</v>
      </c>
      <c r="S159" s="326">
        <v>0</v>
      </c>
      <c r="T159" s="58" t="str">
        <v>AVAILABLE</v>
      </c>
      <c r="U159" s="326">
        <v>0</v>
      </c>
      <c r="V159" s="58" t="str">
        <v>ACD1-CO</v>
      </c>
    </row>
    <row r="160" spans="4:22" ht="21" customHeight="1" x14ac:dyDescent="0.45">
      <c r="D160" s="245" t="str">
        <v>MENDOZA-MORGAN, BROOKLYN</v>
      </c>
      <c r="E160" s="246" t="str">
        <v>1028868</v>
      </c>
      <c r="F160" s="273" t="str">
        <v>BLUE RIDGE - GAD</v>
      </c>
      <c r="G160" s="321" t="str">
        <v>EXTRA BOARD-BR-C</v>
      </c>
      <c r="H160" s="325">
        <v>0</v>
      </c>
      <c r="I160" s="326">
        <v>0</v>
      </c>
      <c r="J160" s="58" t="str">
        <v>PO-2</v>
      </c>
      <c r="K160" s="326">
        <v>0</v>
      </c>
      <c r="L160" s="58" t="str">
        <v>ET-3</v>
      </c>
      <c r="M160" s="326">
        <v>0</v>
      </c>
      <c r="N160" s="58" t="str">
        <v>AVAILABLE</v>
      </c>
      <c r="O160" s="326">
        <v>0</v>
      </c>
      <c r="P160" s="58" t="str">
        <v>RT-1-POST</v>
      </c>
      <c r="Q160" s="326">
        <v>0</v>
      </c>
      <c r="R160" s="58" t="str">
        <v>OFF</v>
      </c>
      <c r="S160" s="326">
        <v>0</v>
      </c>
      <c r="T160" s="58" t="str">
        <v>OFF</v>
      </c>
      <c r="U160" s="326" t="str">
        <v>FMLA</v>
      </c>
      <c r="V160" s="58" t="str">
        <v>FMLA</v>
      </c>
    </row>
    <row r="161" spans="4:22" ht="21" customHeight="1" x14ac:dyDescent="0.45">
      <c r="D161" s="245" t="str">
        <v>RUSSELL, SHALONDIA</v>
      </c>
      <c r="E161" s="246" t="str">
        <v>1028258</v>
      </c>
      <c r="F161" s="273" t="str">
        <v>GULF - GAD</v>
      </c>
      <c r="G161" s="321" t="str">
        <v>EXTRA BOARD-GU-B</v>
      </c>
      <c r="H161" s="325">
        <v>0</v>
      </c>
      <c r="I161" s="326">
        <v>0</v>
      </c>
      <c r="J161" s="58" t="str">
        <v>3B-1</v>
      </c>
      <c r="K161" s="326">
        <v>0</v>
      </c>
      <c r="L161" s="58" t="str">
        <v>NO-3</v>
      </c>
      <c r="M161" s="326">
        <v>0</v>
      </c>
      <c r="N161" s="58" t="str">
        <v>OFF</v>
      </c>
      <c r="O161" s="326">
        <v>0</v>
      </c>
      <c r="P161" s="58" t="str">
        <v>OFF</v>
      </c>
      <c r="Q161" s="326">
        <v>0</v>
      </c>
      <c r="R161" s="58" t="str">
        <v>BT-1-POST</v>
      </c>
      <c r="S161" s="326">
        <v>0</v>
      </c>
      <c r="T161" s="58" t="str">
        <v>ME-2</v>
      </c>
      <c r="U161" s="326">
        <v>0</v>
      </c>
      <c r="V161" s="58" t="str">
        <v>BT-2-POST</v>
      </c>
    </row>
    <row r="162" spans="4:22" ht="21" customHeight="1" x14ac:dyDescent="0.45">
      <c r="D162" s="245" t="str">
        <v>TINNIEHILL, KENESHIA</v>
      </c>
      <c r="E162" s="246" t="str">
        <v>1031686</v>
      </c>
      <c r="F162" s="273" t="str">
        <v>BLUE RIDGE - GAD</v>
      </c>
      <c r="G162" s="321" t="str">
        <v>EXTRA BOARD-BR-B</v>
      </c>
      <c r="H162" s="325">
        <v>0</v>
      </c>
      <c r="I162" s="326">
        <v>0</v>
      </c>
      <c r="J162" s="58" t="str">
        <v>AVAILABLE</v>
      </c>
      <c r="K162" s="326">
        <v>0</v>
      </c>
      <c r="L162" s="58" t="str">
        <v>KN-1</v>
      </c>
      <c r="M162" s="326">
        <v>0</v>
      </c>
      <c r="N162" s="58" t="str">
        <v>OFF</v>
      </c>
      <c r="O162" s="326">
        <v>0</v>
      </c>
      <c r="P162" s="58" t="str">
        <v>OFF</v>
      </c>
      <c r="Q162" s="326">
        <v>0</v>
      </c>
      <c r="R162" s="58" t="str">
        <v>AVAILABLE</v>
      </c>
      <c r="S162" s="326">
        <v>0</v>
      </c>
      <c r="T162" s="58" t="str">
        <v>KN-3</v>
      </c>
      <c r="U162" s="326">
        <v>0</v>
      </c>
      <c r="V162" s="58" t="str">
        <v>HG-3</v>
      </c>
    </row>
    <row r="163" spans="4:22" ht="21" customHeight="1" x14ac:dyDescent="0.45">
      <c r="D163" s="245" t="str">
        <v>WALLER, CHARLES</v>
      </c>
      <c r="E163" s="246" t="str">
        <v>1030381</v>
      </c>
      <c r="F163" s="273" t="str">
        <v>COASTAL - GAD</v>
      </c>
      <c r="G163" s="321" t="str">
        <v>EXTRA BOARD-CO-A</v>
      </c>
      <c r="H163" s="325">
        <v>0</v>
      </c>
      <c r="I163" s="326">
        <v>0</v>
      </c>
      <c r="J163" s="58" t="str">
        <v>OFF</v>
      </c>
      <c r="K163" s="326">
        <v>0</v>
      </c>
      <c r="L163" s="58" t="str">
        <v>OFF</v>
      </c>
      <c r="M163" s="326">
        <v>0</v>
      </c>
      <c r="N163" s="58" t="str">
        <v>IN-1-POST</v>
      </c>
      <c r="O163" s="326">
        <v>0</v>
      </c>
      <c r="P163" s="58" t="str">
        <v>IN-1-POST</v>
      </c>
      <c r="Q163" s="326">
        <v>0</v>
      </c>
      <c r="R163" s="58" t="str">
        <v>GS-1</v>
      </c>
      <c r="S163" s="326">
        <v>0</v>
      </c>
      <c r="T163" s="58" t="str">
        <v>GS-2</v>
      </c>
      <c r="U163" s="326">
        <v>0</v>
      </c>
      <c r="V163" s="58" t="str">
        <v>AVAILABLE</v>
      </c>
    </row>
    <row r="164" spans="4:22" ht="21" customHeight="1" x14ac:dyDescent="0.45">
      <c r="D164" s="245" t="str">
        <v>WILLIAMS, GARRETT</v>
      </c>
      <c r="E164" s="246" t="str">
        <v>1028859</v>
      </c>
      <c r="F164" s="273" t="str">
        <v>BLUE RIDGE - GAD</v>
      </c>
      <c r="G164" s="321" t="str">
        <v>EXTRA BOARD-BR-A</v>
      </c>
      <c r="H164" s="325">
        <v>0</v>
      </c>
      <c r="I164" s="326">
        <v>0</v>
      </c>
      <c r="J164" s="58" t="str">
        <v>OFF</v>
      </c>
      <c r="K164" s="326">
        <v>0</v>
      </c>
      <c r="L164" s="58" t="str">
        <v>OFF</v>
      </c>
      <c r="M164" s="326">
        <v>0</v>
      </c>
      <c r="N164" s="58" t="str">
        <v>KN-2</v>
      </c>
      <c r="O164" s="326">
        <v>0</v>
      </c>
      <c r="P164" s="58" t="str">
        <v>ET-2</v>
      </c>
      <c r="Q164" s="326">
        <v>0</v>
      </c>
      <c r="R164" s="58" t="str">
        <v>KN-2</v>
      </c>
      <c r="S164" s="326">
        <v>0</v>
      </c>
      <c r="T164" s="58" t="str">
        <v>KN-2</v>
      </c>
      <c r="U164" s="326">
        <v>0</v>
      </c>
      <c r="V164" s="58" t="str">
        <v>AVAILABLE</v>
      </c>
    </row>
    <row r="165" spans="4:22" ht="21" customHeight="1" x14ac:dyDescent="0.45">
      <c r="D165" s="245" t="str">
        <v>WILLIAMS, JALEESA</v>
      </c>
      <c r="E165" s="246" t="str">
        <v>1031103</v>
      </c>
      <c r="F165" s="273" t="str">
        <v>BLUE RIDGE - GAD</v>
      </c>
      <c r="G165" s="321" t="str">
        <v>EXTRA BOARD-BR-B</v>
      </c>
      <c r="H165" s="325">
        <v>0</v>
      </c>
      <c r="I165" s="326">
        <v>0</v>
      </c>
      <c r="J165" s="58" t="str">
        <v>DV-2</v>
      </c>
      <c r="K165" s="326">
        <v>0</v>
      </c>
      <c r="L165" s="58" t="str">
        <v>DV-2</v>
      </c>
      <c r="M165" s="326">
        <v>0</v>
      </c>
      <c r="N165" s="58" t="str">
        <v>OFF</v>
      </c>
      <c r="O165" s="326">
        <v>0</v>
      </c>
      <c r="P165" s="58" t="str">
        <v>OFF</v>
      </c>
      <c r="Q165" s="326" t="str">
        <v>FMLA</v>
      </c>
      <c r="R165" s="58" t="str">
        <v>FMLA</v>
      </c>
      <c r="S165" s="326">
        <v>0</v>
      </c>
      <c r="T165" s="58" t="str">
        <v>VA-2-POST</v>
      </c>
      <c r="U165" s="326">
        <v>0</v>
      </c>
      <c r="V165" s="58" t="str">
        <v>DV-2</v>
      </c>
    </row>
    <row r="166" spans="4:22" ht="21" customHeight="1" x14ac:dyDescent="0.45">
      <c r="D166" s="245" t="str">
        <v>WILLIFORD, JUSTINA</v>
      </c>
      <c r="E166" s="246" t="str">
        <v>1024517</v>
      </c>
      <c r="F166" s="273" t="str">
        <v>GULF - GAD</v>
      </c>
      <c r="G166" s="321" t="str">
        <v>EXTRA BOARD-GU-C</v>
      </c>
      <c r="H166" s="325">
        <v>0</v>
      </c>
      <c r="I166" s="326">
        <v>0</v>
      </c>
      <c r="J166" s="58" t="str">
        <v>3B-2</v>
      </c>
      <c r="K166" s="326">
        <v>0</v>
      </c>
      <c r="L166" s="58" t="str">
        <v>ME-2-POST</v>
      </c>
      <c r="M166" s="326">
        <v>0</v>
      </c>
      <c r="N166" s="58" t="str">
        <v>ME-2-POST</v>
      </c>
      <c r="O166" s="326">
        <v>0</v>
      </c>
      <c r="P166" s="58" t="str">
        <v>NO-2</v>
      </c>
      <c r="Q166" s="326">
        <v>0</v>
      </c>
      <c r="R166" s="58" t="str">
        <v>OFF</v>
      </c>
      <c r="S166" s="326">
        <v>0</v>
      </c>
      <c r="T166" s="58" t="str">
        <v>OFF</v>
      </c>
      <c r="U166" s="326" t="str">
        <v>S-APPT</v>
      </c>
      <c r="V166" s="58" t="str">
        <v>S-APPT</v>
      </c>
    </row>
    <row r="167" spans="4:22" ht="21" customHeight="1" x14ac:dyDescent="0.45">
      <c r="D167" s="245" t="str">
        <v>WRIGHT, SHAMARA</v>
      </c>
      <c r="E167" s="246" t="str">
        <v>1031684</v>
      </c>
      <c r="F167" s="273" t="str">
        <v>COASTAL - GAD</v>
      </c>
      <c r="G167" s="321" t="str">
        <v>EXTRA BOARD-CO-C</v>
      </c>
      <c r="H167" s="325">
        <v>0</v>
      </c>
      <c r="I167" s="326">
        <v>0</v>
      </c>
      <c r="J167" s="58" t="str">
        <v>IN-1</v>
      </c>
      <c r="K167" s="326">
        <v>0</v>
      </c>
      <c r="L167" s="58" t="str">
        <v>IN-1</v>
      </c>
      <c r="M167" s="326">
        <v>0</v>
      </c>
      <c r="N167" s="58" t="str">
        <v>IN-1</v>
      </c>
      <c r="O167" s="326">
        <v>0</v>
      </c>
      <c r="P167" s="58" t="str">
        <v>SV-1</v>
      </c>
      <c r="Q167" s="326" t="str">
        <v>OVERTIME</v>
      </c>
      <c r="R167" s="58" t="str">
        <v>IN-3</v>
      </c>
      <c r="S167" s="326">
        <v>0</v>
      </c>
      <c r="T167" s="58" t="str">
        <v>OFF</v>
      </c>
      <c r="U167" s="326">
        <v>0</v>
      </c>
      <c r="V167" s="58" t="str">
        <v>AVAILABLE</v>
      </c>
    </row>
    <row r="168" spans="4:22" ht="21" customHeight="1" x14ac:dyDescent="0.45">
      <c r="D168" s="245"/>
      <c r="E168" s="246"/>
      <c r="F168" s="273"/>
      <c r="G168" s="321"/>
      <c r="H168" s="325"/>
      <c r="I168" s="326"/>
      <c r="J168" s="58"/>
      <c r="K168" s="326"/>
      <c r="L168" s="58"/>
      <c r="M168" s="326"/>
      <c r="N168" s="58"/>
      <c r="O168" s="326"/>
      <c r="P168" s="58"/>
      <c r="Q168" s="326"/>
      <c r="R168" s="58"/>
      <c r="S168" s="326"/>
      <c r="T168" s="58"/>
      <c r="U168" s="326"/>
      <c r="V168" s="58"/>
    </row>
    <row r="169" spans="4:22" ht="21" customHeight="1" x14ac:dyDescent="0.45">
      <c r="D169" s="245"/>
      <c r="E169" s="246"/>
      <c r="F169" s="273"/>
      <c r="G169" s="321"/>
      <c r="H169" s="325"/>
      <c r="I169" s="326"/>
      <c r="J169" s="58"/>
      <c r="K169" s="326"/>
      <c r="L169" s="58"/>
      <c r="M169" s="326"/>
      <c r="N169" s="58"/>
      <c r="O169" s="326"/>
      <c r="P169" s="58"/>
      <c r="Q169" s="326"/>
      <c r="R169" s="58"/>
      <c r="S169" s="326"/>
      <c r="T169" s="58"/>
      <c r="U169" s="326"/>
      <c r="V169" s="58"/>
    </row>
    <row r="170" spans="4:22" ht="21" customHeight="1" x14ac:dyDescent="0.45">
      <c r="D170" s="245"/>
      <c r="E170" s="246"/>
      <c r="F170" s="273"/>
      <c r="G170" s="321"/>
      <c r="H170" s="325"/>
      <c r="I170" s="326"/>
      <c r="J170" s="58"/>
      <c r="K170" s="326"/>
      <c r="L170" s="58"/>
      <c r="M170" s="326"/>
      <c r="N170" s="58"/>
      <c r="O170" s="326"/>
      <c r="P170" s="58"/>
      <c r="Q170" s="326"/>
      <c r="R170" s="58"/>
      <c r="S170" s="326"/>
      <c r="T170" s="58"/>
      <c r="U170" s="326"/>
      <c r="V170" s="58"/>
    </row>
    <row r="171" spans="4:22" ht="21" customHeight="1" x14ac:dyDescent="0.45">
      <c r="D171" s="245"/>
      <c r="E171" s="246"/>
      <c r="F171" s="273"/>
      <c r="G171" s="321"/>
      <c r="H171" s="325"/>
      <c r="I171" s="326"/>
      <c r="J171" s="58"/>
      <c r="K171" s="326"/>
      <c r="L171" s="58"/>
      <c r="M171" s="326"/>
      <c r="N171" s="58"/>
      <c r="O171" s="326"/>
      <c r="P171" s="58"/>
      <c r="Q171" s="326"/>
      <c r="R171" s="58"/>
      <c r="S171" s="326"/>
      <c r="T171" s="58"/>
      <c r="U171" s="326"/>
      <c r="V171" s="58"/>
    </row>
    <row r="172" spans="4:22" ht="21" customHeight="1" x14ac:dyDescent="0.45">
      <c r="D172" s="245"/>
      <c r="E172" s="246"/>
      <c r="F172" s="273"/>
      <c r="G172" s="321"/>
      <c r="H172" s="325"/>
      <c r="I172" s="326"/>
      <c r="J172" s="58"/>
      <c r="K172" s="326"/>
      <c r="L172" s="58"/>
      <c r="M172" s="326"/>
      <c r="N172" s="58"/>
      <c r="O172" s="326"/>
      <c r="P172" s="58"/>
      <c r="Q172" s="326"/>
      <c r="R172" s="58"/>
      <c r="S172" s="326"/>
      <c r="T172" s="58"/>
      <c r="U172" s="326"/>
      <c r="V172" s="58"/>
    </row>
    <row r="173" spans="4:22" ht="21" customHeight="1" x14ac:dyDescent="0.45">
      <c r="D173" s="245"/>
      <c r="E173" s="246"/>
      <c r="F173" s="273"/>
      <c r="G173" s="321"/>
      <c r="H173" s="325"/>
      <c r="I173" s="326"/>
      <c r="J173" s="58"/>
      <c r="K173" s="326"/>
      <c r="L173" s="58"/>
      <c r="M173" s="326"/>
      <c r="N173" s="58"/>
      <c r="O173" s="326"/>
      <c r="P173" s="58"/>
      <c r="Q173" s="326"/>
      <c r="R173" s="58"/>
      <c r="S173" s="326"/>
      <c r="T173" s="58"/>
      <c r="U173" s="326"/>
      <c r="V173" s="58"/>
    </row>
    <row r="174" spans="4:22" ht="21" customHeight="1" x14ac:dyDescent="0.45">
      <c r="D174" s="245"/>
      <c r="E174" s="246"/>
      <c r="F174" s="273"/>
      <c r="G174" s="321"/>
      <c r="H174" s="325"/>
      <c r="I174" s="326"/>
      <c r="J174" s="58"/>
      <c r="K174" s="326"/>
      <c r="L174" s="58"/>
      <c r="M174" s="326"/>
      <c r="N174" s="58"/>
      <c r="O174" s="326"/>
      <c r="P174" s="58"/>
      <c r="Q174" s="326"/>
      <c r="R174" s="58"/>
      <c r="S174" s="326"/>
      <c r="T174" s="58"/>
      <c r="U174" s="326"/>
      <c r="V174" s="58"/>
    </row>
    <row r="175" spans="4:22" ht="21" customHeight="1" x14ac:dyDescent="0.45">
      <c r="D175" s="245"/>
      <c r="E175" s="246"/>
      <c r="F175" s="273"/>
      <c r="G175" s="321"/>
      <c r="H175" s="325"/>
      <c r="I175" s="326"/>
      <c r="J175" s="58"/>
      <c r="K175" s="326"/>
      <c r="L175" s="58"/>
      <c r="M175" s="326"/>
      <c r="N175" s="58"/>
      <c r="O175" s="326"/>
      <c r="P175" s="58"/>
      <c r="Q175" s="326"/>
      <c r="R175" s="58"/>
      <c r="S175" s="326"/>
      <c r="T175" s="58"/>
      <c r="U175" s="326"/>
      <c r="V175" s="58"/>
    </row>
    <row r="176" spans="4:22" ht="21" customHeight="1" x14ac:dyDescent="0.45">
      <c r="D176" s="245"/>
      <c r="E176" s="246"/>
      <c r="F176" s="273"/>
      <c r="G176" s="321"/>
      <c r="H176" s="325"/>
      <c r="I176" s="326"/>
      <c r="J176" s="58"/>
      <c r="K176" s="326"/>
      <c r="L176" s="58"/>
      <c r="M176" s="326"/>
      <c r="N176" s="58"/>
      <c r="O176" s="326"/>
      <c r="P176" s="58"/>
      <c r="Q176" s="326"/>
      <c r="R176" s="58"/>
      <c r="S176" s="326"/>
      <c r="T176" s="58"/>
      <c r="U176" s="326"/>
      <c r="V176" s="58"/>
    </row>
    <row r="177" spans="4:22" ht="21" customHeight="1" x14ac:dyDescent="0.45">
      <c r="D177" s="245"/>
      <c r="E177" s="246"/>
      <c r="F177" s="273"/>
      <c r="G177" s="321"/>
      <c r="H177" s="325"/>
      <c r="I177" s="326"/>
      <c r="J177" s="58"/>
      <c r="K177" s="326"/>
      <c r="L177" s="58"/>
      <c r="M177" s="326"/>
      <c r="N177" s="58"/>
      <c r="O177" s="326"/>
      <c r="P177" s="58"/>
      <c r="Q177" s="326"/>
      <c r="R177" s="58"/>
      <c r="S177" s="326"/>
      <c r="T177" s="58"/>
      <c r="U177" s="326"/>
      <c r="V177" s="58"/>
    </row>
    <row r="178" spans="4:22" ht="21" customHeight="1" x14ac:dyDescent="0.45">
      <c r="D178" s="245"/>
      <c r="E178" s="246"/>
      <c r="F178" s="273"/>
      <c r="G178" s="321"/>
      <c r="H178" s="325"/>
      <c r="I178" s="326"/>
      <c r="J178" s="58"/>
      <c r="K178" s="326"/>
      <c r="L178" s="58"/>
      <c r="M178" s="326"/>
      <c r="N178" s="58"/>
      <c r="O178" s="326"/>
      <c r="P178" s="58"/>
      <c r="Q178" s="326"/>
      <c r="R178" s="58"/>
      <c r="S178" s="326"/>
      <c r="T178" s="58"/>
      <c r="U178" s="326"/>
      <c r="V178" s="58"/>
    </row>
    <row r="179" spans="4:22" ht="21" customHeight="1" x14ac:dyDescent="0.45">
      <c r="D179" s="245"/>
      <c r="E179" s="246"/>
      <c r="F179" s="273"/>
      <c r="G179" s="321"/>
      <c r="H179" s="325"/>
      <c r="I179" s="326"/>
      <c r="J179" s="58"/>
      <c r="K179" s="326"/>
      <c r="L179" s="58"/>
      <c r="M179" s="326"/>
      <c r="N179" s="58"/>
      <c r="O179" s="326"/>
      <c r="P179" s="58"/>
      <c r="Q179" s="326"/>
      <c r="R179" s="58"/>
      <c r="S179" s="326"/>
      <c r="T179" s="58"/>
      <c r="U179" s="326"/>
      <c r="V179" s="58"/>
    </row>
    <row r="180" spans="4:22" ht="21" customHeight="1" x14ac:dyDescent="0.45">
      <c r="D180" s="245"/>
      <c r="E180" s="246"/>
      <c r="F180" s="273"/>
      <c r="G180" s="321"/>
      <c r="H180" s="325"/>
      <c r="I180" s="326"/>
      <c r="J180" s="58"/>
      <c r="K180" s="326"/>
      <c r="L180" s="58"/>
      <c r="M180" s="326"/>
      <c r="N180" s="58"/>
      <c r="O180" s="326"/>
      <c r="P180" s="58"/>
      <c r="Q180" s="326"/>
      <c r="R180" s="58"/>
      <c r="S180" s="326"/>
      <c r="T180" s="58"/>
      <c r="U180" s="326"/>
      <c r="V180" s="58"/>
    </row>
    <row r="181" spans="4:22" ht="21" customHeight="1" x14ac:dyDescent="0.45">
      <c r="D181" s="245"/>
      <c r="E181" s="246"/>
      <c r="F181" s="273"/>
      <c r="G181" s="321"/>
      <c r="H181" s="325"/>
      <c r="I181" s="326"/>
      <c r="J181" s="58"/>
      <c r="K181" s="326"/>
      <c r="L181" s="58"/>
      <c r="M181" s="326"/>
      <c r="N181" s="58"/>
      <c r="O181" s="326"/>
      <c r="P181" s="58"/>
      <c r="Q181" s="326"/>
      <c r="R181" s="58"/>
      <c r="S181" s="326"/>
      <c r="T181" s="58"/>
      <c r="U181" s="326"/>
      <c r="V181" s="58"/>
    </row>
    <row r="182" spans="4:22" ht="21" customHeight="1" x14ac:dyDescent="0.45">
      <c r="D182" s="245"/>
      <c r="E182" s="246"/>
      <c r="F182" s="273"/>
      <c r="G182" s="321"/>
      <c r="H182" s="325"/>
      <c r="I182" s="326"/>
      <c r="J182" s="58"/>
      <c r="K182" s="326"/>
      <c r="L182" s="58"/>
      <c r="M182" s="326"/>
      <c r="N182" s="58"/>
      <c r="O182" s="326"/>
      <c r="P182" s="58"/>
      <c r="Q182" s="326"/>
      <c r="R182" s="58"/>
      <c r="S182" s="326"/>
      <c r="T182" s="58"/>
      <c r="U182" s="326"/>
      <c r="V182" s="58"/>
    </row>
    <row r="183" spans="4:22" ht="21" customHeight="1" x14ac:dyDescent="0.45">
      <c r="D183" s="245"/>
      <c r="E183" s="246"/>
      <c r="F183" s="273"/>
      <c r="G183" s="321"/>
      <c r="H183" s="325"/>
      <c r="I183" s="326"/>
      <c r="J183" s="58"/>
      <c r="K183" s="326"/>
      <c r="L183" s="58"/>
      <c r="M183" s="326"/>
      <c r="N183" s="58"/>
      <c r="O183" s="326"/>
      <c r="P183" s="58"/>
      <c r="Q183" s="326"/>
      <c r="R183" s="58"/>
      <c r="S183" s="326"/>
      <c r="T183" s="58"/>
      <c r="U183" s="326"/>
      <c r="V183" s="58"/>
    </row>
    <row r="184" spans="4:22" ht="21" customHeight="1" x14ac:dyDescent="0.45">
      <c r="D184" s="245"/>
      <c r="E184" s="246"/>
      <c r="F184" s="273"/>
      <c r="G184" s="321"/>
      <c r="H184" s="325"/>
      <c r="I184" s="326"/>
      <c r="J184" s="58"/>
      <c r="K184" s="326"/>
      <c r="L184" s="58"/>
      <c r="M184" s="326"/>
      <c r="N184" s="58"/>
      <c r="O184" s="326"/>
      <c r="P184" s="58"/>
      <c r="Q184" s="326"/>
      <c r="R184" s="58"/>
      <c r="S184" s="326"/>
      <c r="T184" s="58"/>
      <c r="U184" s="326"/>
      <c r="V184" s="58"/>
    </row>
    <row r="185" spans="4:22" ht="21" customHeight="1" x14ac:dyDescent="0.45">
      <c r="D185" s="245"/>
      <c r="E185" s="246"/>
      <c r="F185" s="273"/>
      <c r="G185" s="321"/>
      <c r="H185" s="325"/>
      <c r="I185" s="326"/>
      <c r="J185" s="58"/>
      <c r="K185" s="326"/>
      <c r="L185" s="58"/>
      <c r="M185" s="326"/>
      <c r="N185" s="58"/>
      <c r="O185" s="326"/>
      <c r="P185" s="58"/>
      <c r="Q185" s="326"/>
      <c r="R185" s="58"/>
      <c r="S185" s="326"/>
      <c r="T185" s="58"/>
      <c r="U185" s="326"/>
      <c r="V185" s="58"/>
    </row>
    <row r="186" spans="4:22" ht="21" customHeight="1" x14ac:dyDescent="0.45">
      <c r="D186" s="245"/>
      <c r="E186" s="246"/>
      <c r="F186" s="273"/>
      <c r="G186" s="321"/>
      <c r="H186" s="325"/>
      <c r="I186" s="326"/>
      <c r="J186" s="58"/>
      <c r="K186" s="326"/>
      <c r="L186" s="58"/>
      <c r="M186" s="326"/>
      <c r="N186" s="58"/>
      <c r="O186" s="326"/>
      <c r="P186" s="58"/>
      <c r="Q186" s="326"/>
      <c r="R186" s="58"/>
      <c r="S186" s="326"/>
      <c r="T186" s="58"/>
      <c r="U186" s="326"/>
      <c r="V186" s="58"/>
    </row>
    <row r="187" spans="4:22" ht="21" customHeight="1" x14ac:dyDescent="0.45">
      <c r="D187" s="245"/>
      <c r="E187" s="246"/>
      <c r="F187" s="273"/>
      <c r="G187" s="321"/>
      <c r="H187" s="325"/>
      <c r="I187" s="326"/>
      <c r="J187" s="58"/>
      <c r="K187" s="326"/>
      <c r="L187" s="58"/>
      <c r="M187" s="326"/>
      <c r="N187" s="58"/>
      <c r="O187" s="326"/>
      <c r="P187" s="58"/>
      <c r="Q187" s="326"/>
      <c r="R187" s="58"/>
      <c r="S187" s="326"/>
      <c r="T187" s="58"/>
      <c r="U187" s="326"/>
      <c r="V187" s="58"/>
    </row>
    <row r="188" spans="4:22" ht="21" customHeight="1" x14ac:dyDescent="0.45">
      <c r="D188" s="245"/>
      <c r="E188" s="246"/>
      <c r="F188" s="273"/>
      <c r="G188" s="321"/>
      <c r="H188" s="325"/>
      <c r="I188" s="326"/>
      <c r="J188" s="58"/>
      <c r="K188" s="326"/>
      <c r="L188" s="58"/>
      <c r="M188" s="326"/>
      <c r="N188" s="58"/>
      <c r="O188" s="326"/>
      <c r="P188" s="58"/>
      <c r="Q188" s="326"/>
      <c r="R188" s="58"/>
      <c r="S188" s="326"/>
      <c r="T188" s="58"/>
      <c r="U188" s="326"/>
      <c r="V188" s="58"/>
    </row>
    <row r="189" spans="4:22" ht="21" customHeight="1" x14ac:dyDescent="0.45">
      <c r="D189" s="245"/>
      <c r="E189" s="246"/>
      <c r="F189" s="273"/>
      <c r="G189" s="321"/>
      <c r="H189" s="325"/>
      <c r="I189" s="326"/>
      <c r="J189" s="58"/>
      <c r="K189" s="326"/>
      <c r="L189" s="58"/>
      <c r="M189" s="326"/>
      <c r="N189" s="58"/>
      <c r="O189" s="326"/>
      <c r="P189" s="58"/>
      <c r="Q189" s="326"/>
      <c r="R189" s="58"/>
      <c r="S189" s="326"/>
      <c r="T189" s="58"/>
      <c r="U189" s="326"/>
      <c r="V189" s="58"/>
    </row>
    <row r="190" spans="4:22" ht="21" customHeight="1" x14ac:dyDescent="0.45">
      <c r="D190" s="245"/>
      <c r="E190" s="246"/>
      <c r="F190" s="273"/>
      <c r="G190" s="321"/>
      <c r="H190" s="325"/>
      <c r="I190" s="326"/>
      <c r="J190" s="58"/>
      <c r="K190" s="326"/>
      <c r="L190" s="58"/>
      <c r="M190" s="326"/>
      <c r="N190" s="58"/>
      <c r="O190" s="326"/>
      <c r="P190" s="58"/>
      <c r="Q190" s="326"/>
      <c r="R190" s="58"/>
      <c r="S190" s="326"/>
      <c r="T190" s="58"/>
      <c r="U190" s="326"/>
      <c r="V190" s="58"/>
    </row>
    <row r="191" spans="4:22" ht="21" customHeight="1" x14ac:dyDescent="0.45">
      <c r="D191" s="245"/>
      <c r="E191" s="246"/>
      <c r="F191" s="273"/>
      <c r="G191" s="321"/>
      <c r="H191" s="325"/>
      <c r="I191" s="326"/>
      <c r="J191" s="58"/>
      <c r="K191" s="326"/>
      <c r="L191" s="58"/>
      <c r="M191" s="326"/>
      <c r="N191" s="58"/>
      <c r="O191" s="326"/>
      <c r="P191" s="58"/>
      <c r="Q191" s="326"/>
      <c r="R191" s="58"/>
      <c r="S191" s="326"/>
      <c r="T191" s="58"/>
      <c r="U191" s="326"/>
      <c r="V191" s="58"/>
    </row>
    <row r="192" spans="4:22" ht="21" customHeight="1" x14ac:dyDescent="0.45">
      <c r="D192" s="245"/>
      <c r="E192" s="246"/>
      <c r="F192" s="273"/>
      <c r="G192" s="321"/>
      <c r="H192" s="325"/>
      <c r="I192" s="326"/>
      <c r="J192" s="58"/>
      <c r="K192" s="326"/>
      <c r="L192" s="58"/>
      <c r="M192" s="326"/>
      <c r="N192" s="58"/>
      <c r="O192" s="326"/>
      <c r="P192" s="58"/>
      <c r="Q192" s="326"/>
      <c r="R192" s="58"/>
      <c r="S192" s="326"/>
      <c r="T192" s="58"/>
      <c r="U192" s="326"/>
      <c r="V192" s="58"/>
    </row>
    <row r="193" spans="4:22" ht="21" customHeight="1" x14ac:dyDescent="0.45">
      <c r="D193" s="245"/>
      <c r="E193" s="246"/>
      <c r="F193" s="273"/>
      <c r="G193" s="321"/>
      <c r="H193" s="325"/>
      <c r="I193" s="326"/>
      <c r="J193" s="58"/>
      <c r="K193" s="326"/>
      <c r="L193" s="58"/>
      <c r="M193" s="326"/>
      <c r="N193" s="58"/>
      <c r="O193" s="326"/>
      <c r="P193" s="58"/>
      <c r="Q193" s="326"/>
      <c r="R193" s="58"/>
      <c r="S193" s="326"/>
      <c r="T193" s="58"/>
      <c r="U193" s="326"/>
      <c r="V193" s="58"/>
    </row>
    <row r="194" spans="4:22" ht="21" customHeight="1" thickBot="1" x14ac:dyDescent="0.5">
      <c r="D194" s="245"/>
      <c r="E194" s="246"/>
      <c r="F194" s="273"/>
      <c r="G194" s="321"/>
      <c r="H194" s="325"/>
      <c r="I194" s="326"/>
      <c r="J194" s="58"/>
      <c r="K194" s="326"/>
      <c r="L194" s="58"/>
      <c r="M194" s="326"/>
      <c r="N194" s="58"/>
      <c r="O194" s="326"/>
      <c r="P194" s="58"/>
      <c r="Q194" s="326"/>
      <c r="R194" s="58"/>
      <c r="S194" s="326"/>
      <c r="T194" s="58"/>
      <c r="U194" s="326"/>
      <c r="V194" s="58"/>
    </row>
    <row r="195" spans="4:22" ht="17.25" customHeight="1" x14ac:dyDescent="0.35">
      <c r="D195" s="445" t="s">
        <v>1135</v>
      </c>
      <c r="E195" s="446"/>
      <c r="F195" s="446"/>
      <c r="G195" s="446"/>
      <c r="H195" s="446"/>
      <c r="I195" s="446"/>
      <c r="J195" s="446"/>
      <c r="K195" s="446"/>
      <c r="L195" s="446"/>
      <c r="M195" s="446"/>
      <c r="N195" s="446"/>
      <c r="O195" s="446"/>
      <c r="P195" s="446"/>
      <c r="Q195" s="446"/>
      <c r="R195" s="446"/>
      <c r="S195" s="446"/>
      <c r="T195" s="446"/>
      <c r="U195" s="446"/>
      <c r="V195" s="447"/>
    </row>
    <row r="196" spans="4:22" ht="17.25" customHeight="1" thickBot="1" x14ac:dyDescent="0.4">
      <c r="D196" s="448"/>
      <c r="E196" s="449"/>
      <c r="F196" s="449"/>
      <c r="G196" s="449"/>
      <c r="H196" s="449"/>
      <c r="I196" s="449"/>
      <c r="J196" s="449"/>
      <c r="K196" s="449"/>
      <c r="L196" s="449"/>
      <c r="M196" s="449"/>
      <c r="N196" s="449"/>
      <c r="O196" s="449"/>
      <c r="P196" s="449"/>
      <c r="Q196" s="449"/>
      <c r="R196" s="449"/>
      <c r="S196" s="449"/>
      <c r="T196" s="449"/>
      <c r="U196" s="449"/>
      <c r="V196" s="450"/>
    </row>
    <row r="197" spans="4:22" ht="21" customHeight="1" x14ac:dyDescent="0.35">
      <c r="D197" s="264" t="str" cm="1">
        <f t="array" ref="D197:V199">_xlfn._xlws.FILTER(Sheet1!A2:S333,Sheet1!T2:T333=AI1)</f>
        <v>CHEDDICK-GEORGE, RASHIDA</v>
      </c>
      <c r="E197" s="265" t="str">
        <v>1028870</v>
      </c>
      <c r="F197" s="268" t="str">
        <v>GULF - TRAINEE</v>
      </c>
      <c r="G197" s="339" t="str">
        <v>GU TRAINEE</v>
      </c>
      <c r="H197" s="342">
        <v>0</v>
      </c>
      <c r="I197" s="274">
        <v>0</v>
      </c>
      <c r="J197" s="275" t="str">
        <v>EE-3-POST</v>
      </c>
      <c r="K197" s="274">
        <v>0</v>
      </c>
      <c r="L197" s="275" t="str">
        <v>EE-3-POST</v>
      </c>
      <c r="M197" s="274">
        <v>0</v>
      </c>
      <c r="N197" s="275" t="str">
        <v>EE-3-POST</v>
      </c>
      <c r="O197" s="274">
        <v>0</v>
      </c>
      <c r="P197" s="275" t="str">
        <v>EE-3-POST</v>
      </c>
      <c r="Q197" s="274">
        <v>0</v>
      </c>
      <c r="R197" s="275" t="str">
        <v>EE-3-POST</v>
      </c>
      <c r="S197" s="274">
        <v>0</v>
      </c>
      <c r="T197" s="275" t="str">
        <v>EE-3-POST</v>
      </c>
      <c r="U197" s="274">
        <v>0</v>
      </c>
      <c r="V197" s="275" t="str">
        <v>OFF</v>
      </c>
    </row>
    <row r="198" spans="4:22" ht="21" customHeight="1" x14ac:dyDescent="0.35">
      <c r="D198" s="269" t="str">
        <v>DILLARD, ROBERT</v>
      </c>
      <c r="E198" s="270" t="str">
        <v>1021261</v>
      </c>
      <c r="F198" s="273" t="str">
        <v>COASTAL - TRAINEE</v>
      </c>
      <c r="G198" s="321" t="str">
        <v>CO TRAINEE</v>
      </c>
      <c r="H198" s="343">
        <v>0</v>
      </c>
      <c r="I198" s="276">
        <v>0</v>
      </c>
      <c r="J198" s="30" t="str">
        <v>OFF</v>
      </c>
      <c r="K198" s="276">
        <v>0</v>
      </c>
      <c r="L198" s="30" t="str">
        <v>SV-3-POST</v>
      </c>
      <c r="M198" s="276">
        <v>0</v>
      </c>
      <c r="N198" s="30" t="str">
        <v>SV-3-POST</v>
      </c>
      <c r="O198" s="276">
        <v>0</v>
      </c>
      <c r="P198" s="30" t="str">
        <v>SV-3-POST</v>
      </c>
      <c r="Q198" s="276">
        <v>0</v>
      </c>
      <c r="R198" s="30" t="str">
        <v>OFF</v>
      </c>
      <c r="S198" s="276">
        <v>0</v>
      </c>
      <c r="T198" s="30" t="str">
        <v>SV-3-POST</v>
      </c>
      <c r="U198" s="276">
        <v>0</v>
      </c>
      <c r="V198" s="30" t="str">
        <v>SV-3-POST</v>
      </c>
    </row>
    <row r="199" spans="4:22" ht="21" customHeight="1" x14ac:dyDescent="0.35">
      <c r="D199" s="269" t="str">
        <v>KITCHENS, DARNELL</v>
      </c>
      <c r="E199" s="270" t="str">
        <v>1034343</v>
      </c>
      <c r="F199" s="273" t="str">
        <v>BLUE RIDGE - TRAINEE</v>
      </c>
      <c r="G199" s="321" t="str">
        <v>BR TRAINEE</v>
      </c>
      <c r="H199" s="343">
        <v>0</v>
      </c>
      <c r="I199" s="276">
        <v>0</v>
      </c>
      <c r="J199" s="30" t="str">
        <v>S-NP</v>
      </c>
      <c r="K199" s="276">
        <v>0</v>
      </c>
      <c r="L199" s="30" t="str">
        <v>OFF</v>
      </c>
      <c r="M199" s="276">
        <v>0</v>
      </c>
      <c r="N199" s="30" t="str">
        <v>OFF</v>
      </c>
      <c r="O199" s="276">
        <v>0</v>
      </c>
      <c r="P199" s="30" t="str">
        <v>DV-2-POST</v>
      </c>
      <c r="Q199" s="276">
        <v>0</v>
      </c>
      <c r="R199" s="30" t="str">
        <v>VA-3-POST</v>
      </c>
      <c r="S199" s="276">
        <v>0</v>
      </c>
      <c r="T199" s="30" t="str">
        <v>VA-3-POST</v>
      </c>
      <c r="U199" s="276">
        <v>0</v>
      </c>
      <c r="V199" s="30" t="str">
        <v>VA-3-POST</v>
      </c>
    </row>
    <row r="200" spans="4:22" ht="21" customHeight="1" x14ac:dyDescent="0.35">
      <c r="D200" s="269"/>
      <c r="E200" s="270"/>
      <c r="F200" s="273"/>
      <c r="G200" s="321"/>
      <c r="H200" s="343"/>
      <c r="I200" s="276"/>
      <c r="J200" s="30"/>
      <c r="K200" s="276"/>
      <c r="L200" s="30"/>
      <c r="M200" s="276"/>
      <c r="N200" s="30"/>
      <c r="O200" s="276"/>
      <c r="P200" s="30"/>
      <c r="Q200" s="276"/>
      <c r="R200" s="30"/>
      <c r="S200" s="276"/>
      <c r="T200" s="30"/>
      <c r="U200" s="276"/>
      <c r="V200" s="30"/>
    </row>
    <row r="201" spans="4:22" ht="21" customHeight="1" x14ac:dyDescent="0.35">
      <c r="D201" s="269"/>
      <c r="E201" s="270"/>
      <c r="F201" s="273"/>
      <c r="G201" s="321"/>
      <c r="H201" s="343"/>
      <c r="I201" s="276"/>
      <c r="J201" s="30"/>
      <c r="K201" s="276"/>
      <c r="L201" s="30"/>
      <c r="M201" s="276"/>
      <c r="N201" s="30"/>
      <c r="O201" s="276"/>
      <c r="P201" s="30"/>
      <c r="Q201" s="276"/>
      <c r="R201" s="30"/>
      <c r="S201" s="276"/>
      <c r="T201" s="30"/>
      <c r="U201" s="276"/>
      <c r="V201" s="30"/>
    </row>
    <row r="202" spans="4:22" ht="21" customHeight="1" x14ac:dyDescent="0.35">
      <c r="D202" s="269"/>
      <c r="E202" s="270"/>
      <c r="F202" s="273"/>
      <c r="G202" s="321"/>
      <c r="H202" s="343"/>
      <c r="I202" s="276"/>
      <c r="J202" s="30"/>
      <c r="K202" s="276"/>
      <c r="L202" s="30"/>
      <c r="M202" s="276"/>
      <c r="N202" s="30"/>
      <c r="O202" s="276"/>
      <c r="P202" s="30"/>
      <c r="Q202" s="276"/>
      <c r="R202" s="30"/>
      <c r="S202" s="276"/>
      <c r="T202" s="30"/>
      <c r="U202" s="276"/>
      <c r="V202" s="30"/>
    </row>
    <row r="203" spans="4:22" ht="21" customHeight="1" x14ac:dyDescent="0.35">
      <c r="D203" s="269"/>
      <c r="E203" s="270"/>
      <c r="F203" s="273"/>
      <c r="G203" s="321"/>
      <c r="H203" s="343"/>
      <c r="I203" s="276"/>
      <c r="J203" s="30"/>
      <c r="K203" s="276"/>
      <c r="L203" s="30"/>
      <c r="M203" s="276"/>
      <c r="N203" s="30"/>
      <c r="O203" s="276"/>
      <c r="P203" s="30"/>
      <c r="Q203" s="276"/>
      <c r="R203" s="30"/>
      <c r="S203" s="276"/>
      <c r="T203" s="30"/>
      <c r="U203" s="276"/>
      <c r="V203" s="30"/>
    </row>
    <row r="204" spans="4:22" ht="21" customHeight="1" x14ac:dyDescent="0.35">
      <c r="D204" s="269"/>
      <c r="E204" s="270"/>
      <c r="F204" s="273"/>
      <c r="G204" s="321"/>
      <c r="H204" s="343"/>
      <c r="I204" s="276"/>
      <c r="J204" s="30"/>
      <c r="K204" s="276"/>
      <c r="L204" s="30"/>
      <c r="M204" s="276"/>
      <c r="N204" s="30"/>
      <c r="O204" s="276"/>
      <c r="P204" s="30"/>
      <c r="Q204" s="276"/>
      <c r="R204" s="30"/>
      <c r="S204" s="276"/>
      <c r="T204" s="30"/>
      <c r="U204" s="276"/>
      <c r="V204" s="30"/>
    </row>
    <row r="205" spans="4:22" ht="21" customHeight="1" x14ac:dyDescent="0.35">
      <c r="D205" s="269"/>
      <c r="E205" s="270"/>
      <c r="F205" s="273"/>
      <c r="G205" s="321"/>
      <c r="H205" s="343"/>
      <c r="I205" s="276"/>
      <c r="J205" s="30"/>
      <c r="K205" s="276"/>
      <c r="L205" s="30"/>
      <c r="M205" s="276"/>
      <c r="N205" s="30"/>
      <c r="O205" s="276"/>
      <c r="P205" s="30"/>
      <c r="Q205" s="276"/>
      <c r="R205" s="30"/>
      <c r="S205" s="276"/>
      <c r="T205" s="30"/>
      <c r="U205" s="276"/>
      <c r="V205" s="30"/>
    </row>
    <row r="206" spans="4:22" ht="21" customHeight="1" x14ac:dyDescent="0.35">
      <c r="D206" s="269"/>
      <c r="E206" s="270"/>
      <c r="F206" s="273"/>
      <c r="G206" s="321"/>
      <c r="H206" s="343"/>
      <c r="I206" s="276"/>
      <c r="J206" s="30"/>
      <c r="K206" s="276"/>
      <c r="L206" s="30"/>
      <c r="M206" s="276"/>
      <c r="N206" s="30"/>
      <c r="O206" s="276"/>
      <c r="P206" s="30"/>
      <c r="Q206" s="276"/>
      <c r="R206" s="30"/>
      <c r="S206" s="276"/>
      <c r="T206" s="30"/>
      <c r="U206" s="276"/>
      <c r="V206" s="30"/>
    </row>
    <row r="207" spans="4:22" ht="21" customHeight="1" x14ac:dyDescent="0.35">
      <c r="D207" s="269"/>
      <c r="E207" s="270"/>
      <c r="F207" s="273"/>
      <c r="G207" s="321"/>
      <c r="H207" s="343"/>
      <c r="I207" s="276"/>
      <c r="J207" s="30"/>
      <c r="K207" s="276"/>
      <c r="L207" s="30"/>
      <c r="M207" s="276"/>
      <c r="N207" s="30"/>
      <c r="O207" s="276"/>
      <c r="P207" s="30"/>
      <c r="Q207" s="276"/>
      <c r="R207" s="30"/>
      <c r="S207" s="276"/>
      <c r="T207" s="30"/>
      <c r="U207" s="276"/>
      <c r="V207" s="30"/>
    </row>
    <row r="208" spans="4:22" ht="21" customHeight="1" x14ac:dyDescent="0.35">
      <c r="D208" s="269"/>
      <c r="E208" s="270"/>
      <c r="F208" s="273"/>
      <c r="G208" s="321"/>
      <c r="H208" s="343"/>
      <c r="I208" s="276"/>
      <c r="J208" s="30"/>
      <c r="K208" s="276"/>
      <c r="L208" s="30"/>
      <c r="M208" s="276"/>
      <c r="N208" s="30"/>
      <c r="O208" s="276"/>
      <c r="P208" s="30"/>
      <c r="Q208" s="276"/>
      <c r="R208" s="30"/>
      <c r="S208" s="276"/>
      <c r="T208" s="30"/>
      <c r="U208" s="276"/>
      <c r="V208" s="30"/>
    </row>
    <row r="209" spans="4:22" ht="21" customHeight="1" x14ac:dyDescent="0.35">
      <c r="D209" s="269"/>
      <c r="E209" s="270"/>
      <c r="F209" s="273"/>
      <c r="G209" s="321"/>
      <c r="H209" s="343"/>
      <c r="I209" s="276"/>
      <c r="J209" s="30"/>
      <c r="K209" s="276"/>
      <c r="L209" s="30"/>
      <c r="M209" s="276"/>
      <c r="N209" s="30"/>
      <c r="O209" s="276"/>
      <c r="P209" s="30"/>
      <c r="Q209" s="276"/>
      <c r="R209" s="30"/>
      <c r="S209" s="276"/>
      <c r="T209" s="30"/>
      <c r="U209" s="276"/>
      <c r="V209" s="30"/>
    </row>
    <row r="210" spans="4:22" ht="21" customHeight="1" x14ac:dyDescent="0.35">
      <c r="D210" s="269"/>
      <c r="E210" s="270"/>
      <c r="F210" s="273"/>
      <c r="G210" s="321"/>
      <c r="H210" s="343"/>
      <c r="I210" s="276"/>
      <c r="J210" s="30"/>
      <c r="K210" s="276"/>
      <c r="L210" s="30"/>
      <c r="M210" s="276"/>
      <c r="N210" s="30"/>
      <c r="O210" s="276"/>
      <c r="P210" s="30"/>
      <c r="Q210" s="276"/>
      <c r="R210" s="30"/>
      <c r="S210" s="276"/>
      <c r="T210" s="30"/>
      <c r="U210" s="276"/>
      <c r="V210" s="30"/>
    </row>
    <row r="211" spans="4:22" ht="21" customHeight="1" x14ac:dyDescent="0.35">
      <c r="D211" s="269"/>
      <c r="E211" s="270"/>
      <c r="F211" s="273"/>
      <c r="G211" s="321"/>
      <c r="H211" s="343"/>
      <c r="I211" s="276"/>
      <c r="J211" s="30"/>
      <c r="K211" s="276"/>
      <c r="L211" s="30"/>
      <c r="M211" s="276"/>
      <c r="N211" s="30"/>
      <c r="O211" s="276"/>
      <c r="P211" s="30"/>
      <c r="Q211" s="276"/>
      <c r="R211" s="30"/>
      <c r="S211" s="276"/>
      <c r="T211" s="30"/>
      <c r="U211" s="276"/>
      <c r="V211" s="30"/>
    </row>
    <row r="212" spans="4:22" ht="21" customHeight="1" x14ac:dyDescent="0.35">
      <c r="D212" s="269"/>
      <c r="E212" s="270"/>
      <c r="F212" s="273"/>
      <c r="G212" s="321"/>
      <c r="H212" s="343"/>
      <c r="I212" s="276"/>
      <c r="J212" s="30"/>
      <c r="K212" s="276"/>
      <c r="L212" s="30"/>
      <c r="M212" s="276"/>
      <c r="N212" s="30"/>
      <c r="O212" s="276"/>
      <c r="P212" s="30"/>
      <c r="Q212" s="276"/>
      <c r="R212" s="30"/>
      <c r="S212" s="276"/>
      <c r="T212" s="30"/>
      <c r="U212" s="276"/>
      <c r="V212" s="30"/>
    </row>
    <row r="213" spans="4:22" ht="21" customHeight="1" x14ac:dyDescent="0.35">
      <c r="D213" s="269"/>
      <c r="E213" s="270"/>
      <c r="F213" s="273"/>
      <c r="G213" s="321"/>
      <c r="H213" s="343"/>
      <c r="I213" s="276"/>
      <c r="J213" s="30"/>
      <c r="K213" s="276"/>
      <c r="L213" s="30"/>
      <c r="M213" s="276"/>
      <c r="N213" s="30"/>
      <c r="O213" s="276"/>
      <c r="P213" s="30"/>
      <c r="Q213" s="276"/>
      <c r="R213" s="30"/>
      <c r="S213" s="276"/>
      <c r="T213" s="30"/>
      <c r="U213" s="276"/>
      <c r="V213" s="30"/>
    </row>
    <row r="214" spans="4:22" ht="21" customHeight="1" x14ac:dyDescent="0.35">
      <c r="D214" s="269"/>
      <c r="E214" s="270"/>
      <c r="F214" s="273"/>
      <c r="G214" s="321"/>
      <c r="H214" s="343"/>
      <c r="I214" s="276"/>
      <c r="J214" s="30"/>
      <c r="K214" s="276"/>
      <c r="L214" s="30"/>
      <c r="M214" s="276"/>
      <c r="N214" s="30"/>
      <c r="O214" s="276"/>
      <c r="P214" s="30"/>
      <c r="Q214" s="276"/>
      <c r="R214" s="30"/>
      <c r="S214" s="276"/>
      <c r="T214" s="30"/>
      <c r="U214" s="276"/>
      <c r="V214" s="30"/>
    </row>
    <row r="215" spans="4:22" ht="21" customHeight="1" x14ac:dyDescent="0.35">
      <c r="D215" s="269"/>
      <c r="E215" s="270"/>
      <c r="F215" s="273"/>
      <c r="G215" s="321"/>
      <c r="H215" s="343"/>
      <c r="I215" s="276"/>
      <c r="J215" s="30"/>
      <c r="K215" s="276"/>
      <c r="L215" s="30"/>
      <c r="M215" s="276"/>
      <c r="N215" s="30"/>
      <c r="O215" s="276"/>
      <c r="P215" s="30"/>
      <c r="Q215" s="276"/>
      <c r="R215" s="30"/>
      <c r="S215" s="276"/>
      <c r="T215" s="30"/>
      <c r="U215" s="276"/>
      <c r="V215" s="30"/>
    </row>
    <row r="216" spans="4:22" ht="21" customHeight="1" x14ac:dyDescent="0.35">
      <c r="D216" s="269"/>
      <c r="E216" s="270"/>
      <c r="F216" s="273"/>
      <c r="G216" s="321"/>
      <c r="H216" s="343"/>
      <c r="I216" s="276"/>
      <c r="J216" s="30"/>
      <c r="K216" s="276"/>
      <c r="L216" s="30"/>
      <c r="M216" s="276"/>
      <c r="N216" s="30"/>
      <c r="O216" s="276"/>
      <c r="P216" s="30"/>
      <c r="Q216" s="276"/>
      <c r="R216" s="30"/>
      <c r="S216" s="276"/>
      <c r="T216" s="30"/>
      <c r="U216" s="276"/>
      <c r="V216" s="30"/>
    </row>
    <row r="217" spans="4:22" ht="21" customHeight="1" thickBot="1" x14ac:dyDescent="0.4">
      <c r="D217" s="277"/>
      <c r="E217" s="278"/>
      <c r="F217" s="281"/>
      <c r="G217" s="340"/>
      <c r="H217" s="344"/>
      <c r="I217" s="282"/>
      <c r="J217" s="263"/>
      <c r="K217" s="282"/>
      <c r="L217" s="263"/>
      <c r="M217" s="282"/>
      <c r="N217" s="263"/>
      <c r="O217" s="282"/>
      <c r="P217" s="263"/>
      <c r="Q217" s="282"/>
      <c r="R217" s="263"/>
      <c r="S217" s="282"/>
      <c r="T217" s="263"/>
      <c r="U217" s="282"/>
      <c r="V217" s="263"/>
    </row>
  </sheetData>
  <sheetProtection sheet="1" objects="1" scenarios="1"/>
  <mergeCells count="24">
    <mergeCell ref="D195:V196"/>
    <mergeCell ref="K2:L2"/>
    <mergeCell ref="M2:N2"/>
    <mergeCell ref="O2:P2"/>
    <mergeCell ref="Q2:R2"/>
    <mergeCell ref="S2:T2"/>
    <mergeCell ref="U2:V2"/>
    <mergeCell ref="D3:V4"/>
    <mergeCell ref="D103:V104"/>
    <mergeCell ref="D120:V121"/>
    <mergeCell ref="D137:V138"/>
    <mergeCell ref="D144:V145"/>
    <mergeCell ref="U1:V1"/>
    <mergeCell ref="D1:D2"/>
    <mergeCell ref="F1:F2"/>
    <mergeCell ref="G1:G2"/>
    <mergeCell ref="H1:H2"/>
    <mergeCell ref="I1:J1"/>
    <mergeCell ref="I2:J2"/>
    <mergeCell ref="K1:L1"/>
    <mergeCell ref="M1:N1"/>
    <mergeCell ref="O1:P1"/>
    <mergeCell ref="Q1:R1"/>
    <mergeCell ref="S1:T1"/>
  </mergeCells>
  <conditionalFormatting sqref="D5:G5">
    <cfRule type="cellIs" dxfId="39" priority="40" operator="equal">
      <formula>0</formula>
    </cfRule>
  </conditionalFormatting>
  <conditionalFormatting sqref="F105:F119">
    <cfRule type="containsText" dxfId="38" priority="8" operator="containsText" text="OTP">
      <formula>NOT(ISERROR(SEARCH("OTP",F105)))</formula>
    </cfRule>
    <cfRule type="containsText" dxfId="37" priority="7" operator="containsText" text="BUMP">
      <formula>NOT(ISERROR(SEARCH("BUMP",F105)))</formula>
    </cfRule>
  </conditionalFormatting>
  <conditionalFormatting sqref="G105:G119">
    <cfRule type="containsText" dxfId="36" priority="9" operator="containsText" text="OTP">
      <formula>NOT(ISERROR(SEARCH("OTP",G105)))</formula>
    </cfRule>
    <cfRule type="containsText" dxfId="35" priority="10" operator="containsText" text="BUMP">
      <formula>NOT(ISERROR(SEARCH("BUMP",G105)))</formula>
    </cfRule>
  </conditionalFormatting>
  <conditionalFormatting sqref="H5:H102 H105:H315">
    <cfRule type="cellIs" dxfId="34" priority="28" operator="equal">
      <formula>0</formula>
    </cfRule>
    <cfRule type="containsErrors" dxfId="33" priority="29">
      <formula>ISERROR(H5)</formula>
    </cfRule>
  </conditionalFormatting>
  <conditionalFormatting sqref="I5:U102 I105:U315">
    <cfRule type="containsText" dxfId="32" priority="21" operator="containsText" text="CB">
      <formula>NOT(ISERROR(SEARCH("CB",I5)))</formula>
    </cfRule>
    <cfRule type="containsText" dxfId="31" priority="22" operator="containsText" text="hold down">
      <formula>NOT(ISERROR(SEARCH("hold down",I5)))</formula>
    </cfRule>
    <cfRule type="containsText" dxfId="30" priority="23" operator="containsText" text="ML">
      <formula>NOT(ISERROR(SEARCH("ML",I5)))</formula>
    </cfRule>
    <cfRule type="containsText" dxfId="29" priority="24" operator="containsText" text="V-SD">
      <formula>NOT(ISERROR(SEARCH("V-SD",I5)))</formula>
    </cfRule>
    <cfRule type="containsText" dxfId="28" priority="25" operator="containsText" text="S-APPT">
      <formula>NOT(ISERROR(SEARCH("S-APPT",I5)))</formula>
    </cfRule>
    <cfRule type="containsText" dxfId="27" priority="26" operator="containsText" text="V-BB">
      <formula>NOT(ISERROR(SEARCH("V-BB",I5)))</formula>
    </cfRule>
    <cfRule type="containsText" dxfId="26" priority="27" operator="containsText" text="V-WK">
      <formula>NOT(ISERROR(SEARCH("V-WK",I5)))</formula>
    </cfRule>
    <cfRule type="containsText" dxfId="25" priority="30" operator="containsText" text="owp">
      <formula>NOT(ISERROR(SEARCH("owp",I5)))</formula>
    </cfRule>
    <cfRule type="containsText" dxfId="24" priority="31" operator="containsText" text="S-SD">
      <formula>NOT(ISERROR(SEARCH("S-SD",I5)))</formula>
    </cfRule>
    <cfRule type="containsText" dxfId="23" priority="32" operator="containsText" text="oos">
      <formula>NOT(ISERROR(SEARCH("oos",I5)))</formula>
    </cfRule>
    <cfRule type="containsText" dxfId="22" priority="33" operator="containsText" text="diverted">
      <formula>NOT(ISERROR(SEARCH("diverted",I5)))</formula>
    </cfRule>
    <cfRule type="containsText" dxfId="21" priority="34" operator="containsText" text="overtime">
      <formula>NOT(ISERROR(SEARCH("overtime",I5)))</formula>
    </cfRule>
    <cfRule type="containsText" dxfId="20" priority="20" operator="containsText" text="UB">
      <formula>NOT(ISERROR(SEARCH("UB",I5)))</formula>
    </cfRule>
  </conditionalFormatting>
  <conditionalFormatting sqref="I5:U102 I105:V315">
    <cfRule type="containsText" dxfId="19" priority="19" operator="containsText" text="otp">
      <formula>NOT(ISERROR(SEARCH("otp",I5)))</formula>
    </cfRule>
  </conditionalFormatting>
  <conditionalFormatting sqref="I5:V102 I105:V315">
    <cfRule type="containsText" dxfId="18" priority="35" operator="containsText" text="forced overtime">
      <formula>NOT(ISERROR(SEARCH("forced overtime",I5)))</formula>
    </cfRule>
    <cfRule type="containsText" dxfId="17" priority="36" operator="containsText" text="OFF">
      <formula>NOT(ISERROR(SEARCH("OFF",I5)))</formula>
    </cfRule>
    <cfRule type="containsText" dxfId="16" priority="37" operator="containsText" text="~N/A~">
      <formula>NOT(ISERROR(SEARCH("~N/A~",I5)))</formula>
    </cfRule>
    <cfRule type="containsText" dxfId="15" priority="38" operator="containsText" text="post">
      <formula>NOT(ISERROR(SEARCH("post",I5)))</formula>
    </cfRule>
    <cfRule type="cellIs" dxfId="14" priority="39" operator="equal">
      <formula>0</formula>
    </cfRule>
  </conditionalFormatting>
  <conditionalFormatting sqref="J5:J102 J105:J315">
    <cfRule type="expression" dxfId="13" priority="11">
      <formula>I5="otp"</formula>
    </cfRule>
    <cfRule type="expression" dxfId="12" priority="18">
      <formula>J5=I5</formula>
    </cfRule>
  </conditionalFormatting>
  <conditionalFormatting sqref="L5:L102 L105:L315">
    <cfRule type="expression" dxfId="11" priority="6">
      <formula>K5="otp"</formula>
    </cfRule>
    <cfRule type="expression" dxfId="10" priority="17">
      <formula>L5=K5</formula>
    </cfRule>
  </conditionalFormatting>
  <conditionalFormatting sqref="N5:N102 N105:N315">
    <cfRule type="expression" dxfId="9" priority="5">
      <formula>M5="otp"</formula>
    </cfRule>
    <cfRule type="expression" dxfId="8" priority="16">
      <formula>N5=M5</formula>
    </cfRule>
  </conditionalFormatting>
  <conditionalFormatting sqref="P5:P102 P105:P315">
    <cfRule type="expression" dxfId="7" priority="4">
      <formula>O5="otp"</formula>
    </cfRule>
    <cfRule type="expression" dxfId="6" priority="15">
      <formula>P5=O5</formula>
    </cfRule>
  </conditionalFormatting>
  <conditionalFormatting sqref="R5:R102 R105:R315">
    <cfRule type="expression" dxfId="5" priority="3">
      <formula>Q5="otp"</formula>
    </cfRule>
    <cfRule type="expression" dxfId="4" priority="14">
      <formula>R5=Q5</formula>
    </cfRule>
  </conditionalFormatting>
  <conditionalFormatting sqref="T5:T102 T105:T315">
    <cfRule type="expression" dxfId="3" priority="2">
      <formula>S5="otp"</formula>
    </cfRule>
    <cfRule type="expression" dxfId="2" priority="13">
      <formula>T5=S5</formula>
    </cfRule>
  </conditionalFormatting>
  <conditionalFormatting sqref="V5:V102 V105:V315">
    <cfRule type="expression" dxfId="1" priority="12">
      <formula>V5=U5</formula>
    </cfRule>
    <cfRule type="expression" dxfId="0" priority="1">
      <formula>U5="otp"</formula>
    </cfRule>
  </conditionalFormatting>
  <pageMargins left="0.25" right="0.25" top="0.75" bottom="0.75" header="0.3" footer="0.3"/>
  <pageSetup scale="3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3569295FFB64C820A7680562807DC" ma:contentTypeVersion="6" ma:contentTypeDescription="Create a new document." ma:contentTypeScope="" ma:versionID="7fbd2053d52d19acf154a147b026fd95">
  <xsd:schema xmlns:xsd="http://www.w3.org/2001/XMLSchema" xmlns:xs="http://www.w3.org/2001/XMLSchema" xmlns:p="http://schemas.microsoft.com/office/2006/metadata/properties" xmlns:ns2="482e0d1a-7b3b-4475-a318-f54127c970e3" xmlns:ns3="cb12ad12-2040-4fc8-a46a-8c544217c94d" targetNamespace="http://schemas.microsoft.com/office/2006/metadata/properties" ma:root="true" ma:fieldsID="a95d98eadab22ac29a6ac6e239ee9bd3" ns2:_="" ns3:_="">
    <xsd:import namespace="482e0d1a-7b3b-4475-a318-f54127c970e3"/>
    <xsd:import namespace="cb12ad12-2040-4fc8-a46a-8c544217c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0d1a-7b3b-4475-a318-f54127c970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2ad12-2040-4fc8-a46a-8c544217c9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b12ad12-2040-4fc8-a46a-8c544217c94d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F0F37C7-EAF7-4A75-AE4B-058331AB6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e0d1a-7b3b-4475-a318-f54127c970e3"/>
    <ds:schemaRef ds:uri="cb12ad12-2040-4fc8-a46a-8c544217c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795A6D-A31B-4EA6-A2E1-39563EC7DA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413491-BD1F-4222-8995-2506A4E88D42}">
  <ds:schemaRefs>
    <ds:schemaRef ds:uri="http://schemas.microsoft.com/office/2006/metadata/properties"/>
    <ds:schemaRef ds:uri="482e0d1a-7b3b-4475-a318-f54127c970e3"/>
    <ds:schemaRef ds:uri="http://purl.org/dc/terms/"/>
    <ds:schemaRef ds:uri="http://schemas.openxmlformats.org/package/2006/metadata/core-properties"/>
    <ds:schemaRef ds:uri="cb12ad12-2040-4fc8-a46a-8c544217c94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GAD DISPATCHER SCHEDULE</vt:lpstr>
      <vt:lpstr>NORTHERN REGION SCHEDULE</vt:lpstr>
      <vt:lpstr>NORTHERN REGION ROSTER</vt:lpstr>
      <vt:lpstr>SOUTHERN REGION SCHEDULE</vt:lpstr>
      <vt:lpstr>SOUTHERN REGION ROSTER</vt:lpstr>
      <vt:lpstr>'GAD DISPATCHER SCHEDULE'!Print_Area</vt:lpstr>
      <vt:lpstr>'NORTHERN REGION SCHEDULE'!Print_Area</vt:lpstr>
      <vt:lpstr>'SOUTHERN REGION SCHEDULE'!Print_Area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CI0WP</dc:creator>
  <cp:keywords/>
  <dc:description/>
  <cp:lastModifiedBy>Sorrell, Floyd E.</cp:lastModifiedBy>
  <cp:revision/>
  <dcterms:created xsi:type="dcterms:W3CDTF">2023-02-25T16:23:20Z</dcterms:created>
  <dcterms:modified xsi:type="dcterms:W3CDTF">2025-11-13T23:06:39Z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0x0101000CC3569295FFB64C820A7680562807DC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Order">
    <vt:r8>7400</vt:r8>
  </property>
  <property fmtid="{D5CDD505-2E9C-101B-9397-08002B2CF9AE}" pid="10" name="_ColorHex">
    <vt:lpwstr/>
  </property>
  <property fmtid="{D5CDD505-2E9C-101B-9397-08002B2CF9AE}" pid="11" name="_Emoji">
    <vt:lpwstr/>
  </property>
  <property fmtid="{D5CDD505-2E9C-101B-9397-08002B2CF9AE}" pid="12" name="_ColorTag">
    <vt:lpwstr/>
  </property>
</Properties>
</file>